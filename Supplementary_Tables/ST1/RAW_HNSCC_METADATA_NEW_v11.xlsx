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ravibandaru/Downloads/"/>
    </mc:Choice>
  </mc:AlternateContent>
  <xr:revisionPtr revIDLastSave="0" documentId="8_{9E8FD72F-4BA1-8541-83A5-5696818F5531}" xr6:coauthVersionLast="47" xr6:coauthVersionMax="47" xr10:uidLastSave="{00000000-0000-0000-0000-000000000000}"/>
  <bookViews>
    <workbookView xWindow="0" yWindow="500" windowWidth="51200" windowHeight="26600" xr2:uid="{F489FEFC-59DD-E54E-B343-1F09ABA4EAB7}"/>
  </bookViews>
  <sheets>
    <sheet name="RAW_HNSCC_METADATA_NEW_v11" sheetId="1" r:id="rId1"/>
    <sheet name="RAWMETADATALOOKUP_P1" sheetId="7" r:id="rId2"/>
    <sheet name="RAWMETADATALOOKUP_P2" sheetId="8" r:id="rId3"/>
    <sheet name="OLDSURVLOOKUP" sheetId="6" r:id="rId4"/>
    <sheet name="CFDNALOOKUP" sheetId="5" r:id="rId5"/>
    <sheet name="METADATALOOKUP" sheetId="4" r:id="rId6"/>
    <sheet name="IDSLOOKUP" sheetId="3" r:id="rId7"/>
    <sheet name="SURVLOOKUP" sheetId="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2" i="1"/>
  <c r="AA3" i="1"/>
  <c r="AA4" i="1"/>
  <c r="AA5" i="1"/>
  <c r="AA6" i="1"/>
  <c r="AA7" i="1"/>
  <c r="AA8" i="1"/>
  <c r="AA9" i="1"/>
  <c r="AA10" i="1"/>
  <c r="AA11" i="1"/>
  <c r="AA12" i="1"/>
  <c r="AA13" i="1"/>
  <c r="AA14" i="1"/>
  <c r="AA15" i="1"/>
  <c r="AA16" i="1"/>
  <c r="AA17" i="1"/>
  <c r="AA18" i="1"/>
  <c r="AA19" i="1"/>
  <c r="AA20" i="1"/>
  <c r="AA21" i="1"/>
  <c r="AA22" i="1"/>
  <c r="AA23" i="1"/>
  <c r="AA29" i="1"/>
  <c r="AA30" i="1"/>
  <c r="AA31" i="1"/>
  <c r="AA32" i="1"/>
  <c r="AA33" i="1"/>
  <c r="AA34" i="1"/>
  <c r="AA35" i="1"/>
  <c r="AA39" i="1"/>
  <c r="AA40" i="1"/>
  <c r="AA41" i="1"/>
  <c r="AA42" i="1"/>
  <c r="AA43" i="1"/>
  <c r="AA44" i="1"/>
  <c r="AA45" i="1"/>
  <c r="AA46" i="1"/>
  <c r="AA47" i="1"/>
  <c r="AA48" i="1"/>
  <c r="AA49" i="1"/>
  <c r="AA50" i="1"/>
  <c r="AA51" i="1"/>
  <c r="AA52" i="1"/>
  <c r="AA53" i="1"/>
  <c r="AA54" i="1"/>
  <c r="AA55" i="1"/>
  <c r="AA56" i="1"/>
  <c r="AA57" i="1"/>
  <c r="AA58" i="1"/>
  <c r="AA59" i="1"/>
  <c r="AA60" i="1"/>
  <c r="AA61"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40" i="1"/>
  <c r="AA141" i="1"/>
  <c r="AA142" i="1"/>
  <c r="AA143" i="1"/>
  <c r="AA144" i="1"/>
  <c r="AA145" i="1"/>
  <c r="AA146" i="1"/>
  <c r="AA147" i="1"/>
  <c r="AA148" i="1"/>
  <c r="AA149" i="1"/>
  <c r="AA150" i="1"/>
  <c r="AA151" i="1"/>
  <c r="AA152" i="1"/>
  <c r="AA153" i="1"/>
  <c r="AA157" i="1"/>
  <c r="AA158" i="1"/>
  <c r="AA159" i="1"/>
  <c r="AA160" i="1"/>
  <c r="AA161" i="1"/>
  <c r="AA162" i="1"/>
  <c r="AA163" i="1"/>
  <c r="AA164" i="1"/>
  <c r="AA165" i="1"/>
  <c r="AA168" i="1"/>
  <c r="AA169" i="1"/>
  <c r="AA170" i="1"/>
  <c r="AA171" i="1"/>
  <c r="AA172" i="1"/>
  <c r="AA173" i="1"/>
  <c r="AA174" i="1"/>
  <c r="AA175" i="1"/>
  <c r="AA176" i="1"/>
  <c r="AA177" i="1"/>
  <c r="AA178" i="1"/>
  <c r="AA179" i="1"/>
  <c r="AA180" i="1"/>
  <c r="AA18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2" i="1"/>
  <c r="D73" i="1"/>
  <c r="AQ73" i="1" s="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3" i="1"/>
  <c r="BB4" i="1"/>
  <c r="BB5" i="1"/>
  <c r="BB6" i="1"/>
  <c r="BB7" i="1"/>
  <c r="BB8" i="1"/>
  <c r="BB9" i="1"/>
  <c r="BB10" i="1"/>
  <c r="BB11" i="1"/>
  <c r="BB12" i="1"/>
  <c r="BB13" i="1"/>
  <c r="BB14" i="1"/>
  <c r="BB15" i="1"/>
  <c r="BB16" i="1"/>
  <c r="BB17" i="1"/>
  <c r="BB18" i="1"/>
  <c r="BB19" i="1"/>
  <c r="BB20" i="1"/>
  <c r="BB21" i="1"/>
  <c r="BB22" i="1"/>
  <c r="BB23" i="1"/>
  <c r="BB24" i="1"/>
  <c r="BB25" i="1"/>
  <c r="BB26" i="1"/>
  <c r="BB27" i="1"/>
  <c r="BB2" i="1"/>
  <c r="D12" i="1"/>
  <c r="P12" i="1" s="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3" i="1"/>
  <c r="F4" i="1"/>
  <c r="F2"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2"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2" i="1"/>
  <c r="E15" i="3"/>
  <c r="E16" i="3"/>
  <c r="E17" i="3"/>
  <c r="D112" i="1" s="1"/>
  <c r="AQ112" i="1" s="1"/>
  <c r="E18" i="3"/>
  <c r="D158" i="1"/>
  <c r="AP158" i="1" s="1"/>
  <c r="D159" i="1"/>
  <c r="L159" i="1" s="1"/>
  <c r="D170" i="1"/>
  <c r="N170" i="1" s="1"/>
  <c r="D171" i="1"/>
  <c r="X171" i="1" s="1"/>
  <c r="D172" i="1"/>
  <c r="X172" i="1" s="1"/>
  <c r="D173" i="1"/>
  <c r="X173" i="1" s="1"/>
  <c r="D174" i="1"/>
  <c r="AW174" i="1" s="1"/>
  <c r="D175" i="1"/>
  <c r="AW175" i="1" s="1"/>
  <c r="D176" i="1"/>
  <c r="V176" i="1" s="1"/>
  <c r="D177" i="1"/>
  <c r="D178" i="1"/>
  <c r="AP178" i="1" s="1"/>
  <c r="D179" i="1"/>
  <c r="X179" i="1" s="1"/>
  <c r="D180" i="1"/>
  <c r="V180" i="1" s="1"/>
  <c r="D181" i="1"/>
  <c r="L181" i="1" s="1"/>
  <c r="D182" i="1"/>
  <c r="L182" i="1" s="1"/>
  <c r="D183" i="1"/>
  <c r="AX183" i="1" s="1"/>
  <c r="D184" i="1"/>
  <c r="AM184" i="1" s="1"/>
  <c r="D185" i="1"/>
  <c r="V185" i="1" s="1"/>
  <c r="D186" i="1"/>
  <c r="AM186" i="1" s="1"/>
  <c r="D147" i="1"/>
  <c r="X147" i="1" s="1"/>
  <c r="D148" i="1"/>
  <c r="Q148" i="1" s="1"/>
  <c r="D149" i="1"/>
  <c r="D150" i="1"/>
  <c r="L150" i="1" s="1"/>
  <c r="D151" i="1"/>
  <c r="AQ151" i="1" s="1"/>
  <c r="D152" i="1"/>
  <c r="X152" i="1" s="1"/>
  <c r="D153" i="1"/>
  <c r="AW153" i="1" s="1"/>
  <c r="D154" i="1"/>
  <c r="AQ154" i="1" s="1"/>
  <c r="D155" i="1"/>
  <c r="AS155" i="1" s="1"/>
  <c r="D156" i="1"/>
  <c r="X156" i="1" s="1"/>
  <c r="D157" i="1"/>
  <c r="AM157" i="1" s="1"/>
  <c r="D160" i="1"/>
  <c r="R160" i="1" s="1"/>
  <c r="D161" i="1"/>
  <c r="R161" i="1" s="1"/>
  <c r="D162" i="1"/>
  <c r="Y162" i="1" s="1"/>
  <c r="D163" i="1"/>
  <c r="D164" i="1"/>
  <c r="D165" i="1"/>
  <c r="AV165" i="1" s="1"/>
  <c r="D166" i="1"/>
  <c r="AM166" i="1" s="1"/>
  <c r="D167" i="1"/>
  <c r="BA167" i="1" s="1"/>
  <c r="D168" i="1"/>
  <c r="V168" i="1" s="1"/>
  <c r="D169" i="1"/>
  <c r="AP169" i="1" s="1"/>
  <c r="D134" i="1"/>
  <c r="AP134" i="1" s="1"/>
  <c r="D135" i="1"/>
  <c r="X135" i="1" s="1"/>
  <c r="D136" i="1"/>
  <c r="W136" i="1" s="1"/>
  <c r="D137" i="1"/>
  <c r="V137" i="1" s="1"/>
  <c r="D138" i="1"/>
  <c r="V138" i="1" s="1"/>
  <c r="D139" i="1"/>
  <c r="D140" i="1"/>
  <c r="D141" i="1"/>
  <c r="AP141" i="1" s="1"/>
  <c r="D142" i="1"/>
  <c r="AP142" i="1" s="1"/>
  <c r="D143" i="1"/>
  <c r="AQ143" i="1" s="1"/>
  <c r="D144" i="1"/>
  <c r="P144" i="1" s="1"/>
  <c r="D145" i="1"/>
  <c r="X145" i="1" s="1"/>
  <c r="D146" i="1"/>
  <c r="N146" i="1" s="1"/>
  <c r="D74" i="1"/>
  <c r="P74" i="1" s="1"/>
  <c r="D75" i="1"/>
  <c r="AT75" i="1" s="1"/>
  <c r="D76" i="1"/>
  <c r="AM76" i="1" s="1"/>
  <c r="D77" i="1"/>
  <c r="D78" i="1"/>
  <c r="AP78" i="1" s="1"/>
  <c r="D79" i="1"/>
  <c r="AP79" i="1" s="1"/>
  <c r="D80" i="1"/>
  <c r="X80" i="1" s="1"/>
  <c r="D81" i="1"/>
  <c r="X81" i="1" s="1"/>
  <c r="D82" i="1"/>
  <c r="X82" i="1" s="1"/>
  <c r="D83" i="1"/>
  <c r="Q83" i="1" s="1"/>
  <c r="D84" i="1"/>
  <c r="R84" i="1" s="1"/>
  <c r="D85" i="1"/>
  <c r="AS85" i="1" s="1"/>
  <c r="D86" i="1"/>
  <c r="AQ86" i="1" s="1"/>
  <c r="D87" i="1"/>
  <c r="AU87" i="1" s="1"/>
  <c r="D88" i="1"/>
  <c r="X88" i="1" s="1"/>
  <c r="D89" i="1"/>
  <c r="D90" i="1"/>
  <c r="X90" i="1" s="1"/>
  <c r="D91" i="1"/>
  <c r="X91" i="1" s="1"/>
  <c r="D92" i="1"/>
  <c r="X92" i="1" s="1"/>
  <c r="D93" i="1"/>
  <c r="X93" i="1" s="1"/>
  <c r="D94" i="1"/>
  <c r="N94" i="1" s="1"/>
  <c r="D95" i="1"/>
  <c r="AQ95" i="1" s="1"/>
  <c r="D96" i="1"/>
  <c r="P96" i="1" s="1"/>
  <c r="D97" i="1"/>
  <c r="AP97" i="1" s="1"/>
  <c r="D98" i="1"/>
  <c r="D99" i="1"/>
  <c r="X99" i="1" s="1"/>
  <c r="D100" i="1"/>
  <c r="AQ100" i="1" s="1"/>
  <c r="D101" i="1"/>
  <c r="D102" i="1"/>
  <c r="X102" i="1" s="1"/>
  <c r="D103" i="1"/>
  <c r="N103" i="1" s="1"/>
  <c r="D104" i="1"/>
  <c r="X104" i="1" s="1"/>
  <c r="D105" i="1"/>
  <c r="AM105" i="1" s="1"/>
  <c r="D106" i="1"/>
  <c r="AM106" i="1" s="1"/>
  <c r="D107" i="1"/>
  <c r="AS107" i="1" s="1"/>
  <c r="D108" i="1"/>
  <c r="P108" i="1" s="1"/>
  <c r="D109" i="1"/>
  <c r="AP109" i="1" s="1"/>
  <c r="D110" i="1"/>
  <c r="D111" i="1"/>
  <c r="V111" i="1" s="1"/>
  <c r="D113" i="1"/>
  <c r="V113" i="1" s="1"/>
  <c r="D114" i="1"/>
  <c r="D115" i="1"/>
  <c r="D116" i="1"/>
  <c r="X116" i="1" s="1"/>
  <c r="D117" i="1"/>
  <c r="AQ117" i="1" s="1"/>
  <c r="D118" i="1"/>
  <c r="AR118" i="1" s="1"/>
  <c r="D119" i="1"/>
  <c r="X119" i="1" s="1"/>
  <c r="D120" i="1"/>
  <c r="P120" i="1" s="1"/>
  <c r="D121" i="1"/>
  <c r="AQ121" i="1" s="1"/>
  <c r="D122" i="1"/>
  <c r="R122" i="1" s="1"/>
  <c r="D123" i="1"/>
  <c r="D124" i="1"/>
  <c r="AM124" i="1" s="1"/>
  <c r="D125" i="1"/>
  <c r="X125" i="1" s="1"/>
  <c r="D126" i="1"/>
  <c r="D127" i="1"/>
  <c r="D128" i="1"/>
  <c r="X128" i="1" s="1"/>
  <c r="D129" i="1"/>
  <c r="X129" i="1" s="1"/>
  <c r="D130" i="1"/>
  <c r="AQ130" i="1" s="1"/>
  <c r="D131" i="1"/>
  <c r="X131" i="1" s="1"/>
  <c r="D132" i="1"/>
  <c r="X132" i="1" s="1"/>
  <c r="D133" i="1"/>
  <c r="R133" i="1" s="1"/>
  <c r="D67" i="1"/>
  <c r="X67" i="1" s="1"/>
  <c r="D68" i="1"/>
  <c r="D69" i="1"/>
  <c r="D70" i="1"/>
  <c r="AP70" i="1" s="1"/>
  <c r="D71" i="1"/>
  <c r="D72" i="1"/>
  <c r="C72" i="1" s="1"/>
  <c r="D54" i="1"/>
  <c r="L54" i="1" s="1"/>
  <c r="D55" i="1"/>
  <c r="AM55" i="1" s="1"/>
  <c r="D56" i="1"/>
  <c r="X56" i="1" s="1"/>
  <c r="D57" i="1"/>
  <c r="AP57" i="1" s="1"/>
  <c r="D58" i="1"/>
  <c r="M58" i="1" s="1"/>
  <c r="D59" i="1"/>
  <c r="V59" i="1" s="1"/>
  <c r="D60" i="1"/>
  <c r="P60" i="1" s="1"/>
  <c r="D61" i="1"/>
  <c r="D62" i="1"/>
  <c r="D63" i="1"/>
  <c r="D64" i="1"/>
  <c r="D65" i="1"/>
  <c r="D66" i="1"/>
  <c r="Y66" i="1" s="1"/>
  <c r="D20" i="1"/>
  <c r="AP20" i="1" s="1"/>
  <c r="D21" i="1"/>
  <c r="P21" i="1" s="1"/>
  <c r="D22" i="1"/>
  <c r="BA22" i="1" s="1"/>
  <c r="D23" i="1"/>
  <c r="D24" i="1"/>
  <c r="AR24" i="1" s="1"/>
  <c r="D25" i="1"/>
  <c r="AM25" i="1" s="1"/>
  <c r="D26" i="1"/>
  <c r="D27" i="1"/>
  <c r="D28" i="1"/>
  <c r="D29" i="1"/>
  <c r="D30" i="1"/>
  <c r="D31" i="1"/>
  <c r="X31" i="1" s="1"/>
  <c r="D32" i="1"/>
  <c r="AX32" i="1" s="1"/>
  <c r="D33" i="1"/>
  <c r="AM33" i="1" s="1"/>
  <c r="D34" i="1"/>
  <c r="AW34" i="1" s="1"/>
  <c r="D35" i="1"/>
  <c r="G35" i="1" s="1"/>
  <c r="D36" i="1"/>
  <c r="D37" i="1"/>
  <c r="O37" i="1" s="1"/>
  <c r="D38" i="1"/>
  <c r="D39" i="1"/>
  <c r="D40" i="1"/>
  <c r="D41" i="1"/>
  <c r="D42" i="1"/>
  <c r="D43" i="1"/>
  <c r="X43" i="1" s="1"/>
  <c r="D44" i="1"/>
  <c r="P44" i="1" s="1"/>
  <c r="D45" i="1"/>
  <c r="Y45" i="1" s="1"/>
  <c r="D46" i="1"/>
  <c r="M46" i="1" s="1"/>
  <c r="D47" i="1"/>
  <c r="AM47" i="1" s="1"/>
  <c r="D48" i="1"/>
  <c r="X48" i="1" s="1"/>
  <c r="D49" i="1"/>
  <c r="X49" i="1" s="1"/>
  <c r="D50" i="1"/>
  <c r="D51" i="1"/>
  <c r="D52" i="1"/>
  <c r="D53" i="1"/>
  <c r="L53" i="1" s="1"/>
  <c r="D3" i="1"/>
  <c r="D4" i="1"/>
  <c r="T4" i="1" s="1"/>
  <c r="D5" i="1"/>
  <c r="AM5" i="1" s="1"/>
  <c r="D6" i="1"/>
  <c r="K6" i="1" s="1"/>
  <c r="D7" i="1"/>
  <c r="X7" i="1" s="1"/>
  <c r="D8" i="1"/>
  <c r="AP8" i="1" s="1"/>
  <c r="D9" i="1"/>
  <c r="P9" i="1" s="1"/>
  <c r="D10" i="1"/>
  <c r="P10" i="1" s="1"/>
  <c r="D11" i="1"/>
  <c r="C11" i="1" s="1"/>
  <c r="D13" i="1"/>
  <c r="D14" i="1"/>
  <c r="D15" i="1"/>
  <c r="D16" i="1"/>
  <c r="D17" i="1"/>
  <c r="AP17" i="1" s="1"/>
  <c r="D18" i="1"/>
  <c r="R18" i="1" s="1"/>
  <c r="D19" i="1"/>
  <c r="AP19" i="1" s="1"/>
  <c r="D2" i="1"/>
  <c r="V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2" i="1"/>
  <c r="C131" i="3"/>
  <c r="Y116" i="1"/>
  <c r="W55" i="1"/>
  <c r="W90" i="1"/>
  <c r="W91" i="1"/>
  <c r="W116" i="1"/>
  <c r="W158" i="1"/>
  <c r="S158" i="1"/>
  <c r="S160" i="1"/>
  <c r="Q160" i="1"/>
  <c r="O69" i="1"/>
  <c r="O75" i="1"/>
  <c r="O126" i="1"/>
  <c r="O148" i="1"/>
  <c r="O158" i="1"/>
  <c r="N43" i="1"/>
  <c r="M43" i="1"/>
  <c r="M148" i="1"/>
  <c r="L95" i="1"/>
  <c r="L183" i="1"/>
  <c r="K86" i="1"/>
  <c r="J55" i="1"/>
  <c r="I184" i="1"/>
  <c r="H35" i="1"/>
  <c r="H85" i="1"/>
  <c r="H139" i="1"/>
  <c r="H148" i="1"/>
  <c r="G23" i="1"/>
  <c r="G148" i="1"/>
  <c r="E3" i="3"/>
  <c r="E4" i="3"/>
  <c r="E5" i="3"/>
  <c r="E6" i="3"/>
  <c r="E7" i="3"/>
  <c r="E8" i="3"/>
  <c r="E9" i="3"/>
  <c r="E10" i="3"/>
  <c r="E11" i="3"/>
  <c r="E12" i="3"/>
  <c r="E13" i="3"/>
  <c r="E14"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2" i="3"/>
  <c r="D77" i="3"/>
  <c r="D78" i="3"/>
  <c r="D79" i="3"/>
  <c r="D80" i="3"/>
  <c r="D81" i="3"/>
  <c r="D82" i="3"/>
  <c r="D83" i="3"/>
  <c r="D84" i="3"/>
  <c r="D85" i="3"/>
  <c r="D86" i="3"/>
  <c r="D87" i="3"/>
  <c r="D88" i="3"/>
  <c r="D89" i="3"/>
  <c r="D90" i="3"/>
  <c r="D91" i="3"/>
  <c r="D92" i="3"/>
  <c r="D93" i="3"/>
  <c r="D94" i="3"/>
  <c r="B158" i="1" s="1"/>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2" i="3"/>
  <c r="AY155" i="1"/>
  <c r="AY158" i="1"/>
  <c r="AP11" i="1" l="1"/>
  <c r="AV12" i="1"/>
  <c r="AR73" i="1"/>
  <c r="AS74" i="1"/>
  <c r="AT146" i="1"/>
  <c r="AU147" i="1"/>
  <c r="AV180" i="1"/>
  <c r="AW181" i="1"/>
  <c r="AX185" i="1"/>
  <c r="C73" i="1"/>
  <c r="AQ11" i="1"/>
  <c r="AU12" i="1"/>
  <c r="AS73" i="1"/>
  <c r="AT74" i="1"/>
  <c r="AU146" i="1"/>
  <c r="AV147" i="1"/>
  <c r="AW180" i="1"/>
  <c r="AX181" i="1"/>
  <c r="AP186" i="1"/>
  <c r="AR11" i="1"/>
  <c r="AT12" i="1"/>
  <c r="AT73" i="1"/>
  <c r="AU74" i="1"/>
  <c r="AV146" i="1"/>
  <c r="AW147" i="1"/>
  <c r="AX180" i="1"/>
  <c r="AP185" i="1"/>
  <c r="AQ186" i="1"/>
  <c r="C74" i="1"/>
  <c r="AS11" i="1"/>
  <c r="AS12" i="1"/>
  <c r="AU73" i="1"/>
  <c r="AV74" i="1"/>
  <c r="AW146" i="1"/>
  <c r="AX147" i="1"/>
  <c r="AP181" i="1"/>
  <c r="AQ185" i="1"/>
  <c r="AR186" i="1"/>
  <c r="C146" i="1"/>
  <c r="AU11" i="1"/>
  <c r="AR12" i="1"/>
  <c r="AV73" i="1"/>
  <c r="AW74" i="1"/>
  <c r="AX146" i="1"/>
  <c r="AP180" i="1"/>
  <c r="AQ181" i="1"/>
  <c r="AR185" i="1"/>
  <c r="AS186" i="1"/>
  <c r="C147" i="1"/>
  <c r="AT11" i="1"/>
  <c r="AQ12" i="1"/>
  <c r="AW73" i="1"/>
  <c r="AX74" i="1"/>
  <c r="AP147" i="1"/>
  <c r="AQ180" i="1"/>
  <c r="AR181" i="1"/>
  <c r="AS185" i="1"/>
  <c r="AT186" i="1"/>
  <c r="C180" i="1"/>
  <c r="AV11" i="1"/>
  <c r="AP12" i="1"/>
  <c r="AX73" i="1"/>
  <c r="AP146" i="1"/>
  <c r="AQ147" i="1"/>
  <c r="AR180" i="1"/>
  <c r="AS181" i="1"/>
  <c r="AT185" i="1"/>
  <c r="AU186" i="1"/>
  <c r="C181" i="1"/>
  <c r="AW11" i="1"/>
  <c r="AW12" i="1"/>
  <c r="AP74" i="1"/>
  <c r="AQ146" i="1"/>
  <c r="AR147" i="1"/>
  <c r="AS180" i="1"/>
  <c r="AT181" i="1"/>
  <c r="AU185" i="1"/>
  <c r="AV186" i="1"/>
  <c r="C12" i="1"/>
  <c r="C185" i="1"/>
  <c r="AX11" i="1"/>
  <c r="AP73" i="1"/>
  <c r="AQ74" i="1"/>
  <c r="AR146" i="1"/>
  <c r="AS147" i="1"/>
  <c r="AT180" i="1"/>
  <c r="AU181" i="1"/>
  <c r="AV185" i="1"/>
  <c r="AW186" i="1"/>
  <c r="C186" i="1"/>
  <c r="AX12" i="1"/>
  <c r="AR74" i="1"/>
  <c r="AS146" i="1"/>
  <c r="AT147" i="1"/>
  <c r="AU180" i="1"/>
  <c r="AV181" i="1"/>
  <c r="AW185" i="1"/>
  <c r="AX186" i="1"/>
  <c r="V73" i="1"/>
  <c r="P61" i="1"/>
  <c r="V61" i="1"/>
  <c r="X61" i="1"/>
  <c r="X50" i="1"/>
  <c r="T50" i="1"/>
  <c r="R50" i="1"/>
  <c r="P50" i="1"/>
  <c r="V50" i="1"/>
  <c r="AP123" i="1"/>
  <c r="R123" i="1"/>
  <c r="X123" i="1"/>
  <c r="T123" i="1"/>
  <c r="P123" i="1"/>
  <c r="V123" i="1"/>
  <c r="O38" i="1"/>
  <c r="X38" i="1"/>
  <c r="V38" i="1"/>
  <c r="P38" i="1"/>
  <c r="AP98" i="1"/>
  <c r="V98" i="1"/>
  <c r="X98" i="1"/>
  <c r="P98" i="1"/>
  <c r="X11" i="1"/>
  <c r="P11" i="1"/>
  <c r="V11" i="1"/>
  <c r="Q26" i="1"/>
  <c r="P26" i="1"/>
  <c r="V26" i="1"/>
  <c r="X26" i="1"/>
  <c r="O110" i="1"/>
  <c r="X110" i="1"/>
  <c r="P110" i="1"/>
  <c r="V110" i="1"/>
  <c r="P68" i="1"/>
  <c r="X68" i="1"/>
  <c r="V68" i="1"/>
  <c r="Q16" i="1"/>
  <c r="P16" i="1"/>
  <c r="X16" i="1"/>
  <c r="V16" i="1"/>
  <c r="R16" i="1"/>
  <c r="T3" i="1"/>
  <c r="X3" i="1"/>
  <c r="R3" i="1"/>
  <c r="P3" i="1"/>
  <c r="V3" i="1"/>
  <c r="Q42" i="1"/>
  <c r="X42" i="1"/>
  <c r="P42" i="1"/>
  <c r="V42" i="1"/>
  <c r="X30" i="1"/>
  <c r="V30" i="1"/>
  <c r="P30" i="1"/>
  <c r="AM65" i="1"/>
  <c r="V65" i="1"/>
  <c r="X65" i="1"/>
  <c r="P65" i="1"/>
  <c r="AR72" i="1"/>
  <c r="X72" i="1"/>
  <c r="V72" i="1"/>
  <c r="P72" i="1"/>
  <c r="L127" i="1"/>
  <c r="X127" i="1"/>
  <c r="T127" i="1"/>
  <c r="P127" i="1"/>
  <c r="V127" i="1"/>
  <c r="AY127" i="1"/>
  <c r="R127" i="1"/>
  <c r="X115" i="1"/>
  <c r="P115" i="1"/>
  <c r="V115" i="1"/>
  <c r="W15" i="1"/>
  <c r="X15" i="1"/>
  <c r="P15" i="1"/>
  <c r="V15" i="1"/>
  <c r="R15" i="1"/>
  <c r="O53" i="1"/>
  <c r="V53" i="1"/>
  <c r="R53" i="1"/>
  <c r="X53" i="1"/>
  <c r="T53" i="1"/>
  <c r="P53" i="1"/>
  <c r="V41" i="1"/>
  <c r="X41" i="1"/>
  <c r="P41" i="1"/>
  <c r="V29" i="1"/>
  <c r="P29" i="1"/>
  <c r="X29" i="1"/>
  <c r="W64" i="1"/>
  <c r="X64" i="1"/>
  <c r="P64" i="1"/>
  <c r="V64" i="1"/>
  <c r="T64" i="1"/>
  <c r="AV71" i="1"/>
  <c r="X71" i="1"/>
  <c r="P71" i="1"/>
  <c r="V71" i="1"/>
  <c r="AR126" i="1"/>
  <c r="P126" i="1"/>
  <c r="V126" i="1"/>
  <c r="U126" i="1"/>
  <c r="R126" i="1"/>
  <c r="X126" i="1"/>
  <c r="T126" i="1"/>
  <c r="X114" i="1"/>
  <c r="P114" i="1"/>
  <c r="V114" i="1"/>
  <c r="G101" i="1"/>
  <c r="V101" i="1"/>
  <c r="X101" i="1"/>
  <c r="P101" i="1"/>
  <c r="R101" i="1"/>
  <c r="V89" i="1"/>
  <c r="X89" i="1"/>
  <c r="P89" i="1"/>
  <c r="AT77" i="1"/>
  <c r="V77" i="1"/>
  <c r="X77" i="1"/>
  <c r="P77" i="1"/>
  <c r="AR139" i="1"/>
  <c r="P139" i="1"/>
  <c r="V139" i="1"/>
  <c r="T139" i="1"/>
  <c r="X139" i="1"/>
  <c r="H163" i="1"/>
  <c r="R163" i="1"/>
  <c r="N163" i="1"/>
  <c r="X163" i="1"/>
  <c r="P163" i="1"/>
  <c r="V163" i="1"/>
  <c r="K149" i="1"/>
  <c r="V149" i="1"/>
  <c r="I149" i="1"/>
  <c r="X149" i="1"/>
  <c r="P149" i="1"/>
  <c r="AM177" i="1"/>
  <c r="V177" i="1"/>
  <c r="X177" i="1"/>
  <c r="P177" i="1"/>
  <c r="Y14" i="1"/>
  <c r="R14" i="1"/>
  <c r="X14" i="1"/>
  <c r="P14" i="1"/>
  <c r="V14" i="1"/>
  <c r="T14" i="1"/>
  <c r="L52" i="1"/>
  <c r="R52" i="1"/>
  <c r="X52" i="1"/>
  <c r="T52" i="1"/>
  <c r="P52" i="1"/>
  <c r="V52" i="1"/>
  <c r="AP40" i="1"/>
  <c r="X40" i="1"/>
  <c r="P40" i="1"/>
  <c r="V40" i="1"/>
  <c r="O28" i="1"/>
  <c r="P28" i="1"/>
  <c r="V28" i="1"/>
  <c r="X28" i="1"/>
  <c r="X63" i="1"/>
  <c r="P63" i="1"/>
  <c r="V63" i="1"/>
  <c r="T63" i="1"/>
  <c r="AU13" i="1"/>
  <c r="V13" i="1"/>
  <c r="X13" i="1"/>
  <c r="P13" i="1"/>
  <c r="T13" i="1"/>
  <c r="R13" i="1"/>
  <c r="R51" i="1"/>
  <c r="X51" i="1"/>
  <c r="T51" i="1"/>
  <c r="P51" i="1"/>
  <c r="V51" i="1"/>
  <c r="X39" i="1"/>
  <c r="V39" i="1"/>
  <c r="P39" i="1"/>
  <c r="AP27" i="1"/>
  <c r="P27" i="1"/>
  <c r="V27" i="1"/>
  <c r="X27" i="1"/>
  <c r="AX62" i="1"/>
  <c r="T62" i="1"/>
  <c r="X62" i="1"/>
  <c r="P62" i="1"/>
  <c r="V62" i="1"/>
  <c r="AP69" i="1"/>
  <c r="I69" i="1"/>
  <c r="M69" i="1"/>
  <c r="X69" i="1"/>
  <c r="P69" i="1"/>
  <c r="V69" i="1"/>
  <c r="C140" i="1"/>
  <c r="P140" i="1"/>
  <c r="Q164" i="1"/>
  <c r="P164" i="1"/>
  <c r="P32" i="1"/>
  <c r="P20" i="1"/>
  <c r="P7" i="1"/>
  <c r="P178" i="1"/>
  <c r="P165" i="1"/>
  <c r="P151" i="1"/>
  <c r="P138" i="1"/>
  <c r="P125" i="1"/>
  <c r="P112" i="1"/>
  <c r="P99" i="1"/>
  <c r="P86" i="1"/>
  <c r="P73" i="1"/>
  <c r="P47" i="1"/>
  <c r="R164" i="1"/>
  <c r="R130" i="1"/>
  <c r="R94" i="1"/>
  <c r="R48" i="1"/>
  <c r="T145" i="1"/>
  <c r="T48" i="1"/>
  <c r="V18" i="1"/>
  <c r="V5" i="1"/>
  <c r="V150" i="1"/>
  <c r="V136" i="1"/>
  <c r="V97" i="1"/>
  <c r="V84" i="1"/>
  <c r="V58" i="1"/>
  <c r="AH58" i="1" s="1"/>
  <c r="V45" i="1"/>
  <c r="V32" i="1"/>
  <c r="X2" i="1"/>
  <c r="X12" i="1"/>
  <c r="X178" i="1"/>
  <c r="X165" i="1"/>
  <c r="X113" i="1"/>
  <c r="X100" i="1"/>
  <c r="X87" i="1"/>
  <c r="X74" i="1"/>
  <c r="X47" i="1"/>
  <c r="X34" i="1"/>
  <c r="P31" i="1"/>
  <c r="P19" i="1"/>
  <c r="P6" i="1"/>
  <c r="P150" i="1"/>
  <c r="P137" i="1"/>
  <c r="P124" i="1"/>
  <c r="P111" i="1"/>
  <c r="P85" i="1"/>
  <c r="P59" i="1"/>
  <c r="P46" i="1"/>
  <c r="R162" i="1"/>
  <c r="R129" i="1"/>
  <c r="R93" i="1"/>
  <c r="T2" i="1"/>
  <c r="T144" i="1"/>
  <c r="T125" i="1"/>
  <c r="T20" i="1"/>
  <c r="V17" i="1"/>
  <c r="V4" i="1"/>
  <c r="V175" i="1"/>
  <c r="V162" i="1"/>
  <c r="V148" i="1"/>
  <c r="V135" i="1"/>
  <c r="V122" i="1"/>
  <c r="V109" i="1"/>
  <c r="V96" i="1"/>
  <c r="V83" i="1"/>
  <c r="V70" i="1"/>
  <c r="V57" i="1"/>
  <c r="V44" i="1"/>
  <c r="V31" i="1"/>
  <c r="X24" i="1"/>
  <c r="X10" i="1"/>
  <c r="X164" i="1"/>
  <c r="X151" i="1"/>
  <c r="X138" i="1"/>
  <c r="X112" i="1"/>
  <c r="X86" i="1"/>
  <c r="AJ86" i="1" s="1"/>
  <c r="X73" i="1"/>
  <c r="X59" i="1"/>
  <c r="X46" i="1"/>
  <c r="AJ46" i="1" s="1"/>
  <c r="AM125" i="1"/>
  <c r="V125" i="1"/>
  <c r="AM176" i="1"/>
  <c r="P176" i="1"/>
  <c r="P18" i="1"/>
  <c r="P5" i="1"/>
  <c r="P175" i="1"/>
  <c r="P162" i="1"/>
  <c r="P136" i="1"/>
  <c r="P97" i="1"/>
  <c r="P84" i="1"/>
  <c r="P58" i="1"/>
  <c r="P45" i="1"/>
  <c r="R128" i="1"/>
  <c r="R86" i="1"/>
  <c r="T186" i="1"/>
  <c r="T143" i="1"/>
  <c r="T124" i="1"/>
  <c r="T19" i="1"/>
  <c r="V174" i="1"/>
  <c r="AH174" i="1" s="1"/>
  <c r="V160" i="1"/>
  <c r="V147" i="1"/>
  <c r="V134" i="1"/>
  <c r="V121" i="1"/>
  <c r="V108" i="1"/>
  <c r="V95" i="1"/>
  <c r="V82" i="1"/>
  <c r="V56" i="1"/>
  <c r="V43" i="1"/>
  <c r="AH43" i="1" s="1"/>
  <c r="X22" i="1"/>
  <c r="X9" i="1"/>
  <c r="X176" i="1"/>
  <c r="X150" i="1"/>
  <c r="X137" i="1"/>
  <c r="X124" i="1"/>
  <c r="X111" i="1"/>
  <c r="X85" i="1"/>
  <c r="X58" i="1"/>
  <c r="AJ58" i="1" s="1"/>
  <c r="X45" i="1"/>
  <c r="AJ45" i="1" s="1"/>
  <c r="AP99" i="1"/>
  <c r="R99" i="1"/>
  <c r="Q161" i="1"/>
  <c r="V161" i="1"/>
  <c r="P17" i="1"/>
  <c r="P174" i="1"/>
  <c r="P161" i="1"/>
  <c r="P148" i="1"/>
  <c r="P135" i="1"/>
  <c r="P122" i="1"/>
  <c r="P109" i="1"/>
  <c r="P83" i="1"/>
  <c r="P70" i="1"/>
  <c r="P57" i="1"/>
  <c r="P43" i="1"/>
  <c r="AJ43" i="1" s="1"/>
  <c r="R7" i="1"/>
  <c r="R85" i="1"/>
  <c r="T185" i="1"/>
  <c r="T18" i="1"/>
  <c r="V186" i="1"/>
  <c r="V172" i="1"/>
  <c r="V159" i="1"/>
  <c r="V146" i="1"/>
  <c r="V133" i="1"/>
  <c r="V120" i="1"/>
  <c r="V107" i="1"/>
  <c r="V94" i="1"/>
  <c r="V81" i="1"/>
  <c r="V55" i="1"/>
  <c r="X21" i="1"/>
  <c r="X8" i="1"/>
  <c r="X175" i="1"/>
  <c r="X162" i="1"/>
  <c r="X136" i="1"/>
  <c r="X97" i="1"/>
  <c r="X83" i="1"/>
  <c r="X70" i="1"/>
  <c r="X57" i="1"/>
  <c r="X44" i="1"/>
  <c r="I160" i="1"/>
  <c r="T160" i="1"/>
  <c r="P2" i="1"/>
  <c r="P186" i="1"/>
  <c r="P173" i="1"/>
  <c r="P160" i="1"/>
  <c r="P147" i="1"/>
  <c r="P134" i="1"/>
  <c r="P121" i="1"/>
  <c r="P95" i="1"/>
  <c r="P82" i="1"/>
  <c r="P55" i="1"/>
  <c r="R6" i="1"/>
  <c r="R159" i="1"/>
  <c r="T176" i="1"/>
  <c r="T138" i="1"/>
  <c r="T122" i="1"/>
  <c r="V184" i="1"/>
  <c r="V171" i="1"/>
  <c r="V158" i="1"/>
  <c r="V145" i="1"/>
  <c r="V132" i="1"/>
  <c r="V119" i="1"/>
  <c r="V106" i="1"/>
  <c r="V93" i="1"/>
  <c r="V80" i="1"/>
  <c r="V67" i="1"/>
  <c r="V54" i="1"/>
  <c r="X20" i="1"/>
  <c r="X25" i="1"/>
  <c r="AJ25" i="1" s="1"/>
  <c r="X174" i="1"/>
  <c r="AJ174" i="1" s="1"/>
  <c r="X161" i="1"/>
  <c r="X148" i="1"/>
  <c r="X122" i="1"/>
  <c r="X109" i="1"/>
  <c r="X95" i="1"/>
  <c r="P185" i="1"/>
  <c r="P172" i="1"/>
  <c r="P159" i="1"/>
  <c r="P146" i="1"/>
  <c r="P133" i="1"/>
  <c r="P107" i="1"/>
  <c r="P94" i="1"/>
  <c r="P81" i="1"/>
  <c r="P67" i="1"/>
  <c r="P54" i="1"/>
  <c r="R5" i="1"/>
  <c r="R158" i="1"/>
  <c r="R125" i="1"/>
  <c r="R81" i="1"/>
  <c r="T175" i="1"/>
  <c r="T137" i="1"/>
  <c r="V12" i="1"/>
  <c r="V183" i="1"/>
  <c r="V170" i="1"/>
  <c r="V157" i="1"/>
  <c r="V144" i="1"/>
  <c r="V131" i="1"/>
  <c r="V118" i="1"/>
  <c r="V105" i="1"/>
  <c r="V92" i="1"/>
  <c r="V79" i="1"/>
  <c r="V66" i="1"/>
  <c r="X19" i="1"/>
  <c r="X6" i="1"/>
  <c r="X186" i="1"/>
  <c r="X160" i="1"/>
  <c r="X134" i="1"/>
  <c r="X121" i="1"/>
  <c r="X107" i="1"/>
  <c r="X94" i="1"/>
  <c r="X55" i="1"/>
  <c r="I185" i="1"/>
  <c r="AM36" i="1"/>
  <c r="X36" i="1"/>
  <c r="AQ108" i="1"/>
  <c r="X108" i="1"/>
  <c r="AQ96" i="1"/>
  <c r="X96" i="1"/>
  <c r="M84" i="1"/>
  <c r="X84" i="1"/>
  <c r="P184" i="1"/>
  <c r="P171" i="1"/>
  <c r="P158" i="1"/>
  <c r="P145" i="1"/>
  <c r="P132" i="1"/>
  <c r="P119" i="1"/>
  <c r="P106" i="1"/>
  <c r="P93" i="1"/>
  <c r="P79" i="1"/>
  <c r="P66" i="1"/>
  <c r="R4" i="1"/>
  <c r="R157" i="1"/>
  <c r="R124" i="1"/>
  <c r="R80" i="1"/>
  <c r="T174" i="1"/>
  <c r="T133" i="1"/>
  <c r="T6" i="1"/>
  <c r="V182" i="1"/>
  <c r="AH182" i="1" s="1"/>
  <c r="V169" i="1"/>
  <c r="V156" i="1"/>
  <c r="V143" i="1"/>
  <c r="V130" i="1"/>
  <c r="V117" i="1"/>
  <c r="V104" i="1"/>
  <c r="V91" i="1"/>
  <c r="V78" i="1"/>
  <c r="V25" i="1"/>
  <c r="X18" i="1"/>
  <c r="X5" i="1"/>
  <c r="X185" i="1"/>
  <c r="X159" i="1"/>
  <c r="X146" i="1"/>
  <c r="X133" i="1"/>
  <c r="X106" i="1"/>
  <c r="X54" i="1"/>
  <c r="N174" i="1"/>
  <c r="U185" i="1"/>
  <c r="AM23" i="1"/>
  <c r="X23" i="1"/>
  <c r="AP120" i="1"/>
  <c r="X120" i="1"/>
  <c r="P37" i="1"/>
  <c r="P25" i="1"/>
  <c r="P183" i="1"/>
  <c r="P170" i="1"/>
  <c r="P157" i="1"/>
  <c r="P131" i="1"/>
  <c r="P118" i="1"/>
  <c r="P105" i="1"/>
  <c r="P91" i="1"/>
  <c r="P78" i="1"/>
  <c r="R2" i="1"/>
  <c r="R145" i="1"/>
  <c r="R79" i="1"/>
  <c r="T162" i="1"/>
  <c r="T132" i="1"/>
  <c r="T5" i="1"/>
  <c r="V10" i="1"/>
  <c r="V181" i="1"/>
  <c r="V155" i="1"/>
  <c r="V142" i="1"/>
  <c r="V129" i="1"/>
  <c r="V116" i="1"/>
  <c r="V103" i="1"/>
  <c r="V90" i="1"/>
  <c r="V76" i="1"/>
  <c r="V37" i="1"/>
  <c r="V24" i="1"/>
  <c r="X17" i="1"/>
  <c r="X4" i="1"/>
  <c r="AJ4" i="1" s="1"/>
  <c r="X184" i="1"/>
  <c r="X158" i="1"/>
  <c r="X118" i="1"/>
  <c r="X105" i="1"/>
  <c r="X79" i="1"/>
  <c r="X66" i="1"/>
  <c r="AR60" i="1"/>
  <c r="X60" i="1"/>
  <c r="AP7" i="1"/>
  <c r="T7" i="1"/>
  <c r="U131" i="1"/>
  <c r="T131" i="1"/>
  <c r="R131" i="1"/>
  <c r="AQ144" i="1"/>
  <c r="X144" i="1"/>
  <c r="AM168" i="1"/>
  <c r="X168" i="1"/>
  <c r="P36" i="1"/>
  <c r="P24" i="1"/>
  <c r="P182" i="1"/>
  <c r="P169" i="1"/>
  <c r="P156" i="1"/>
  <c r="P143" i="1"/>
  <c r="P130" i="1"/>
  <c r="P117" i="1"/>
  <c r="P103" i="1"/>
  <c r="P90" i="1"/>
  <c r="R20" i="1"/>
  <c r="R176" i="1"/>
  <c r="R144" i="1"/>
  <c r="T161" i="1"/>
  <c r="T130" i="1"/>
  <c r="V9" i="1"/>
  <c r="V167" i="1"/>
  <c r="V154" i="1"/>
  <c r="V141" i="1"/>
  <c r="V128" i="1"/>
  <c r="V102" i="1"/>
  <c r="V88" i="1"/>
  <c r="V75" i="1"/>
  <c r="V49" i="1"/>
  <c r="V36" i="1"/>
  <c r="V23" i="1"/>
  <c r="X183" i="1"/>
  <c r="X170" i="1"/>
  <c r="X157" i="1"/>
  <c r="X143" i="1"/>
  <c r="X130" i="1"/>
  <c r="X117" i="1"/>
  <c r="X78" i="1"/>
  <c r="AY56" i="1"/>
  <c r="P56" i="1"/>
  <c r="P35" i="1"/>
  <c r="P23" i="1"/>
  <c r="P181" i="1"/>
  <c r="P168" i="1"/>
  <c r="P155" i="1"/>
  <c r="P142" i="1"/>
  <c r="P129" i="1"/>
  <c r="P102" i="1"/>
  <c r="P76" i="1"/>
  <c r="R19" i="1"/>
  <c r="R175" i="1"/>
  <c r="R143" i="1"/>
  <c r="T159" i="1"/>
  <c r="T129" i="1"/>
  <c r="V8" i="1"/>
  <c r="V179" i="1"/>
  <c r="V166" i="1"/>
  <c r="V153" i="1"/>
  <c r="V140" i="1"/>
  <c r="AH140" i="1" s="1"/>
  <c r="V100" i="1"/>
  <c r="V87" i="1"/>
  <c r="V74" i="1"/>
  <c r="V48" i="1"/>
  <c r="V35" i="1"/>
  <c r="V22" i="1"/>
  <c r="X33" i="1"/>
  <c r="X182" i="1"/>
  <c r="AJ182" i="1" s="1"/>
  <c r="X169" i="1"/>
  <c r="X155" i="1"/>
  <c r="X142" i="1"/>
  <c r="X103" i="1"/>
  <c r="AQ173" i="1"/>
  <c r="V173" i="1"/>
  <c r="J148" i="1"/>
  <c r="O178" i="1"/>
  <c r="L104" i="1"/>
  <c r="P104" i="1"/>
  <c r="W92" i="1"/>
  <c r="P92" i="1"/>
  <c r="AP80" i="1"/>
  <c r="P80" i="1"/>
  <c r="K152" i="1"/>
  <c r="P152" i="1"/>
  <c r="L180" i="1"/>
  <c r="X180" i="1"/>
  <c r="P34" i="1"/>
  <c r="P22" i="1"/>
  <c r="P180" i="1"/>
  <c r="P167" i="1"/>
  <c r="P154" i="1"/>
  <c r="P141" i="1"/>
  <c r="P88" i="1"/>
  <c r="P75" i="1"/>
  <c r="P49" i="1"/>
  <c r="R174" i="1"/>
  <c r="R100" i="1"/>
  <c r="T158" i="1"/>
  <c r="T128" i="1"/>
  <c r="V7" i="1"/>
  <c r="V178" i="1"/>
  <c r="V165" i="1"/>
  <c r="V152" i="1"/>
  <c r="V112" i="1"/>
  <c r="V99" i="1"/>
  <c r="V86" i="1"/>
  <c r="V60" i="1"/>
  <c r="V47" i="1"/>
  <c r="V34" i="1"/>
  <c r="V21" i="1"/>
  <c r="X32" i="1"/>
  <c r="X181" i="1"/>
  <c r="X167" i="1"/>
  <c r="X154" i="1"/>
  <c r="X141" i="1"/>
  <c r="X76" i="1"/>
  <c r="X37" i="1"/>
  <c r="G160" i="1"/>
  <c r="Y4" i="1"/>
  <c r="P4" i="1"/>
  <c r="AV128" i="1"/>
  <c r="P128" i="1"/>
  <c r="AM116" i="1"/>
  <c r="P116" i="1"/>
  <c r="P33" i="1"/>
  <c r="P8" i="1"/>
  <c r="P179" i="1"/>
  <c r="P166" i="1"/>
  <c r="P153" i="1"/>
  <c r="P113" i="1"/>
  <c r="P100" i="1"/>
  <c r="P87" i="1"/>
  <c r="P48" i="1"/>
  <c r="R17" i="1"/>
  <c r="R165" i="1"/>
  <c r="R132" i="1"/>
  <c r="R95" i="1"/>
  <c r="R49" i="1"/>
  <c r="T157" i="1"/>
  <c r="T49" i="1"/>
  <c r="V19" i="1"/>
  <c r="V6" i="1"/>
  <c r="V164" i="1"/>
  <c r="V151" i="1"/>
  <c r="V124" i="1"/>
  <c r="V85" i="1"/>
  <c r="V46" i="1"/>
  <c r="AH46" i="1" s="1"/>
  <c r="V33" i="1"/>
  <c r="V20" i="1"/>
  <c r="X166" i="1"/>
  <c r="X153" i="1"/>
  <c r="X140" i="1"/>
  <c r="X75" i="1"/>
  <c r="X35" i="1"/>
  <c r="I126" i="1"/>
  <c r="G126" i="1"/>
  <c r="N101" i="1"/>
  <c r="N69" i="1"/>
  <c r="K69" i="1"/>
  <c r="L126" i="1"/>
  <c r="AY126" i="1"/>
  <c r="H162" i="1"/>
  <c r="N56" i="1"/>
  <c r="H161" i="1"/>
  <c r="J149" i="1"/>
  <c r="M149" i="1"/>
  <c r="Y56" i="1"/>
  <c r="I56" i="1"/>
  <c r="O149" i="1"/>
  <c r="K170" i="1"/>
  <c r="W159" i="1"/>
  <c r="I55" i="1"/>
  <c r="N55" i="1"/>
  <c r="Q123" i="1"/>
  <c r="G55" i="1"/>
  <c r="L22" i="1"/>
  <c r="G146" i="1"/>
  <c r="O146" i="1"/>
  <c r="AY180" i="1"/>
  <c r="G140" i="1"/>
  <c r="M140" i="1"/>
  <c r="O127" i="1"/>
  <c r="Y184" i="1"/>
  <c r="G127" i="1"/>
  <c r="L125" i="1"/>
  <c r="U184" i="1"/>
  <c r="L123" i="1"/>
  <c r="N140" i="1"/>
  <c r="AY154" i="1"/>
  <c r="L96" i="1"/>
  <c r="M22" i="1"/>
  <c r="W181" i="1"/>
  <c r="H170" i="1"/>
  <c r="I150" i="1"/>
  <c r="L76" i="1"/>
  <c r="Q124" i="1"/>
  <c r="G141" i="1"/>
  <c r="AY96" i="1"/>
  <c r="G106" i="1"/>
  <c r="M106" i="1"/>
  <c r="N106" i="1"/>
  <c r="N37" i="1"/>
  <c r="Q54" i="1"/>
  <c r="U36" i="1"/>
  <c r="Y142" i="1"/>
  <c r="O86" i="1"/>
  <c r="J46" i="1"/>
  <c r="K15" i="1"/>
  <c r="J16" i="1"/>
  <c r="L46" i="1"/>
  <c r="G64" i="1"/>
  <c r="H96" i="1"/>
  <c r="I140" i="1"/>
  <c r="K184" i="1"/>
  <c r="L17" i="1"/>
  <c r="N35" i="1"/>
  <c r="S174" i="1"/>
  <c r="K54" i="1"/>
  <c r="I54" i="1"/>
  <c r="G76" i="1"/>
  <c r="I142" i="1"/>
  <c r="J166" i="1"/>
  <c r="J15" i="1"/>
  <c r="N36" i="1"/>
  <c r="Y140" i="1"/>
  <c r="AY174" i="1"/>
  <c r="K174" i="1"/>
  <c r="L16" i="1"/>
  <c r="N5" i="1"/>
  <c r="Y64" i="1"/>
  <c r="J54" i="1"/>
  <c r="J36" i="1"/>
  <c r="M108" i="1"/>
  <c r="I16" i="1"/>
  <c r="AY76" i="1"/>
  <c r="M86" i="1"/>
  <c r="Q46" i="1"/>
  <c r="AY175" i="1"/>
  <c r="AY166" i="1"/>
  <c r="G54" i="1"/>
  <c r="H76" i="1"/>
  <c r="I106" i="1"/>
  <c r="J96" i="1"/>
  <c r="M175" i="1"/>
  <c r="M26" i="1"/>
  <c r="N86" i="1"/>
  <c r="O5" i="1"/>
  <c r="W140" i="1"/>
  <c r="N54" i="1"/>
  <c r="U37" i="1"/>
  <c r="H54" i="1"/>
  <c r="I86" i="1"/>
  <c r="J76" i="1"/>
  <c r="M174" i="1"/>
  <c r="Q184" i="1"/>
  <c r="S5" i="1"/>
  <c r="S6" i="1"/>
  <c r="O66" i="1"/>
  <c r="W54" i="1"/>
  <c r="H7" i="1"/>
  <c r="O65" i="1"/>
  <c r="W6" i="1"/>
  <c r="H6" i="1"/>
  <c r="O64" i="1"/>
  <c r="G65" i="1"/>
  <c r="L124" i="1"/>
  <c r="M36" i="1"/>
  <c r="N26" i="1"/>
  <c r="Y36" i="1"/>
  <c r="I17" i="1"/>
  <c r="G15" i="1"/>
  <c r="H55" i="1"/>
  <c r="I15" i="1"/>
  <c r="G16" i="1"/>
  <c r="AY149" i="1"/>
  <c r="AY7" i="1"/>
  <c r="H180" i="1"/>
  <c r="I158" i="1"/>
  <c r="I64" i="1"/>
  <c r="J150" i="1"/>
  <c r="J17" i="1"/>
  <c r="K148" i="1"/>
  <c r="L158" i="1"/>
  <c r="L66" i="1"/>
  <c r="M150" i="1"/>
  <c r="N144" i="1"/>
  <c r="N57" i="1"/>
  <c r="AY54" i="1"/>
  <c r="G17" i="1"/>
  <c r="K151" i="1"/>
  <c r="N162" i="1"/>
  <c r="Q47" i="1"/>
  <c r="U158" i="1"/>
  <c r="Y146" i="1"/>
  <c r="AY55" i="1"/>
  <c r="Y148" i="1"/>
  <c r="AY16" i="1"/>
  <c r="L80" i="1"/>
  <c r="M55" i="1"/>
  <c r="N149" i="1"/>
  <c r="N65" i="1"/>
  <c r="G42" i="1"/>
  <c r="L8" i="1"/>
  <c r="J162" i="1"/>
  <c r="K150" i="1"/>
  <c r="AY150" i="1"/>
  <c r="AY8" i="1"/>
  <c r="H84" i="1"/>
  <c r="I159" i="1"/>
  <c r="I65" i="1"/>
  <c r="J161" i="1"/>
  <c r="J32" i="1"/>
  <c r="M151" i="1"/>
  <c r="M54" i="1"/>
  <c r="N148" i="1"/>
  <c r="N64" i="1"/>
  <c r="N6" i="1"/>
  <c r="O100" i="1"/>
  <c r="O6" i="1"/>
  <c r="U130" i="1"/>
  <c r="AY35" i="1"/>
  <c r="H5" i="1"/>
  <c r="L36" i="1"/>
  <c r="M42" i="1"/>
  <c r="S4" i="1"/>
  <c r="Y65" i="1"/>
  <c r="N141" i="1"/>
  <c r="AY15" i="1"/>
  <c r="J167" i="1"/>
  <c r="Q17" i="1"/>
  <c r="L35" i="1"/>
  <c r="O25" i="1"/>
  <c r="W35" i="1"/>
  <c r="J45" i="1"/>
  <c r="Q15" i="1"/>
  <c r="W141" i="1"/>
  <c r="U25" i="1"/>
  <c r="O14" i="1"/>
  <c r="K45" i="1"/>
  <c r="O13" i="1"/>
  <c r="I4" i="1"/>
  <c r="K35" i="1"/>
  <c r="AY14" i="1"/>
  <c r="G45" i="1"/>
  <c r="J84" i="1"/>
  <c r="J25" i="1"/>
  <c r="K25" i="1"/>
  <c r="M141" i="1"/>
  <c r="O52" i="1"/>
  <c r="W11" i="1"/>
  <c r="C184" i="1"/>
  <c r="C112" i="1"/>
  <c r="AM13" i="1"/>
  <c r="AM174" i="1"/>
  <c r="AM144" i="1"/>
  <c r="AM98" i="1"/>
  <c r="AM69" i="1"/>
  <c r="AP52" i="1"/>
  <c r="AP168" i="1"/>
  <c r="AP112" i="1"/>
  <c r="AQ34" i="1"/>
  <c r="AQ155" i="1"/>
  <c r="AQ106" i="1"/>
  <c r="AQ52" i="1"/>
  <c r="AR112" i="1"/>
  <c r="AS42" i="1"/>
  <c r="AU176" i="1"/>
  <c r="AV141" i="1"/>
  <c r="BA165" i="1"/>
  <c r="G14" i="1"/>
  <c r="I14" i="1"/>
  <c r="M4" i="1"/>
  <c r="N25" i="1"/>
  <c r="Q14" i="1"/>
  <c r="L14" i="1"/>
  <c r="O4" i="1"/>
  <c r="Y35" i="1"/>
  <c r="C183" i="1"/>
  <c r="C71" i="1"/>
  <c r="AM11" i="1"/>
  <c r="AM169" i="1"/>
  <c r="AM139" i="1"/>
  <c r="AM97" i="1"/>
  <c r="AM66" i="1"/>
  <c r="AP44" i="1"/>
  <c r="AP167" i="1"/>
  <c r="AP100" i="1"/>
  <c r="AQ27" i="1"/>
  <c r="AQ153" i="1"/>
  <c r="AQ98" i="1"/>
  <c r="AQ44" i="1"/>
  <c r="AR107" i="1"/>
  <c r="AS24" i="1"/>
  <c r="AU165" i="1"/>
  <c r="AV139" i="1"/>
  <c r="BA97" i="1"/>
  <c r="L25" i="1"/>
  <c r="M14" i="1"/>
  <c r="U4" i="1"/>
  <c r="G4" i="1"/>
  <c r="H4" i="1"/>
  <c r="C176" i="1"/>
  <c r="AM128" i="1"/>
  <c r="AM96" i="1"/>
  <c r="AP42" i="1"/>
  <c r="AP165" i="1"/>
  <c r="AQ26" i="1"/>
  <c r="AQ184" i="1"/>
  <c r="AQ142" i="1"/>
  <c r="AQ97" i="1"/>
  <c r="AQ42" i="1"/>
  <c r="AR105" i="1"/>
  <c r="AS167" i="1"/>
  <c r="AS22" i="1"/>
  <c r="AU141" i="1"/>
  <c r="AV107" i="1"/>
  <c r="BA85" i="1"/>
  <c r="H97" i="1"/>
  <c r="H14" i="1"/>
  <c r="J35" i="1"/>
  <c r="AY77" i="1"/>
  <c r="M45" i="1"/>
  <c r="N14" i="1"/>
  <c r="W14" i="1"/>
  <c r="N45" i="1"/>
  <c r="O45" i="1"/>
  <c r="Q45" i="1"/>
  <c r="AY4" i="1"/>
  <c r="G25" i="1"/>
  <c r="I25" i="1"/>
  <c r="K4" i="1"/>
  <c r="L4" i="1"/>
  <c r="M35" i="1"/>
  <c r="N42" i="1"/>
  <c r="Q35" i="1"/>
  <c r="S14" i="1"/>
  <c r="U52" i="1"/>
  <c r="C175" i="1"/>
  <c r="AM4" i="1"/>
  <c r="AM167" i="1"/>
  <c r="AM126" i="1"/>
  <c r="AM95" i="1"/>
  <c r="AM64" i="1"/>
  <c r="AP32" i="1"/>
  <c r="AP155" i="1"/>
  <c r="AQ24" i="1"/>
  <c r="AQ176" i="1"/>
  <c r="AQ141" i="1"/>
  <c r="AR176" i="1"/>
  <c r="AR95" i="1"/>
  <c r="AS165" i="1"/>
  <c r="AT52" i="1"/>
  <c r="AU107" i="1"/>
  <c r="Q4" i="1"/>
  <c r="H77" i="1"/>
  <c r="J77" i="1"/>
  <c r="I35" i="1"/>
  <c r="K14" i="1"/>
  <c r="AY52" i="1"/>
  <c r="G77" i="1"/>
  <c r="I22" i="1"/>
  <c r="J14" i="1"/>
  <c r="K87" i="1"/>
  <c r="L45" i="1"/>
  <c r="O35" i="1"/>
  <c r="Q25" i="1"/>
  <c r="Y141" i="1"/>
  <c r="C166" i="1"/>
  <c r="AM3" i="1"/>
  <c r="AM165" i="1"/>
  <c r="AM87" i="1"/>
  <c r="AM46" i="1"/>
  <c r="AP71" i="1"/>
  <c r="AP153" i="1"/>
  <c r="AP87" i="1"/>
  <c r="AQ23" i="1"/>
  <c r="AQ175" i="1"/>
  <c r="AQ140" i="1"/>
  <c r="AR167" i="1"/>
  <c r="AS153" i="1"/>
  <c r="AT176" i="1"/>
  <c r="AU85" i="1"/>
  <c r="AW155" i="1"/>
  <c r="U14" i="1"/>
  <c r="AG14" i="1" s="1"/>
  <c r="W25" i="1"/>
  <c r="G107" i="1"/>
  <c r="I45" i="1"/>
  <c r="N87" i="1"/>
  <c r="N4" i="1"/>
  <c r="O87" i="1"/>
  <c r="W4" i="1"/>
  <c r="AY45" i="1"/>
  <c r="H45" i="1"/>
  <c r="J4" i="1"/>
  <c r="M25" i="1"/>
  <c r="W45" i="1"/>
  <c r="C165" i="1"/>
  <c r="AM158" i="1"/>
  <c r="AM118" i="1"/>
  <c r="AM85" i="1"/>
  <c r="AM45" i="1"/>
  <c r="AQ22" i="1"/>
  <c r="AQ174" i="1"/>
  <c r="AQ128" i="1"/>
  <c r="AQ87" i="1"/>
  <c r="AR165" i="1"/>
  <c r="AR71" i="1"/>
  <c r="AS112" i="1"/>
  <c r="AT175" i="1"/>
  <c r="AU75" i="1"/>
  <c r="C156" i="1"/>
  <c r="AM185" i="1"/>
  <c r="AM117" i="1"/>
  <c r="AM78" i="1"/>
  <c r="AM44" i="1"/>
  <c r="AP60" i="1"/>
  <c r="AP144" i="1"/>
  <c r="AQ13" i="1"/>
  <c r="AQ118" i="1"/>
  <c r="AQ85" i="1"/>
  <c r="AR155" i="1"/>
  <c r="AR62" i="1"/>
  <c r="AS97" i="1"/>
  <c r="AT167" i="1"/>
  <c r="AY25" i="1"/>
  <c r="C155" i="1"/>
  <c r="AM24" i="1"/>
  <c r="AM156" i="1"/>
  <c r="AM77" i="1"/>
  <c r="AM34" i="1"/>
  <c r="AP143" i="1"/>
  <c r="AQ167" i="1"/>
  <c r="AQ77" i="1"/>
  <c r="AT112" i="1"/>
  <c r="AV176" i="1"/>
  <c r="Y25" i="1"/>
  <c r="C24" i="1"/>
  <c r="C154" i="1"/>
  <c r="AM155" i="1"/>
  <c r="AM107" i="1"/>
  <c r="AP175" i="1"/>
  <c r="AP77" i="1"/>
  <c r="AQ4" i="1"/>
  <c r="AQ166" i="1"/>
  <c r="AQ75" i="1"/>
  <c r="AR34" i="1"/>
  <c r="AS77" i="1"/>
  <c r="AV175" i="1"/>
  <c r="AX105" i="1"/>
  <c r="H25" i="1"/>
  <c r="J128" i="1"/>
  <c r="J97" i="1"/>
  <c r="C3" i="1"/>
  <c r="AM22" i="1"/>
  <c r="AM175" i="1"/>
  <c r="AM154" i="1"/>
  <c r="AM75" i="1"/>
  <c r="AP54" i="1"/>
  <c r="AP121" i="1"/>
  <c r="AP75" i="1"/>
  <c r="AQ3" i="1"/>
  <c r="AQ165" i="1"/>
  <c r="AQ107" i="1"/>
  <c r="AQ62" i="1"/>
  <c r="AS44" i="1"/>
  <c r="Y51" i="1"/>
  <c r="AX51" i="1"/>
  <c r="AU51" i="1"/>
  <c r="AS51" i="1"/>
  <c r="AM51" i="1"/>
  <c r="AR51" i="1"/>
  <c r="AQ51" i="1"/>
  <c r="AV51" i="1"/>
  <c r="AW51" i="1"/>
  <c r="BA51" i="1"/>
  <c r="AP51" i="1"/>
  <c r="AT51" i="1"/>
  <c r="U51" i="1"/>
  <c r="O41" i="1"/>
  <c r="AX41" i="1"/>
  <c r="AW41" i="1"/>
  <c r="BA41" i="1"/>
  <c r="AV41" i="1"/>
  <c r="AR41" i="1"/>
  <c r="AU41" i="1"/>
  <c r="AM41" i="1"/>
  <c r="AS41" i="1"/>
  <c r="AT41" i="1"/>
  <c r="AQ41" i="1"/>
  <c r="Q31" i="1"/>
  <c r="AW31" i="1"/>
  <c r="AR31" i="1"/>
  <c r="BA31" i="1"/>
  <c r="AV31" i="1"/>
  <c r="AU31" i="1"/>
  <c r="AQ31" i="1"/>
  <c r="AM31" i="1"/>
  <c r="AX31" i="1"/>
  <c r="AT31" i="1"/>
  <c r="AS31" i="1"/>
  <c r="J31" i="1"/>
  <c r="AF31" i="1" s="1"/>
  <c r="AP31" i="1"/>
  <c r="J21" i="1"/>
  <c r="AW21" i="1"/>
  <c r="AX21" i="1"/>
  <c r="AT21" i="1"/>
  <c r="AR21" i="1"/>
  <c r="AU21" i="1"/>
  <c r="AQ21" i="1"/>
  <c r="BA21" i="1"/>
  <c r="AS21" i="1"/>
  <c r="AP21" i="1"/>
  <c r="AV21" i="1"/>
  <c r="W59" i="1"/>
  <c r="AU59" i="1"/>
  <c r="BA59" i="1"/>
  <c r="AX59" i="1"/>
  <c r="AW59" i="1"/>
  <c r="AV59" i="1"/>
  <c r="AQ59" i="1"/>
  <c r="AT59" i="1"/>
  <c r="AS59" i="1"/>
  <c r="AR59" i="1"/>
  <c r="AM59" i="1"/>
  <c r="Y68" i="1"/>
  <c r="AW68" i="1"/>
  <c r="AT68" i="1"/>
  <c r="AS68" i="1"/>
  <c r="BA68" i="1"/>
  <c r="AV68" i="1"/>
  <c r="AR68" i="1"/>
  <c r="AU68" i="1"/>
  <c r="AX68" i="1"/>
  <c r="AQ68" i="1"/>
  <c r="AP68" i="1"/>
  <c r="AM68" i="1"/>
  <c r="N68" i="1"/>
  <c r="S125" i="1"/>
  <c r="AV125" i="1"/>
  <c r="AU125" i="1"/>
  <c r="BA125" i="1"/>
  <c r="AT125" i="1"/>
  <c r="AQ125" i="1"/>
  <c r="AS125" i="1"/>
  <c r="AW125" i="1"/>
  <c r="AX125" i="1"/>
  <c r="AR125" i="1"/>
  <c r="AP125" i="1"/>
  <c r="Y115" i="1"/>
  <c r="AV115" i="1"/>
  <c r="AU115" i="1"/>
  <c r="BA115" i="1"/>
  <c r="AX115" i="1"/>
  <c r="AW115" i="1"/>
  <c r="AT115" i="1"/>
  <c r="AS115" i="1"/>
  <c r="AR115" i="1"/>
  <c r="AQ115" i="1"/>
  <c r="AP115" i="1"/>
  <c r="AM115" i="1"/>
  <c r="O115" i="1"/>
  <c r="Y104" i="1"/>
  <c r="AV104" i="1"/>
  <c r="BA104" i="1"/>
  <c r="AU104" i="1"/>
  <c r="AT104" i="1"/>
  <c r="AW104" i="1"/>
  <c r="AS104" i="1"/>
  <c r="AQ104" i="1"/>
  <c r="AX104" i="1"/>
  <c r="AR104" i="1"/>
  <c r="AP104" i="1"/>
  <c r="I94" i="1"/>
  <c r="AV94" i="1"/>
  <c r="BA94" i="1"/>
  <c r="AX94" i="1"/>
  <c r="AT94" i="1"/>
  <c r="AW94" i="1"/>
  <c r="AU94" i="1"/>
  <c r="AS94" i="1"/>
  <c r="AP94" i="1"/>
  <c r="AQ94" i="1"/>
  <c r="AR94" i="1"/>
  <c r="AM94" i="1"/>
  <c r="Y94" i="1"/>
  <c r="L94" i="1"/>
  <c r="Q84" i="1"/>
  <c r="AV84" i="1"/>
  <c r="AT84" i="1"/>
  <c r="AU84" i="1"/>
  <c r="AX84" i="1"/>
  <c r="AS84" i="1"/>
  <c r="AR84" i="1"/>
  <c r="AP84" i="1"/>
  <c r="AW84" i="1"/>
  <c r="BA84" i="1"/>
  <c r="AQ84" i="1"/>
  <c r="W74" i="1"/>
  <c r="G74" i="1"/>
  <c r="AM74" i="1"/>
  <c r="AY74" i="1"/>
  <c r="O74" i="1"/>
  <c r="Y138" i="1"/>
  <c r="AT138" i="1"/>
  <c r="AW138" i="1"/>
  <c r="AS138" i="1"/>
  <c r="BA138" i="1"/>
  <c r="AU138" i="1"/>
  <c r="AV138" i="1"/>
  <c r="AX138" i="1"/>
  <c r="AQ138" i="1"/>
  <c r="AR138" i="1"/>
  <c r="AP138" i="1"/>
  <c r="K138" i="1"/>
  <c r="M138" i="1"/>
  <c r="W164" i="1"/>
  <c r="AV164" i="1"/>
  <c r="AX164" i="1"/>
  <c r="AW164" i="1"/>
  <c r="BA164" i="1"/>
  <c r="AR164" i="1"/>
  <c r="AT164" i="1"/>
  <c r="AU164" i="1"/>
  <c r="AM164" i="1"/>
  <c r="C164" i="1"/>
  <c r="AS164" i="1"/>
  <c r="AQ164" i="1"/>
  <c r="AP164" i="1"/>
  <c r="Q152" i="1"/>
  <c r="BA152" i="1"/>
  <c r="AX152" i="1"/>
  <c r="AT152" i="1"/>
  <c r="AR152" i="1"/>
  <c r="AV152" i="1"/>
  <c r="AU152" i="1"/>
  <c r="AM152" i="1"/>
  <c r="AP152" i="1"/>
  <c r="AW152" i="1"/>
  <c r="AS152" i="1"/>
  <c r="G152" i="1"/>
  <c r="AQ152" i="1"/>
  <c r="M152" i="1"/>
  <c r="AJ152" i="1" s="1"/>
  <c r="J152" i="1"/>
  <c r="AF152" i="1" s="1"/>
  <c r="W182" i="1"/>
  <c r="BA182" i="1"/>
  <c r="AU182" i="1"/>
  <c r="AW182" i="1"/>
  <c r="AT182" i="1"/>
  <c r="AS182" i="1"/>
  <c r="AV182" i="1"/>
  <c r="AR182" i="1"/>
  <c r="AQ182" i="1"/>
  <c r="AM182" i="1"/>
  <c r="AX182" i="1"/>
  <c r="AP182" i="1"/>
  <c r="M182" i="1"/>
  <c r="H182" i="1"/>
  <c r="AY172" i="1"/>
  <c r="BA172" i="1"/>
  <c r="AT172" i="1"/>
  <c r="AU172" i="1"/>
  <c r="AX172" i="1"/>
  <c r="AV172" i="1"/>
  <c r="AS172" i="1"/>
  <c r="AP172" i="1"/>
  <c r="C172" i="1"/>
  <c r="AM172" i="1"/>
  <c r="AR172" i="1"/>
  <c r="AQ172" i="1"/>
  <c r="AW172" i="1"/>
  <c r="Y67" i="1"/>
  <c r="AX67" i="1"/>
  <c r="BA67" i="1"/>
  <c r="AT67" i="1"/>
  <c r="AV67" i="1"/>
  <c r="AU67" i="1"/>
  <c r="AQ67" i="1"/>
  <c r="AW67" i="1"/>
  <c r="AS67" i="1"/>
  <c r="AR67" i="1"/>
  <c r="AP67" i="1"/>
  <c r="AM67" i="1"/>
  <c r="N67" i="1"/>
  <c r="S124" i="1"/>
  <c r="AV124" i="1"/>
  <c r="BA124" i="1"/>
  <c r="AT124" i="1"/>
  <c r="AS124" i="1"/>
  <c r="AW124" i="1"/>
  <c r="AU124" i="1"/>
  <c r="AX124" i="1"/>
  <c r="AR124" i="1"/>
  <c r="AQ124" i="1"/>
  <c r="H124" i="1"/>
  <c r="G124" i="1"/>
  <c r="M114" i="1"/>
  <c r="AV114" i="1"/>
  <c r="BA114" i="1"/>
  <c r="AX114" i="1"/>
  <c r="AW114" i="1"/>
  <c r="AU114" i="1"/>
  <c r="AS114" i="1"/>
  <c r="AQ114" i="1"/>
  <c r="AT114" i="1"/>
  <c r="AP114" i="1"/>
  <c r="AR114" i="1"/>
  <c r="AM114" i="1"/>
  <c r="O114" i="1"/>
  <c r="H114" i="1"/>
  <c r="Y103" i="1"/>
  <c r="AR103" i="1"/>
  <c r="AU103" i="1"/>
  <c r="AT103" i="1"/>
  <c r="AW103" i="1"/>
  <c r="AS103" i="1"/>
  <c r="AQ103" i="1"/>
  <c r="AX103" i="1"/>
  <c r="AM103" i="1"/>
  <c r="AV103" i="1"/>
  <c r="BA103" i="1"/>
  <c r="AP103" i="1"/>
  <c r="I103" i="1"/>
  <c r="J103" i="1"/>
  <c r="U93" i="1"/>
  <c r="BA93" i="1"/>
  <c r="AV93" i="1"/>
  <c r="AW93" i="1"/>
  <c r="AU93" i="1"/>
  <c r="AR93" i="1"/>
  <c r="AX93" i="1"/>
  <c r="AT93" i="1"/>
  <c r="AS93" i="1"/>
  <c r="AQ93" i="1"/>
  <c r="AM93" i="1"/>
  <c r="AP93" i="1"/>
  <c r="I93" i="1"/>
  <c r="Y93" i="1"/>
  <c r="L93" i="1"/>
  <c r="G93" i="1"/>
  <c r="Y83" i="1"/>
  <c r="AV83" i="1"/>
  <c r="AT83" i="1"/>
  <c r="AR83" i="1"/>
  <c r="AU83" i="1"/>
  <c r="AX83" i="1"/>
  <c r="AS83" i="1"/>
  <c r="BA83" i="1"/>
  <c r="AP83" i="1"/>
  <c r="AW83" i="1"/>
  <c r="AQ83" i="1"/>
  <c r="AM83" i="1"/>
  <c r="M83" i="1"/>
  <c r="AM73" i="1"/>
  <c r="Y137" i="1"/>
  <c r="BA137" i="1"/>
  <c r="AU137" i="1"/>
  <c r="AT137" i="1"/>
  <c r="AS137" i="1"/>
  <c r="AV137" i="1"/>
  <c r="AW137" i="1"/>
  <c r="AQ137" i="1"/>
  <c r="AP137" i="1"/>
  <c r="AX137" i="1"/>
  <c r="AR137" i="1"/>
  <c r="M137" i="1"/>
  <c r="G137" i="1"/>
  <c r="W163" i="1"/>
  <c r="BA163" i="1"/>
  <c r="AW163" i="1"/>
  <c r="AR163" i="1"/>
  <c r="AT163" i="1"/>
  <c r="AP163" i="1"/>
  <c r="AM163" i="1"/>
  <c r="AU163" i="1"/>
  <c r="AS163" i="1"/>
  <c r="AV163" i="1"/>
  <c r="AX163" i="1"/>
  <c r="L163" i="1"/>
  <c r="AQ163" i="1"/>
  <c r="Y151" i="1"/>
  <c r="AX151" i="1"/>
  <c r="AW151" i="1"/>
  <c r="AT151" i="1"/>
  <c r="AU151" i="1"/>
  <c r="AV151" i="1"/>
  <c r="BA151" i="1"/>
  <c r="AS151" i="1"/>
  <c r="AM151" i="1"/>
  <c r="AP151" i="1"/>
  <c r="AR151" i="1"/>
  <c r="G151" i="1"/>
  <c r="J151" i="1"/>
  <c r="Y181" i="1"/>
  <c r="AM181" i="1"/>
  <c r="H181" i="1"/>
  <c r="G181" i="1"/>
  <c r="O171" i="1"/>
  <c r="BA171" i="1"/>
  <c r="AX171" i="1"/>
  <c r="AW171" i="1"/>
  <c r="AU171" i="1"/>
  <c r="AT171" i="1"/>
  <c r="AV171" i="1"/>
  <c r="AS171" i="1"/>
  <c r="AM171" i="1"/>
  <c r="AR171" i="1"/>
  <c r="AQ171" i="1"/>
  <c r="AP171" i="1"/>
  <c r="J171" i="1"/>
  <c r="AF171" i="1" s="1"/>
  <c r="Q171" i="1"/>
  <c r="AM21" i="1"/>
  <c r="Y9" i="1"/>
  <c r="BA9" i="1"/>
  <c r="AW9" i="1"/>
  <c r="AU9" i="1"/>
  <c r="AV9" i="1"/>
  <c r="AT9" i="1"/>
  <c r="AR9" i="1"/>
  <c r="AQ9" i="1"/>
  <c r="AM9" i="1"/>
  <c r="AS9" i="1"/>
  <c r="AX9" i="1"/>
  <c r="W18" i="1"/>
  <c r="AW18" i="1"/>
  <c r="AS18" i="1"/>
  <c r="BA18" i="1"/>
  <c r="AX18" i="1"/>
  <c r="AR18" i="1"/>
  <c r="AM18" i="1"/>
  <c r="AV18" i="1"/>
  <c r="AU18" i="1"/>
  <c r="AT18" i="1"/>
  <c r="AQ18" i="1"/>
  <c r="S18" i="1"/>
  <c r="I18" i="1"/>
  <c r="AY18" i="1"/>
  <c r="M113" i="1"/>
  <c r="AH113" i="1" s="1"/>
  <c r="AW113" i="1"/>
  <c r="AR113" i="1"/>
  <c r="BA113" i="1"/>
  <c r="AX113" i="1"/>
  <c r="AV113" i="1"/>
  <c r="AU113" i="1"/>
  <c r="AM113" i="1"/>
  <c r="AT113" i="1"/>
  <c r="AQ113" i="1"/>
  <c r="AS113" i="1"/>
  <c r="J113" i="1"/>
  <c r="AD113" i="1" s="1"/>
  <c r="AP113" i="1"/>
  <c r="H113" i="1"/>
  <c r="N92" i="1"/>
  <c r="BA92" i="1"/>
  <c r="AV92" i="1"/>
  <c r="AW92" i="1"/>
  <c r="AU92" i="1"/>
  <c r="AS92" i="1"/>
  <c r="AX92" i="1"/>
  <c r="AT92" i="1"/>
  <c r="AQ92" i="1"/>
  <c r="AM92" i="1"/>
  <c r="AR92" i="1"/>
  <c r="AP92" i="1"/>
  <c r="C170" i="1"/>
  <c r="BA170" i="1"/>
  <c r="AW170" i="1"/>
  <c r="AX170" i="1"/>
  <c r="AU170" i="1"/>
  <c r="AV170" i="1"/>
  <c r="AR170" i="1"/>
  <c r="AQ170" i="1"/>
  <c r="AT170" i="1"/>
  <c r="AP170" i="1"/>
  <c r="AS170" i="1"/>
  <c r="AM170" i="1"/>
  <c r="I170" i="1"/>
  <c r="W170" i="1"/>
  <c r="O170" i="1"/>
  <c r="L170" i="1"/>
  <c r="Q170" i="1"/>
  <c r="AM58" i="1"/>
  <c r="AP18" i="1"/>
  <c r="AP124" i="1"/>
  <c r="I19" i="1"/>
  <c r="BA19" i="1"/>
  <c r="AU19" i="1"/>
  <c r="AW19" i="1"/>
  <c r="AX19" i="1"/>
  <c r="AR19" i="1"/>
  <c r="AQ19" i="1"/>
  <c r="AS19" i="1"/>
  <c r="AM19" i="1"/>
  <c r="AV19" i="1"/>
  <c r="AT19" i="1"/>
  <c r="M59" i="1"/>
  <c r="AH59" i="1" s="1"/>
  <c r="O49" i="1"/>
  <c r="AU49" i="1"/>
  <c r="BA49" i="1"/>
  <c r="AX49" i="1"/>
  <c r="AS49" i="1"/>
  <c r="AQ49" i="1"/>
  <c r="AW49" i="1"/>
  <c r="AT49" i="1"/>
  <c r="AV49" i="1"/>
  <c r="AM49" i="1"/>
  <c r="AR49" i="1"/>
  <c r="AP49" i="1"/>
  <c r="C136" i="1"/>
  <c r="AX136" i="1"/>
  <c r="AV136" i="1"/>
  <c r="BA136" i="1"/>
  <c r="AU136" i="1"/>
  <c r="AP136" i="1"/>
  <c r="AW136" i="1"/>
  <c r="AQ136" i="1"/>
  <c r="AR136" i="1"/>
  <c r="AT136" i="1"/>
  <c r="AS136" i="1"/>
  <c r="AM136" i="1"/>
  <c r="Y136" i="1"/>
  <c r="N136" i="1"/>
  <c r="G136" i="1"/>
  <c r="J136" i="1"/>
  <c r="M136" i="1"/>
  <c r="AY136" i="1"/>
  <c r="L136" i="1"/>
  <c r="K136" i="1"/>
  <c r="O136" i="1"/>
  <c r="H136" i="1"/>
  <c r="Y38" i="1"/>
  <c r="AW38" i="1"/>
  <c r="BA38" i="1"/>
  <c r="AX38" i="1"/>
  <c r="AS38" i="1"/>
  <c r="AU38" i="1"/>
  <c r="AV38" i="1"/>
  <c r="AT38" i="1"/>
  <c r="AR38" i="1"/>
  <c r="AQ38" i="1"/>
  <c r="U38" i="1"/>
  <c r="C149" i="1"/>
  <c r="AW149" i="1"/>
  <c r="AU149" i="1"/>
  <c r="AX149" i="1"/>
  <c r="AT149" i="1"/>
  <c r="BA149" i="1"/>
  <c r="AS149" i="1"/>
  <c r="AQ149" i="1"/>
  <c r="AV149" i="1"/>
  <c r="AR149" i="1"/>
  <c r="AP149" i="1"/>
  <c r="W149" i="1"/>
  <c r="AM149" i="1"/>
  <c r="H149" i="1"/>
  <c r="G149" i="1"/>
  <c r="Q149" i="1"/>
  <c r="AM84" i="1"/>
  <c r="I50" i="1"/>
  <c r="BA50" i="1"/>
  <c r="AU50" i="1"/>
  <c r="AX50" i="1"/>
  <c r="AS50" i="1"/>
  <c r="AR50" i="1"/>
  <c r="AQ50" i="1"/>
  <c r="AT50" i="1"/>
  <c r="AV50" i="1"/>
  <c r="AW50" i="1"/>
  <c r="AM50" i="1"/>
  <c r="AP50" i="1"/>
  <c r="C82" i="1"/>
  <c r="BA82" i="1"/>
  <c r="AU82" i="1"/>
  <c r="AT82" i="1"/>
  <c r="AS82" i="1"/>
  <c r="AW82" i="1"/>
  <c r="AX82" i="1"/>
  <c r="AR82" i="1"/>
  <c r="AQ82" i="1"/>
  <c r="AM82" i="1"/>
  <c r="AV82" i="1"/>
  <c r="AP82" i="1"/>
  <c r="G20" i="1"/>
  <c r="AW20" i="1"/>
  <c r="BA20" i="1"/>
  <c r="AX20" i="1"/>
  <c r="AR20" i="1"/>
  <c r="AT20" i="1"/>
  <c r="AQ20" i="1"/>
  <c r="AS20" i="1"/>
  <c r="AV20" i="1"/>
  <c r="AU20" i="1"/>
  <c r="AM20" i="1"/>
  <c r="O29" i="1"/>
  <c r="BA29" i="1"/>
  <c r="AU29" i="1"/>
  <c r="AV29" i="1"/>
  <c r="AX29" i="1"/>
  <c r="AS29" i="1"/>
  <c r="AW29" i="1"/>
  <c r="AT29" i="1"/>
  <c r="AR29" i="1"/>
  <c r="AQ29" i="1"/>
  <c r="AM29" i="1"/>
  <c r="AP29" i="1"/>
  <c r="Y123" i="1"/>
  <c r="BA123" i="1"/>
  <c r="AX123" i="1"/>
  <c r="AR123" i="1"/>
  <c r="AV123" i="1"/>
  <c r="AT123" i="1"/>
  <c r="AW123" i="1"/>
  <c r="AU123" i="1"/>
  <c r="AM123" i="1"/>
  <c r="AQ123" i="1"/>
  <c r="AS123" i="1"/>
  <c r="S123" i="1"/>
  <c r="N123" i="1"/>
  <c r="AM180" i="1"/>
  <c r="Q180" i="1"/>
  <c r="W180" i="1"/>
  <c r="I180" i="1"/>
  <c r="G180" i="1"/>
  <c r="J180" i="1"/>
  <c r="W7" i="1"/>
  <c r="BA7" i="1"/>
  <c r="AX7" i="1"/>
  <c r="AW7" i="1"/>
  <c r="AV7" i="1"/>
  <c r="AU7" i="1"/>
  <c r="AM7" i="1"/>
  <c r="AR7" i="1"/>
  <c r="AS7" i="1"/>
  <c r="AQ7" i="1"/>
  <c r="Q7" i="1"/>
  <c r="J7" i="1"/>
  <c r="AF7" i="1" s="1"/>
  <c r="AT7" i="1"/>
  <c r="N7" i="1"/>
  <c r="M7" i="1"/>
  <c r="AJ7" i="1" s="1"/>
  <c r="K7" i="1"/>
  <c r="L7" i="1"/>
  <c r="C56" i="1"/>
  <c r="AX56" i="1"/>
  <c r="AV56" i="1"/>
  <c r="AW56" i="1"/>
  <c r="AU56" i="1"/>
  <c r="BA56" i="1"/>
  <c r="AR56" i="1"/>
  <c r="AS56" i="1"/>
  <c r="AT56" i="1"/>
  <c r="AQ56" i="1"/>
  <c r="AP56" i="1"/>
  <c r="AM56" i="1"/>
  <c r="J56" i="1"/>
  <c r="AF56" i="1" s="1"/>
  <c r="H56" i="1"/>
  <c r="Q56" i="1"/>
  <c r="K56" i="1"/>
  <c r="L56" i="1"/>
  <c r="Q111" i="1"/>
  <c r="AX111" i="1"/>
  <c r="BA111" i="1"/>
  <c r="AW111" i="1"/>
  <c r="AV111" i="1"/>
  <c r="AM111" i="1"/>
  <c r="AS111" i="1"/>
  <c r="AT111" i="1"/>
  <c r="AR111" i="1"/>
  <c r="AU111" i="1"/>
  <c r="U111" i="1"/>
  <c r="AQ111" i="1"/>
  <c r="AP111" i="1"/>
  <c r="N145" i="1"/>
  <c r="BA145" i="1"/>
  <c r="AX145" i="1"/>
  <c r="AW145" i="1"/>
  <c r="AV145" i="1"/>
  <c r="AT145" i="1"/>
  <c r="AS145" i="1"/>
  <c r="AQ145" i="1"/>
  <c r="AU145" i="1"/>
  <c r="AR145" i="1"/>
  <c r="AM145" i="1"/>
  <c r="C159" i="1"/>
  <c r="AW159" i="1"/>
  <c r="AU159" i="1"/>
  <c r="BA159" i="1"/>
  <c r="AT159" i="1"/>
  <c r="AQ159" i="1"/>
  <c r="AV159" i="1"/>
  <c r="AR159" i="1"/>
  <c r="AS159" i="1"/>
  <c r="AX159" i="1"/>
  <c r="AP159" i="1"/>
  <c r="Q159" i="1"/>
  <c r="J159" i="1"/>
  <c r="H159" i="1"/>
  <c r="AM159" i="1"/>
  <c r="U159" i="1"/>
  <c r="O159" i="1"/>
  <c r="AY159" i="1"/>
  <c r="K159" i="1"/>
  <c r="Y159" i="1"/>
  <c r="N159" i="1"/>
  <c r="M159" i="1"/>
  <c r="O113" i="1"/>
  <c r="Y180" i="1"/>
  <c r="H146" i="1"/>
  <c r="I136" i="1"/>
  <c r="J138" i="1"/>
  <c r="M56" i="1"/>
  <c r="AJ56" i="1" s="1"/>
  <c r="O180" i="1"/>
  <c r="O111" i="1"/>
  <c r="S162" i="1"/>
  <c r="W152" i="1"/>
  <c r="W56" i="1"/>
  <c r="Y171" i="1"/>
  <c r="AM138" i="1"/>
  <c r="AP41" i="1"/>
  <c r="W2" i="1"/>
  <c r="AX2" i="1"/>
  <c r="BA2" i="1"/>
  <c r="AW2" i="1"/>
  <c r="AV2" i="1"/>
  <c r="AU2" i="1"/>
  <c r="AQ2" i="1"/>
  <c r="AM2" i="1"/>
  <c r="AR2" i="1"/>
  <c r="AS2" i="1"/>
  <c r="AT2" i="1"/>
  <c r="AP2" i="1"/>
  <c r="W30" i="1"/>
  <c r="AW30" i="1"/>
  <c r="AV30" i="1"/>
  <c r="AR30" i="1"/>
  <c r="AX30" i="1"/>
  <c r="AQ30" i="1"/>
  <c r="AM30" i="1"/>
  <c r="BA30" i="1"/>
  <c r="AS30" i="1"/>
  <c r="AU30" i="1"/>
  <c r="AP30" i="1"/>
  <c r="L30" i="1"/>
  <c r="AT30" i="1"/>
  <c r="J30" i="1"/>
  <c r="Q8" i="1"/>
  <c r="AW8" i="1"/>
  <c r="AS8" i="1"/>
  <c r="AX8" i="1"/>
  <c r="AR8" i="1"/>
  <c r="AV8" i="1"/>
  <c r="AU8" i="1"/>
  <c r="AT8" i="1"/>
  <c r="AQ8" i="1"/>
  <c r="BA8" i="1"/>
  <c r="AM8" i="1"/>
  <c r="J8" i="1"/>
  <c r="H8" i="1"/>
  <c r="C102" i="1"/>
  <c r="BA102" i="1"/>
  <c r="AT102" i="1"/>
  <c r="AX102" i="1"/>
  <c r="AM102" i="1"/>
  <c r="AR102" i="1"/>
  <c r="AU102" i="1"/>
  <c r="AW102" i="1"/>
  <c r="AV102" i="1"/>
  <c r="AS102" i="1"/>
  <c r="AQ102" i="1"/>
  <c r="C150" i="1"/>
  <c r="BA150" i="1"/>
  <c r="AW150" i="1"/>
  <c r="AT150" i="1"/>
  <c r="AX150" i="1"/>
  <c r="AU150" i="1"/>
  <c r="AS150" i="1"/>
  <c r="AV150" i="1"/>
  <c r="AP150" i="1"/>
  <c r="AQ150" i="1"/>
  <c r="AM150" i="1"/>
  <c r="AR150" i="1"/>
  <c r="Y150" i="1"/>
  <c r="N150" i="1"/>
  <c r="H150" i="1"/>
  <c r="G150" i="1"/>
  <c r="Q150" i="1"/>
  <c r="G138" i="1"/>
  <c r="N93" i="1"/>
  <c r="Q163" i="1"/>
  <c r="Y48" i="1"/>
  <c r="AW48" i="1"/>
  <c r="BA48" i="1"/>
  <c r="AU48" i="1"/>
  <c r="AS48" i="1"/>
  <c r="AV48" i="1"/>
  <c r="AT48" i="1"/>
  <c r="AX48" i="1"/>
  <c r="AQ48" i="1"/>
  <c r="AP48" i="1"/>
  <c r="AR48" i="1"/>
  <c r="AM48" i="1"/>
  <c r="N48" i="1"/>
  <c r="O48" i="1"/>
  <c r="Q132" i="1"/>
  <c r="BA132" i="1"/>
  <c r="AX132" i="1"/>
  <c r="AW132" i="1"/>
  <c r="AV132" i="1"/>
  <c r="AR132" i="1"/>
  <c r="AU132" i="1"/>
  <c r="AM132" i="1"/>
  <c r="AT132" i="1"/>
  <c r="AP132" i="1"/>
  <c r="AS132" i="1"/>
  <c r="AQ132" i="1"/>
  <c r="Q101" i="1"/>
  <c r="AX101" i="1"/>
  <c r="BA101" i="1"/>
  <c r="AM101" i="1"/>
  <c r="AR101" i="1"/>
  <c r="AU101" i="1"/>
  <c r="AT101" i="1"/>
  <c r="AW101" i="1"/>
  <c r="AV101" i="1"/>
  <c r="AS101" i="1"/>
  <c r="AQ101" i="1"/>
  <c r="C161" i="1"/>
  <c r="BA161" i="1"/>
  <c r="AX161" i="1"/>
  <c r="AW161" i="1"/>
  <c r="AT161" i="1"/>
  <c r="AU161" i="1"/>
  <c r="AS161" i="1"/>
  <c r="AP161" i="1"/>
  <c r="AM161" i="1"/>
  <c r="AQ161" i="1"/>
  <c r="AV161" i="1"/>
  <c r="AR161" i="1"/>
  <c r="AY161" i="1"/>
  <c r="Y161" i="1"/>
  <c r="K161" i="1"/>
  <c r="N161" i="1"/>
  <c r="I161" i="1"/>
  <c r="W161" i="1"/>
  <c r="L161" i="1"/>
  <c r="U161" i="1"/>
  <c r="O161" i="1"/>
  <c r="M161" i="1"/>
  <c r="AY170" i="1"/>
  <c r="J170" i="1"/>
  <c r="K182" i="1"/>
  <c r="L149" i="1"/>
  <c r="O56" i="1"/>
  <c r="S161" i="1"/>
  <c r="U7" i="1"/>
  <c r="W151" i="1"/>
  <c r="Y170" i="1"/>
  <c r="AM137" i="1"/>
  <c r="AM104" i="1"/>
  <c r="AM38" i="1"/>
  <c r="AW10" i="1"/>
  <c r="AV10" i="1"/>
  <c r="AT10" i="1"/>
  <c r="AP10" i="1"/>
  <c r="AR10" i="1"/>
  <c r="AX10" i="1"/>
  <c r="BA10" i="1"/>
  <c r="AQ10" i="1"/>
  <c r="AU10" i="1"/>
  <c r="AS10" i="1"/>
  <c r="W58" i="1"/>
  <c r="AW58" i="1"/>
  <c r="AX58" i="1"/>
  <c r="AS58" i="1"/>
  <c r="AU58" i="1"/>
  <c r="AV58" i="1"/>
  <c r="AT58" i="1"/>
  <c r="AQ58" i="1"/>
  <c r="BA58" i="1"/>
  <c r="AR58" i="1"/>
  <c r="O39" i="1"/>
  <c r="AU39" i="1"/>
  <c r="BA39" i="1"/>
  <c r="AX39" i="1"/>
  <c r="AW39" i="1"/>
  <c r="AS39" i="1"/>
  <c r="AV39" i="1"/>
  <c r="AR39" i="1"/>
  <c r="AT39" i="1"/>
  <c r="AQ39" i="1"/>
  <c r="AM39" i="1"/>
  <c r="Q73" i="1"/>
  <c r="O133" i="1"/>
  <c r="BA133" i="1"/>
  <c r="AX133" i="1"/>
  <c r="AV133" i="1"/>
  <c r="AR133" i="1"/>
  <c r="AW133" i="1"/>
  <c r="AU133" i="1"/>
  <c r="AM133" i="1"/>
  <c r="AT133" i="1"/>
  <c r="AS133" i="1"/>
  <c r="N133" i="1"/>
  <c r="AP133" i="1"/>
  <c r="AQ133" i="1"/>
  <c r="J133" i="1"/>
  <c r="L133" i="1"/>
  <c r="K133" i="1"/>
  <c r="AM146" i="1"/>
  <c r="L146" i="1"/>
  <c r="I146" i="1"/>
  <c r="AY146" i="1"/>
  <c r="K146" i="1"/>
  <c r="W146" i="1"/>
  <c r="H83" i="1"/>
  <c r="M146" i="1"/>
  <c r="C66" i="1"/>
  <c r="AX66" i="1"/>
  <c r="AW66" i="1"/>
  <c r="AV66" i="1"/>
  <c r="BA66" i="1"/>
  <c r="AR66" i="1"/>
  <c r="AU66" i="1"/>
  <c r="AP66" i="1"/>
  <c r="AT66" i="1"/>
  <c r="AS66" i="1"/>
  <c r="AY66" i="1"/>
  <c r="J66" i="1"/>
  <c r="AQ66" i="1"/>
  <c r="H66" i="1"/>
  <c r="N66" i="1"/>
  <c r="I66" i="1"/>
  <c r="G66" i="1"/>
  <c r="W66" i="1"/>
  <c r="M66" i="1"/>
  <c r="Q66" i="1"/>
  <c r="K66" i="1"/>
  <c r="Q122" i="1"/>
  <c r="BA122" i="1"/>
  <c r="AX122" i="1"/>
  <c r="AV122" i="1"/>
  <c r="AT122" i="1"/>
  <c r="AU122" i="1"/>
  <c r="AM122" i="1"/>
  <c r="AS122" i="1"/>
  <c r="AW122" i="1"/>
  <c r="AR122" i="1"/>
  <c r="AQ122" i="1"/>
  <c r="N91" i="1"/>
  <c r="AX91" i="1"/>
  <c r="BA91" i="1"/>
  <c r="AV91" i="1"/>
  <c r="AM91" i="1"/>
  <c r="AU91" i="1"/>
  <c r="AS91" i="1"/>
  <c r="AW91" i="1"/>
  <c r="AR91" i="1"/>
  <c r="AT91" i="1"/>
  <c r="AQ91" i="1"/>
  <c r="AP91" i="1"/>
  <c r="O179" i="1"/>
  <c r="AW179" i="1"/>
  <c r="AU179" i="1"/>
  <c r="BA179" i="1"/>
  <c r="AV179" i="1"/>
  <c r="AT179" i="1"/>
  <c r="AQ179" i="1"/>
  <c r="AX179" i="1"/>
  <c r="AR179" i="1"/>
  <c r="AM179" i="1"/>
  <c r="AP179" i="1"/>
  <c r="AS179" i="1"/>
  <c r="AY51" i="1"/>
  <c r="L152" i="1"/>
  <c r="M180" i="1"/>
  <c r="Q162" i="1"/>
  <c r="AM10" i="1"/>
  <c r="AP122" i="1"/>
  <c r="AY123" i="1"/>
  <c r="G162" i="1"/>
  <c r="G56" i="1"/>
  <c r="G161" i="1"/>
  <c r="G114" i="1"/>
  <c r="AY93" i="1"/>
  <c r="G113" i="1"/>
  <c r="G7" i="1"/>
  <c r="H138" i="1"/>
  <c r="I123" i="1"/>
  <c r="K180" i="1"/>
  <c r="K84" i="1"/>
  <c r="L74" i="1"/>
  <c r="M170" i="1"/>
  <c r="O101" i="1"/>
  <c r="O7" i="1"/>
  <c r="Q146" i="1"/>
  <c r="U137" i="1"/>
  <c r="W150" i="1"/>
  <c r="AP39" i="1"/>
  <c r="AP59" i="1"/>
  <c r="AP102" i="1"/>
  <c r="O40" i="1"/>
  <c r="BA40" i="1"/>
  <c r="AW40" i="1"/>
  <c r="AU40" i="1"/>
  <c r="AX40" i="1"/>
  <c r="AS40" i="1"/>
  <c r="AV40" i="1"/>
  <c r="AT40" i="1"/>
  <c r="AQ40" i="1"/>
  <c r="AM40" i="1"/>
  <c r="AR40" i="1"/>
  <c r="O57" i="1"/>
  <c r="AW57" i="1"/>
  <c r="AX57" i="1"/>
  <c r="AU57" i="1"/>
  <c r="AV57" i="1"/>
  <c r="AT57" i="1"/>
  <c r="BA57" i="1"/>
  <c r="AR57" i="1"/>
  <c r="AQ57" i="1"/>
  <c r="AS57" i="1"/>
  <c r="J57" i="1"/>
  <c r="AM57" i="1"/>
  <c r="C162" i="1"/>
  <c r="BA162" i="1"/>
  <c r="AT162" i="1"/>
  <c r="AU162" i="1"/>
  <c r="AW162" i="1"/>
  <c r="AS162" i="1"/>
  <c r="AP162" i="1"/>
  <c r="AM162" i="1"/>
  <c r="AV162" i="1"/>
  <c r="AX162" i="1"/>
  <c r="I162" i="1"/>
  <c r="L162" i="1"/>
  <c r="AR162" i="1"/>
  <c r="U162" i="1"/>
  <c r="O162" i="1"/>
  <c r="AY162" i="1"/>
  <c r="AQ162" i="1"/>
  <c r="W162" i="1"/>
  <c r="K162" i="1"/>
  <c r="Y17" i="1"/>
  <c r="AG17" i="1" s="1"/>
  <c r="BA17" i="1"/>
  <c r="AX17" i="1"/>
  <c r="AW17" i="1"/>
  <c r="AU17" i="1"/>
  <c r="AS17" i="1"/>
  <c r="AM17" i="1"/>
  <c r="AV17" i="1"/>
  <c r="AT17" i="1"/>
  <c r="AQ17" i="1"/>
  <c r="AR17" i="1"/>
  <c r="AY17" i="1"/>
  <c r="W17" i="1"/>
  <c r="O17" i="1"/>
  <c r="S17" i="1"/>
  <c r="H17" i="1"/>
  <c r="M28" i="1"/>
  <c r="AW28" i="1"/>
  <c r="AX28" i="1"/>
  <c r="AV28" i="1"/>
  <c r="AS28" i="1"/>
  <c r="AU28" i="1"/>
  <c r="AT28" i="1"/>
  <c r="BA28" i="1"/>
  <c r="AR28" i="1"/>
  <c r="AQ28" i="1"/>
  <c r="AM28" i="1"/>
  <c r="AP28" i="1"/>
  <c r="C81" i="1"/>
  <c r="AX81" i="1"/>
  <c r="BA81" i="1"/>
  <c r="AU81" i="1"/>
  <c r="AW81" i="1"/>
  <c r="AS81" i="1"/>
  <c r="AQ81" i="1"/>
  <c r="AM81" i="1"/>
  <c r="AV81" i="1"/>
  <c r="AT81" i="1"/>
  <c r="AP81" i="1"/>
  <c r="AR81" i="1"/>
  <c r="W81" i="1"/>
  <c r="L81" i="1"/>
  <c r="N135" i="1"/>
  <c r="BA135" i="1"/>
  <c r="AX135" i="1"/>
  <c r="AV135" i="1"/>
  <c r="AW135" i="1"/>
  <c r="AU135" i="1"/>
  <c r="AR135" i="1"/>
  <c r="AT135" i="1"/>
  <c r="AS135" i="1"/>
  <c r="AQ135" i="1"/>
  <c r="AP135" i="1"/>
  <c r="AM135" i="1"/>
  <c r="G170" i="1"/>
  <c r="I7" i="1"/>
  <c r="J146" i="1"/>
  <c r="K20" i="1"/>
  <c r="M57" i="1"/>
  <c r="AY171" i="1"/>
  <c r="G159" i="1"/>
  <c r="H137" i="1"/>
  <c r="K74" i="1"/>
  <c r="L73" i="1"/>
  <c r="L18" i="1"/>
  <c r="M162" i="1"/>
  <c r="M93" i="1"/>
  <c r="AJ93" i="1" s="1"/>
  <c r="N180" i="1"/>
  <c r="O150" i="1"/>
  <c r="Q136" i="1"/>
  <c r="S159" i="1"/>
  <c r="Y149" i="1"/>
  <c r="Y57" i="1"/>
  <c r="AP9" i="1"/>
  <c r="AP38" i="1"/>
  <c r="AP58" i="1"/>
  <c r="AP145" i="1"/>
  <c r="AP101" i="1"/>
  <c r="N16" i="1"/>
  <c r="AX16" i="1"/>
  <c r="AV16" i="1"/>
  <c r="BA16" i="1"/>
  <c r="AU16" i="1"/>
  <c r="AW16" i="1"/>
  <c r="AS16" i="1"/>
  <c r="AT16" i="1"/>
  <c r="AR16" i="1"/>
  <c r="AM16" i="1"/>
  <c r="C65" i="1"/>
  <c r="AX65" i="1"/>
  <c r="AW65" i="1"/>
  <c r="AV65" i="1"/>
  <c r="BA65" i="1"/>
  <c r="AP65" i="1"/>
  <c r="AR65" i="1"/>
  <c r="AU65" i="1"/>
  <c r="AT65" i="1"/>
  <c r="AQ65" i="1"/>
  <c r="AS65" i="1"/>
  <c r="Q131" i="1"/>
  <c r="AX131" i="1"/>
  <c r="AW131" i="1"/>
  <c r="BA131" i="1"/>
  <c r="AV131" i="1"/>
  <c r="AR131" i="1"/>
  <c r="AM131" i="1"/>
  <c r="AT131" i="1"/>
  <c r="AS131" i="1"/>
  <c r="AU131" i="1"/>
  <c r="Q90" i="1"/>
  <c r="BA90" i="1"/>
  <c r="AV90" i="1"/>
  <c r="AT90" i="1"/>
  <c r="AU90" i="1"/>
  <c r="AS90" i="1"/>
  <c r="AW90" i="1"/>
  <c r="AQ90" i="1"/>
  <c r="AX90" i="1"/>
  <c r="AM90" i="1"/>
  <c r="C160" i="1"/>
  <c r="AW160" i="1"/>
  <c r="BA160" i="1"/>
  <c r="AU160" i="1"/>
  <c r="AT160" i="1"/>
  <c r="AS160" i="1"/>
  <c r="AQ160" i="1"/>
  <c r="AV160" i="1"/>
  <c r="AR160" i="1"/>
  <c r="AX160" i="1"/>
  <c r="AP160" i="1"/>
  <c r="AM160" i="1"/>
  <c r="AY6" i="1"/>
  <c r="G158" i="1"/>
  <c r="G6" i="1"/>
  <c r="H160" i="1"/>
  <c r="O90" i="1"/>
  <c r="O55" i="1"/>
  <c r="Y5" i="1"/>
  <c r="AV5" i="1"/>
  <c r="AX5" i="1"/>
  <c r="AU5" i="1"/>
  <c r="AQ5" i="1"/>
  <c r="BA5" i="1"/>
  <c r="AS5" i="1"/>
  <c r="AR5" i="1"/>
  <c r="AP5" i="1"/>
  <c r="AT5" i="1"/>
  <c r="AW5" i="1"/>
  <c r="AY144" i="1"/>
  <c r="H15" i="1"/>
  <c r="I144" i="1"/>
  <c r="J64" i="1"/>
  <c r="J6" i="1"/>
  <c r="K160" i="1"/>
  <c r="K64" i="1"/>
  <c r="L26" i="1"/>
  <c r="L5" i="1"/>
  <c r="N47" i="1"/>
  <c r="N15" i="1"/>
  <c r="Q5" i="1"/>
  <c r="Y16" i="1"/>
  <c r="AG16" i="1" s="1"/>
  <c r="Y47" i="1"/>
  <c r="AY160" i="1"/>
  <c r="AY65" i="1"/>
  <c r="H64" i="1"/>
  <c r="J5" i="1"/>
  <c r="L55" i="1"/>
  <c r="M158" i="1"/>
  <c r="AI158" i="1" s="1"/>
  <c r="N158" i="1"/>
  <c r="N46" i="1"/>
  <c r="O160" i="1"/>
  <c r="S16" i="1"/>
  <c r="U160" i="1"/>
  <c r="Y158" i="1"/>
  <c r="AY64" i="1"/>
  <c r="J26" i="1"/>
  <c r="K158" i="1"/>
  <c r="K100" i="1"/>
  <c r="K55" i="1"/>
  <c r="K5" i="1"/>
  <c r="L160" i="1"/>
  <c r="M64" i="1"/>
  <c r="O16" i="1"/>
  <c r="Q55" i="1"/>
  <c r="AE55" i="1" s="1"/>
  <c r="S15" i="1"/>
  <c r="W160" i="1"/>
  <c r="AM86" i="1"/>
  <c r="AP131" i="1"/>
  <c r="AQ33" i="1"/>
  <c r="AQ55" i="1"/>
  <c r="AR90" i="1"/>
  <c r="AQ120" i="1"/>
  <c r="M37" i="1"/>
  <c r="BA37" i="1"/>
  <c r="AX37" i="1"/>
  <c r="AW37" i="1"/>
  <c r="AU37" i="1"/>
  <c r="AS37" i="1"/>
  <c r="AV37" i="1"/>
  <c r="AT37" i="1"/>
  <c r="AR37" i="1"/>
  <c r="AP37" i="1"/>
  <c r="C121" i="1"/>
  <c r="AX121" i="1"/>
  <c r="BA121" i="1"/>
  <c r="AW121" i="1"/>
  <c r="AV121" i="1"/>
  <c r="AR121" i="1"/>
  <c r="AT121" i="1"/>
  <c r="AM121" i="1"/>
  <c r="AS121" i="1"/>
  <c r="AU121" i="1"/>
  <c r="Y144" i="1"/>
  <c r="AV144" i="1"/>
  <c r="AX144" i="1"/>
  <c r="BA144" i="1"/>
  <c r="AW144" i="1"/>
  <c r="AT144" i="1"/>
  <c r="AR144" i="1"/>
  <c r="AS144" i="1"/>
  <c r="AU144" i="1"/>
  <c r="O15" i="1"/>
  <c r="AX15" i="1"/>
  <c r="AV15" i="1"/>
  <c r="AU15" i="1"/>
  <c r="BA15" i="1"/>
  <c r="AS15" i="1"/>
  <c r="AQ15" i="1"/>
  <c r="AW15" i="1"/>
  <c r="AP15" i="1"/>
  <c r="AT15" i="1"/>
  <c r="AR15" i="1"/>
  <c r="C64" i="1"/>
  <c r="AW64" i="1"/>
  <c r="AV64" i="1"/>
  <c r="BA64" i="1"/>
  <c r="AX64" i="1"/>
  <c r="AR64" i="1"/>
  <c r="AU64" i="1"/>
  <c r="AT64" i="1"/>
  <c r="AP64" i="1"/>
  <c r="AQ64" i="1"/>
  <c r="AS64" i="1"/>
  <c r="C120" i="1"/>
  <c r="BA120" i="1"/>
  <c r="AX120" i="1"/>
  <c r="AW120" i="1"/>
  <c r="AR120" i="1"/>
  <c r="AU120" i="1"/>
  <c r="AV120" i="1"/>
  <c r="AS120" i="1"/>
  <c r="AT120" i="1"/>
  <c r="AM120" i="1"/>
  <c r="M79" i="1"/>
  <c r="AU79" i="1"/>
  <c r="AX79" i="1"/>
  <c r="AW79" i="1"/>
  <c r="AV79" i="1"/>
  <c r="AQ79" i="1"/>
  <c r="BA79" i="1"/>
  <c r="AS79" i="1"/>
  <c r="AT79" i="1"/>
  <c r="AR79" i="1"/>
  <c r="AM79" i="1"/>
  <c r="J169" i="1"/>
  <c r="AW169" i="1"/>
  <c r="AU169" i="1"/>
  <c r="BA169" i="1"/>
  <c r="AX169" i="1"/>
  <c r="AV169" i="1"/>
  <c r="AQ169" i="1"/>
  <c r="AT169" i="1"/>
  <c r="AS169" i="1"/>
  <c r="AR169" i="1"/>
  <c r="C157" i="1"/>
  <c r="BA157" i="1"/>
  <c r="AV157" i="1"/>
  <c r="AW157" i="1"/>
  <c r="AT157" i="1"/>
  <c r="AX157" i="1"/>
  <c r="AS157" i="1"/>
  <c r="AU157" i="1"/>
  <c r="AR157" i="1"/>
  <c r="AQ157" i="1"/>
  <c r="J147" i="1"/>
  <c r="C177" i="1"/>
  <c r="AX177" i="1"/>
  <c r="AW177" i="1"/>
  <c r="BA177" i="1"/>
  <c r="AV177" i="1"/>
  <c r="AT177" i="1"/>
  <c r="AS177" i="1"/>
  <c r="AR177" i="1"/>
  <c r="AU177" i="1"/>
  <c r="AM15" i="1"/>
  <c r="AQ16" i="1"/>
  <c r="AQ177" i="1"/>
  <c r="Y6" i="1"/>
  <c r="AV6" i="1"/>
  <c r="AX6" i="1"/>
  <c r="AU6" i="1"/>
  <c r="BA6" i="1"/>
  <c r="AS6" i="1"/>
  <c r="AR6" i="1"/>
  <c r="AP6" i="1"/>
  <c r="AT6" i="1"/>
  <c r="AW6" i="1"/>
  <c r="AQ6" i="1"/>
  <c r="AM6" i="1"/>
  <c r="M27" i="1"/>
  <c r="BA27" i="1"/>
  <c r="AX27" i="1"/>
  <c r="AU27" i="1"/>
  <c r="AV27" i="1"/>
  <c r="AS27" i="1"/>
  <c r="AW27" i="1"/>
  <c r="AT27" i="1"/>
  <c r="AR27" i="1"/>
  <c r="C80" i="1"/>
  <c r="BA80" i="1"/>
  <c r="AX80" i="1"/>
  <c r="AW80" i="1"/>
  <c r="AV80" i="1"/>
  <c r="AU80" i="1"/>
  <c r="AS80" i="1"/>
  <c r="AT80" i="1"/>
  <c r="AR80" i="1"/>
  <c r="AQ80" i="1"/>
  <c r="AM80" i="1"/>
  <c r="C148" i="1"/>
  <c r="AT148" i="1"/>
  <c r="AW148" i="1"/>
  <c r="AU148" i="1"/>
  <c r="AS148" i="1"/>
  <c r="AX148" i="1"/>
  <c r="BA148" i="1"/>
  <c r="AQ148" i="1"/>
  <c r="AR148" i="1"/>
  <c r="AP148" i="1"/>
  <c r="AV148" i="1"/>
  <c r="C158" i="1"/>
  <c r="BA158" i="1"/>
  <c r="AT158" i="1"/>
  <c r="AW158" i="1"/>
  <c r="AS158" i="1"/>
  <c r="AV158" i="1"/>
  <c r="AU158" i="1"/>
  <c r="AR158" i="1"/>
  <c r="AQ158" i="1"/>
  <c r="AX158" i="1"/>
  <c r="AM37" i="1"/>
  <c r="AP16" i="1"/>
  <c r="AY148" i="1"/>
  <c r="I148" i="1"/>
  <c r="I6" i="1"/>
  <c r="O27" i="1"/>
  <c r="U6" i="1"/>
  <c r="Y55" i="1"/>
  <c r="K36" i="1"/>
  <c r="BA36" i="1"/>
  <c r="AX36" i="1"/>
  <c r="AV36" i="1"/>
  <c r="AW36" i="1"/>
  <c r="AU36" i="1"/>
  <c r="AT36" i="1"/>
  <c r="AS36" i="1"/>
  <c r="AR36" i="1"/>
  <c r="AP36" i="1"/>
  <c r="Y26" i="1"/>
  <c r="AX26" i="1"/>
  <c r="BA26" i="1"/>
  <c r="AV26" i="1"/>
  <c r="AU26" i="1"/>
  <c r="AS26" i="1"/>
  <c r="AT26" i="1"/>
  <c r="AW26" i="1"/>
  <c r="AP26" i="1"/>
  <c r="AM26" i="1"/>
  <c r="C54" i="1"/>
  <c r="AX54" i="1"/>
  <c r="AV54" i="1"/>
  <c r="AW54" i="1"/>
  <c r="BA54" i="1"/>
  <c r="AR54" i="1"/>
  <c r="AS54" i="1"/>
  <c r="AT54" i="1"/>
  <c r="AQ54" i="1"/>
  <c r="AU54" i="1"/>
  <c r="O130" i="1"/>
  <c r="BA130" i="1"/>
  <c r="AW130" i="1"/>
  <c r="AX130" i="1"/>
  <c r="AT130" i="1"/>
  <c r="AR130" i="1"/>
  <c r="AV130" i="1"/>
  <c r="AS130" i="1"/>
  <c r="AP130" i="1"/>
  <c r="AU130" i="1"/>
  <c r="AM130" i="1"/>
  <c r="C109" i="1"/>
  <c r="AX109" i="1"/>
  <c r="AW109" i="1"/>
  <c r="AU109" i="1"/>
  <c r="AV109" i="1"/>
  <c r="BA109" i="1"/>
  <c r="AQ109" i="1"/>
  <c r="AT109" i="1"/>
  <c r="AR109" i="1"/>
  <c r="AS109" i="1"/>
  <c r="AM109" i="1"/>
  <c r="K99" i="1"/>
  <c r="AU99" i="1"/>
  <c r="AX99" i="1"/>
  <c r="AW99" i="1"/>
  <c r="AQ99" i="1"/>
  <c r="AR99" i="1"/>
  <c r="AT99" i="1"/>
  <c r="AV99" i="1"/>
  <c r="AS99" i="1"/>
  <c r="BA99" i="1"/>
  <c r="AM99" i="1"/>
  <c r="M89" i="1"/>
  <c r="BA89" i="1"/>
  <c r="AU89" i="1"/>
  <c r="AX89" i="1"/>
  <c r="AW89" i="1"/>
  <c r="AQ89" i="1"/>
  <c r="AV89" i="1"/>
  <c r="AT89" i="1"/>
  <c r="AS89" i="1"/>
  <c r="AR89" i="1"/>
  <c r="AM89" i="1"/>
  <c r="AY143" i="1"/>
  <c r="AX143" i="1"/>
  <c r="AR143" i="1"/>
  <c r="AV143" i="1"/>
  <c r="AT143" i="1"/>
  <c r="AS143" i="1"/>
  <c r="C143" i="1"/>
  <c r="AM143" i="1"/>
  <c r="BA143" i="1"/>
  <c r="AW143" i="1"/>
  <c r="AU143" i="1"/>
  <c r="AY5" i="1"/>
  <c r="G5" i="1"/>
  <c r="H16" i="1"/>
  <c r="I5" i="1"/>
  <c r="J65" i="1"/>
  <c r="K65" i="1"/>
  <c r="L64" i="1"/>
  <c r="L6" i="1"/>
  <c r="M160" i="1"/>
  <c r="M15" i="1"/>
  <c r="N160" i="1"/>
  <c r="O54" i="1"/>
  <c r="O26" i="1"/>
  <c r="Q158" i="1"/>
  <c r="Q65" i="1"/>
  <c r="Q36" i="1"/>
  <c r="Q6" i="1"/>
  <c r="U64" i="1"/>
  <c r="U5" i="1"/>
  <c r="W148" i="1"/>
  <c r="AE148" i="1" s="1"/>
  <c r="W80" i="1"/>
  <c r="Y160" i="1"/>
  <c r="Y54" i="1"/>
  <c r="AK54" i="1" s="1"/>
  <c r="C14" i="1"/>
  <c r="AX14" i="1"/>
  <c r="AV14" i="1"/>
  <c r="AT14" i="1"/>
  <c r="BA14" i="1"/>
  <c r="AU14" i="1"/>
  <c r="AW14" i="1"/>
  <c r="AS14" i="1"/>
  <c r="AP14" i="1"/>
  <c r="AR14" i="1"/>
  <c r="C4" i="1"/>
  <c r="AV4" i="1"/>
  <c r="AT4" i="1"/>
  <c r="AX4" i="1"/>
  <c r="AU4" i="1"/>
  <c r="AW4" i="1"/>
  <c r="BA4" i="1"/>
  <c r="AS4" i="1"/>
  <c r="AR4" i="1"/>
  <c r="AP4" i="1"/>
  <c r="C45" i="1"/>
  <c r="AV45" i="1"/>
  <c r="AX45" i="1"/>
  <c r="AW45" i="1"/>
  <c r="AT45" i="1"/>
  <c r="AU45" i="1"/>
  <c r="AR45" i="1"/>
  <c r="AS45" i="1"/>
  <c r="BA45" i="1"/>
  <c r="AQ45" i="1"/>
  <c r="AP45" i="1"/>
  <c r="C35" i="1"/>
  <c r="AV35" i="1"/>
  <c r="BA35" i="1"/>
  <c r="AX35" i="1"/>
  <c r="AQ35" i="1"/>
  <c r="AM35" i="1"/>
  <c r="AT35" i="1"/>
  <c r="AP35" i="1"/>
  <c r="AS35" i="1"/>
  <c r="AW35" i="1"/>
  <c r="AU35" i="1"/>
  <c r="AR35" i="1"/>
  <c r="C25" i="1"/>
  <c r="AX25" i="1"/>
  <c r="BA25" i="1"/>
  <c r="AV25" i="1"/>
  <c r="AU25" i="1"/>
  <c r="AQ25" i="1"/>
  <c r="AT25" i="1"/>
  <c r="AS25" i="1"/>
  <c r="AP25" i="1"/>
  <c r="AR25" i="1"/>
  <c r="AW25" i="1"/>
  <c r="L63" i="1"/>
  <c r="BA63" i="1"/>
  <c r="AW63" i="1"/>
  <c r="AV63" i="1"/>
  <c r="AT63" i="1"/>
  <c r="AR63" i="1"/>
  <c r="AU63" i="1"/>
  <c r="AP63" i="1"/>
  <c r="AM63" i="1"/>
  <c r="AX63" i="1"/>
  <c r="AS63" i="1"/>
  <c r="BA72" i="1"/>
  <c r="AT72" i="1"/>
  <c r="AU72" i="1"/>
  <c r="AW72" i="1"/>
  <c r="AS72" i="1"/>
  <c r="AV72" i="1"/>
  <c r="AM72" i="1"/>
  <c r="AQ72" i="1"/>
  <c r="AX72" i="1"/>
  <c r="AP72" i="1"/>
  <c r="C129" i="1"/>
  <c r="AW129" i="1"/>
  <c r="AU129" i="1"/>
  <c r="AX129" i="1"/>
  <c r="AT129" i="1"/>
  <c r="AQ129" i="1"/>
  <c r="AS129" i="1"/>
  <c r="AR129" i="1"/>
  <c r="AP129" i="1"/>
  <c r="BA129" i="1"/>
  <c r="AV129" i="1"/>
  <c r="AM129" i="1"/>
  <c r="L119" i="1"/>
  <c r="AW119" i="1"/>
  <c r="AU119" i="1"/>
  <c r="BA119" i="1"/>
  <c r="AX119" i="1"/>
  <c r="AT119" i="1"/>
  <c r="AR119" i="1"/>
  <c r="AQ119" i="1"/>
  <c r="AP119" i="1"/>
  <c r="AS119" i="1"/>
  <c r="AM119" i="1"/>
  <c r="AV119" i="1"/>
  <c r="C108" i="1"/>
  <c r="AW108" i="1"/>
  <c r="AT108" i="1"/>
  <c r="AX108" i="1"/>
  <c r="AS108" i="1"/>
  <c r="AV108" i="1"/>
  <c r="AR108" i="1"/>
  <c r="BA108" i="1"/>
  <c r="AP108" i="1"/>
  <c r="AU108" i="1"/>
  <c r="C98" i="1"/>
  <c r="AW98" i="1"/>
  <c r="AX98" i="1"/>
  <c r="AT98" i="1"/>
  <c r="AS98" i="1"/>
  <c r="AV98" i="1"/>
  <c r="AU98" i="1"/>
  <c r="AR98" i="1"/>
  <c r="BA98" i="1"/>
  <c r="O88" i="1"/>
  <c r="AW88" i="1"/>
  <c r="AT88" i="1"/>
  <c r="AX88" i="1"/>
  <c r="BA88" i="1"/>
  <c r="AS88" i="1"/>
  <c r="AV88" i="1"/>
  <c r="AR88" i="1"/>
  <c r="AU88" i="1"/>
  <c r="J78" i="1"/>
  <c r="AW78" i="1"/>
  <c r="AT78" i="1"/>
  <c r="BA78" i="1"/>
  <c r="AX78" i="1"/>
  <c r="AV78" i="1"/>
  <c r="AS78" i="1"/>
  <c r="AU78" i="1"/>
  <c r="AR78" i="1"/>
  <c r="AQ78" i="1"/>
  <c r="BA142" i="1"/>
  <c r="AX142" i="1"/>
  <c r="AT142" i="1"/>
  <c r="AS142" i="1"/>
  <c r="C142" i="1"/>
  <c r="AM142" i="1"/>
  <c r="AW142" i="1"/>
  <c r="AU142" i="1"/>
  <c r="AV142" i="1"/>
  <c r="AR142" i="1"/>
  <c r="J168" i="1"/>
  <c r="AD168" i="1" s="1"/>
  <c r="AT168" i="1"/>
  <c r="AW168" i="1"/>
  <c r="AS168" i="1"/>
  <c r="AV168" i="1"/>
  <c r="AX168" i="1"/>
  <c r="AU168" i="1"/>
  <c r="BA168" i="1"/>
  <c r="AR168" i="1"/>
  <c r="AQ168" i="1"/>
  <c r="AM14" i="1"/>
  <c r="AM148" i="1"/>
  <c r="AM134" i="1"/>
  <c r="AP157" i="1"/>
  <c r="AP90" i="1"/>
  <c r="AQ37" i="1"/>
  <c r="AQ14" i="1"/>
  <c r="AM147" i="1"/>
  <c r="AM108" i="1"/>
  <c r="AM88" i="1"/>
  <c r="AM54" i="1"/>
  <c r="AP89" i="1"/>
  <c r="AQ36" i="1"/>
  <c r="AQ88" i="1"/>
  <c r="AQ63" i="1"/>
  <c r="AR26" i="1"/>
  <c r="M47" i="1"/>
  <c r="BA47" i="1"/>
  <c r="AV47" i="1"/>
  <c r="AU47" i="1"/>
  <c r="AT47" i="1"/>
  <c r="AW47" i="1"/>
  <c r="AS47" i="1"/>
  <c r="AQ47" i="1"/>
  <c r="AP47" i="1"/>
  <c r="AX47" i="1"/>
  <c r="AR47" i="1"/>
  <c r="C55" i="1"/>
  <c r="AX55" i="1"/>
  <c r="AV55" i="1"/>
  <c r="AW55" i="1"/>
  <c r="BA55" i="1"/>
  <c r="AR55" i="1"/>
  <c r="AU55" i="1"/>
  <c r="AS55" i="1"/>
  <c r="AT55" i="1"/>
  <c r="AP55" i="1"/>
  <c r="K110" i="1"/>
  <c r="BA110" i="1"/>
  <c r="AX110" i="1"/>
  <c r="AW110" i="1"/>
  <c r="AV110" i="1"/>
  <c r="AT110" i="1"/>
  <c r="AR110" i="1"/>
  <c r="AS110" i="1"/>
  <c r="AU110" i="1"/>
  <c r="AM110" i="1"/>
  <c r="Q100" i="1"/>
  <c r="BA100" i="1"/>
  <c r="AX100" i="1"/>
  <c r="AW100" i="1"/>
  <c r="AU100" i="1"/>
  <c r="AR100" i="1"/>
  <c r="AT100" i="1"/>
  <c r="AV100" i="1"/>
  <c r="AS100" i="1"/>
  <c r="AM100" i="1"/>
  <c r="Y134" i="1"/>
  <c r="AV134" i="1"/>
  <c r="BA134" i="1"/>
  <c r="AX134" i="1"/>
  <c r="AU134" i="1"/>
  <c r="AW134" i="1"/>
  <c r="AR134" i="1"/>
  <c r="AT134" i="1"/>
  <c r="AS134" i="1"/>
  <c r="AQ134" i="1"/>
  <c r="Y178" i="1"/>
  <c r="AT178" i="1"/>
  <c r="AX178" i="1"/>
  <c r="AW178" i="1"/>
  <c r="BA178" i="1"/>
  <c r="AV178" i="1"/>
  <c r="AS178" i="1"/>
  <c r="AR178" i="1"/>
  <c r="AQ178" i="1"/>
  <c r="AU178" i="1"/>
  <c r="J160" i="1"/>
  <c r="L148" i="1"/>
  <c r="L65" i="1"/>
  <c r="M16" i="1"/>
  <c r="Q37" i="1"/>
  <c r="K46" i="1"/>
  <c r="AV46" i="1"/>
  <c r="BA46" i="1"/>
  <c r="AW46" i="1"/>
  <c r="AT46" i="1"/>
  <c r="AP46" i="1"/>
  <c r="AX46" i="1"/>
  <c r="AU46" i="1"/>
  <c r="AR46" i="1"/>
  <c r="AS46" i="1"/>
  <c r="AQ46" i="1"/>
  <c r="H158" i="1"/>
  <c r="H65" i="1"/>
  <c r="J158" i="1"/>
  <c r="AE158" i="1" s="1"/>
  <c r="Q64" i="1"/>
  <c r="I143" i="1"/>
  <c r="M65" i="1"/>
  <c r="Q27" i="1"/>
  <c r="W65" i="1"/>
  <c r="Y46" i="1"/>
  <c r="AK46" i="1" s="1"/>
  <c r="U53" i="1"/>
  <c r="AW53" i="1"/>
  <c r="AX53" i="1"/>
  <c r="AV53" i="1"/>
  <c r="AT53" i="1"/>
  <c r="AR53" i="1"/>
  <c r="BA53" i="1"/>
  <c r="AP53" i="1"/>
  <c r="AS53" i="1"/>
  <c r="AM53" i="1"/>
  <c r="AQ53" i="1"/>
  <c r="AU53" i="1"/>
  <c r="W43" i="1"/>
  <c r="AX43" i="1"/>
  <c r="AW43" i="1"/>
  <c r="AV43" i="1"/>
  <c r="AT43" i="1"/>
  <c r="AR43" i="1"/>
  <c r="AP43" i="1"/>
  <c r="AU43" i="1"/>
  <c r="BA43" i="1"/>
  <c r="AM43" i="1"/>
  <c r="AS43" i="1"/>
  <c r="AQ43" i="1"/>
  <c r="C33" i="1"/>
  <c r="AW33" i="1"/>
  <c r="AV33" i="1"/>
  <c r="AR33" i="1"/>
  <c r="BA33" i="1"/>
  <c r="AP33" i="1"/>
  <c r="AS33" i="1"/>
  <c r="AU33" i="1"/>
  <c r="AX33" i="1"/>
  <c r="AT33" i="1"/>
  <c r="M23" i="1"/>
  <c r="BA23" i="1"/>
  <c r="AV23" i="1"/>
  <c r="AR23" i="1"/>
  <c r="AW23" i="1"/>
  <c r="AX23" i="1"/>
  <c r="AT23" i="1"/>
  <c r="AP23" i="1"/>
  <c r="AU23" i="1"/>
  <c r="AS23" i="1"/>
  <c r="L61" i="1"/>
  <c r="AX61" i="1"/>
  <c r="BA61" i="1"/>
  <c r="AV61" i="1"/>
  <c r="AU61" i="1"/>
  <c r="AS61" i="1"/>
  <c r="AM61" i="1"/>
  <c r="AQ61" i="1"/>
  <c r="AW61" i="1"/>
  <c r="AR61" i="1"/>
  <c r="AP61" i="1"/>
  <c r="AT61" i="1"/>
  <c r="Q70" i="1"/>
  <c r="BA70" i="1"/>
  <c r="AU70" i="1"/>
  <c r="AT70" i="1"/>
  <c r="AW70" i="1"/>
  <c r="AS70" i="1"/>
  <c r="AQ70" i="1"/>
  <c r="AR70" i="1"/>
  <c r="AX70" i="1"/>
  <c r="AV70" i="1"/>
  <c r="AM70" i="1"/>
  <c r="U127" i="1"/>
  <c r="AW127" i="1"/>
  <c r="AT127" i="1"/>
  <c r="AU127" i="1"/>
  <c r="AS127" i="1"/>
  <c r="BA127" i="1"/>
  <c r="AV127" i="1"/>
  <c r="AQ127" i="1"/>
  <c r="AX127" i="1"/>
  <c r="AR127" i="1"/>
  <c r="AP127" i="1"/>
  <c r="Y117" i="1"/>
  <c r="BA117" i="1"/>
  <c r="AT117" i="1"/>
  <c r="AU117" i="1"/>
  <c r="AX117" i="1"/>
  <c r="AV117" i="1"/>
  <c r="AS117" i="1"/>
  <c r="AP117" i="1"/>
  <c r="AR117" i="1"/>
  <c r="AW117" i="1"/>
  <c r="K106" i="1"/>
  <c r="BA106" i="1"/>
  <c r="AV106" i="1"/>
  <c r="AT106" i="1"/>
  <c r="AU106" i="1"/>
  <c r="AP106" i="1"/>
  <c r="AW106" i="1"/>
  <c r="AS106" i="1"/>
  <c r="AX106" i="1"/>
  <c r="AR106" i="1"/>
  <c r="W96" i="1"/>
  <c r="AV96" i="1"/>
  <c r="AW96" i="1"/>
  <c r="BA96" i="1"/>
  <c r="AX96" i="1"/>
  <c r="AT96" i="1"/>
  <c r="AP96" i="1"/>
  <c r="AU96" i="1"/>
  <c r="AS96" i="1"/>
  <c r="AR96" i="1"/>
  <c r="Y86" i="1"/>
  <c r="AW86" i="1"/>
  <c r="AV86" i="1"/>
  <c r="AX86" i="1"/>
  <c r="BA86" i="1"/>
  <c r="AR86" i="1"/>
  <c r="AP86" i="1"/>
  <c r="AT86" i="1"/>
  <c r="AU86" i="1"/>
  <c r="AS86" i="1"/>
  <c r="W76" i="1"/>
  <c r="BA76" i="1"/>
  <c r="AX76" i="1"/>
  <c r="AW76" i="1"/>
  <c r="AV76" i="1"/>
  <c r="AP76" i="1"/>
  <c r="AR76" i="1"/>
  <c r="AU76" i="1"/>
  <c r="AS76" i="1"/>
  <c r="AT76" i="1"/>
  <c r="AQ76" i="1"/>
  <c r="K140" i="1"/>
  <c r="BA140" i="1"/>
  <c r="AW140" i="1"/>
  <c r="AT140" i="1"/>
  <c r="AU140" i="1"/>
  <c r="AX140" i="1"/>
  <c r="AS140" i="1"/>
  <c r="AP140" i="1"/>
  <c r="AV140" i="1"/>
  <c r="AR140" i="1"/>
  <c r="AM140" i="1"/>
  <c r="Q166" i="1"/>
  <c r="AX166" i="1"/>
  <c r="AV166" i="1"/>
  <c r="AP166" i="1"/>
  <c r="AW166" i="1"/>
  <c r="AT166" i="1"/>
  <c r="BA166" i="1"/>
  <c r="AU166" i="1"/>
  <c r="AS166" i="1"/>
  <c r="AR166" i="1"/>
  <c r="W154" i="1"/>
  <c r="BA154" i="1"/>
  <c r="AX154" i="1"/>
  <c r="AV154" i="1"/>
  <c r="AU154" i="1"/>
  <c r="AT154" i="1"/>
  <c r="AR154" i="1"/>
  <c r="AW154" i="1"/>
  <c r="AS154" i="1"/>
  <c r="O184" i="1"/>
  <c r="BA184" i="1"/>
  <c r="AV184" i="1"/>
  <c r="AU184" i="1"/>
  <c r="AX184" i="1"/>
  <c r="AS184" i="1"/>
  <c r="AR184" i="1"/>
  <c r="AP184" i="1"/>
  <c r="AW184" i="1"/>
  <c r="AT184" i="1"/>
  <c r="AM12" i="1"/>
  <c r="AM178" i="1"/>
  <c r="AM127" i="1"/>
  <c r="AM27" i="1"/>
  <c r="AP177" i="1"/>
  <c r="AP154" i="1"/>
  <c r="AP110" i="1"/>
  <c r="AP88" i="1"/>
  <c r="AQ131" i="1"/>
  <c r="AQ110" i="1"/>
  <c r="J52" i="1"/>
  <c r="AW52" i="1"/>
  <c r="AR52" i="1"/>
  <c r="AX52" i="1"/>
  <c r="K42" i="1"/>
  <c r="AW42" i="1"/>
  <c r="AX42" i="1"/>
  <c r="AV42" i="1"/>
  <c r="AU42" i="1"/>
  <c r="BA42" i="1"/>
  <c r="AR42" i="1"/>
  <c r="H32" i="1"/>
  <c r="AW32" i="1"/>
  <c r="AT32" i="1"/>
  <c r="BA32" i="1"/>
  <c r="AV32" i="1"/>
  <c r="AR32" i="1"/>
  <c r="Y22" i="1"/>
  <c r="AW22" i="1"/>
  <c r="AX22" i="1"/>
  <c r="AU22" i="1"/>
  <c r="AT22" i="1"/>
  <c r="AY60" i="1"/>
  <c r="BA60" i="1"/>
  <c r="AV60" i="1"/>
  <c r="AU60" i="1"/>
  <c r="AX60" i="1"/>
  <c r="AW60" i="1"/>
  <c r="AS60" i="1"/>
  <c r="AT60" i="1"/>
  <c r="Q69" i="1"/>
  <c r="AU69" i="1"/>
  <c r="BA69" i="1"/>
  <c r="AQ69" i="1"/>
  <c r="AT69" i="1"/>
  <c r="S126" i="1"/>
  <c r="AU126" i="1"/>
  <c r="AW126" i="1"/>
  <c r="AT126" i="1"/>
  <c r="AS126" i="1"/>
  <c r="AP126" i="1"/>
  <c r="Q116" i="1"/>
  <c r="AV116" i="1"/>
  <c r="AT116" i="1"/>
  <c r="AU116" i="1"/>
  <c r="BA116" i="1"/>
  <c r="AX116" i="1"/>
  <c r="AP116" i="1"/>
  <c r="AS116" i="1"/>
  <c r="Y105" i="1"/>
  <c r="BA105" i="1"/>
  <c r="AV105" i="1"/>
  <c r="AT105" i="1"/>
  <c r="AU105" i="1"/>
  <c r="AW105" i="1"/>
  <c r="AS105" i="1"/>
  <c r="Y95" i="1"/>
  <c r="AV95" i="1"/>
  <c r="BA95" i="1"/>
  <c r="AX95" i="1"/>
  <c r="AT95" i="1"/>
  <c r="AW95" i="1"/>
  <c r="AU95" i="1"/>
  <c r="AS95" i="1"/>
  <c r="Y85" i="1"/>
  <c r="AV85" i="1"/>
  <c r="AW85" i="1"/>
  <c r="AT85" i="1"/>
  <c r="AX85" i="1"/>
  <c r="L75" i="1"/>
  <c r="AW75" i="1"/>
  <c r="AV75" i="1"/>
  <c r="BA75" i="1"/>
  <c r="AX75" i="1"/>
  <c r="AR75" i="1"/>
  <c r="Y139" i="1"/>
  <c r="AW139" i="1"/>
  <c r="AU139" i="1"/>
  <c r="AT139" i="1"/>
  <c r="BA139" i="1"/>
  <c r="AQ139" i="1"/>
  <c r="AS139" i="1"/>
  <c r="AX139" i="1"/>
  <c r="W165" i="1"/>
  <c r="AX165" i="1"/>
  <c r="AW165" i="1"/>
  <c r="AT165" i="1"/>
  <c r="W153" i="1"/>
  <c r="AX153" i="1"/>
  <c r="AR153" i="1"/>
  <c r="AU153" i="1"/>
  <c r="BA153" i="1"/>
  <c r="AV153" i="1"/>
  <c r="H183" i="1"/>
  <c r="BA183" i="1"/>
  <c r="AT183" i="1"/>
  <c r="AR183" i="1"/>
  <c r="AU183" i="1"/>
  <c r="AW183" i="1"/>
  <c r="AS183" i="1"/>
  <c r="AY173" i="1"/>
  <c r="BA173" i="1"/>
  <c r="AR173" i="1"/>
  <c r="AT173" i="1"/>
  <c r="AU173" i="1"/>
  <c r="AV173" i="1"/>
  <c r="AS173" i="1"/>
  <c r="AX173" i="1"/>
  <c r="C34" i="1"/>
  <c r="C167" i="1"/>
  <c r="C141" i="1"/>
  <c r="AM60" i="1"/>
  <c r="AP3" i="1"/>
  <c r="AP34" i="1"/>
  <c r="AP22" i="1"/>
  <c r="AP62" i="1"/>
  <c r="AR128" i="1"/>
  <c r="AS141" i="1"/>
  <c r="AS87" i="1"/>
  <c r="AS52" i="1"/>
  <c r="AS32" i="1"/>
  <c r="AT153" i="1"/>
  <c r="BA175" i="1"/>
  <c r="BA126" i="1"/>
  <c r="AQ156" i="1"/>
  <c r="AR156" i="1"/>
  <c r="AW62" i="1"/>
  <c r="AU52" i="1"/>
  <c r="AV69" i="1"/>
  <c r="AW116" i="1"/>
  <c r="AX126" i="1"/>
  <c r="BA44" i="1"/>
  <c r="AV52" i="1"/>
  <c r="AX34" i="1"/>
  <c r="AX69" i="1"/>
  <c r="AR174" i="1"/>
  <c r="AU34" i="1"/>
  <c r="BA141" i="1"/>
  <c r="AX156" i="1"/>
  <c r="BA156" i="1"/>
  <c r="AV156" i="1"/>
  <c r="AP156" i="1"/>
  <c r="AW156" i="1"/>
  <c r="U186" i="1"/>
  <c r="AX176" i="1"/>
  <c r="AW176" i="1"/>
  <c r="AP176" i="1"/>
  <c r="BA112" i="1"/>
  <c r="AX112" i="1"/>
  <c r="AW112" i="1"/>
  <c r="AV112" i="1"/>
  <c r="AU112" i="1"/>
  <c r="C174" i="1"/>
  <c r="C153" i="1"/>
  <c r="AM183" i="1"/>
  <c r="AM173" i="1"/>
  <c r="AM153" i="1"/>
  <c r="AM32" i="1"/>
  <c r="AP174" i="1"/>
  <c r="AP85" i="1"/>
  <c r="AQ32" i="1"/>
  <c r="AQ183" i="1"/>
  <c r="AQ116" i="1"/>
  <c r="AQ105" i="1"/>
  <c r="AR85" i="1"/>
  <c r="AS176" i="1"/>
  <c r="AS75" i="1"/>
  <c r="AT156" i="1"/>
  <c r="U13" i="1"/>
  <c r="BA13" i="1"/>
  <c r="AX13" i="1"/>
  <c r="AV13" i="1"/>
  <c r="AR13" i="1"/>
  <c r="AW13" i="1"/>
  <c r="AP13" i="1"/>
  <c r="AT13" i="1"/>
  <c r="AX3" i="1"/>
  <c r="AV3" i="1"/>
  <c r="AR3" i="1"/>
  <c r="AW3" i="1"/>
  <c r="AU3" i="1"/>
  <c r="BA3" i="1"/>
  <c r="AS3" i="1"/>
  <c r="C44" i="1"/>
  <c r="AV44" i="1"/>
  <c r="AX44" i="1"/>
  <c r="AW44" i="1"/>
  <c r="AU44" i="1"/>
  <c r="AR44" i="1"/>
  <c r="K34" i="1"/>
  <c r="AV34" i="1"/>
  <c r="AT34" i="1"/>
  <c r="BA34" i="1"/>
  <c r="BA24" i="1"/>
  <c r="AV24" i="1"/>
  <c r="AT24" i="1"/>
  <c r="AX24" i="1"/>
  <c r="AW24" i="1"/>
  <c r="AU24" i="1"/>
  <c r="C62" i="1"/>
  <c r="BA62" i="1"/>
  <c r="AV62" i="1"/>
  <c r="AU62" i="1"/>
  <c r="AS62" i="1"/>
  <c r="AX71" i="1"/>
  <c r="BA71" i="1"/>
  <c r="AU71" i="1"/>
  <c r="AT71" i="1"/>
  <c r="AW71" i="1"/>
  <c r="AS71" i="1"/>
  <c r="U128" i="1"/>
  <c r="AT128" i="1"/>
  <c r="AW128" i="1"/>
  <c r="AS128" i="1"/>
  <c r="AU128" i="1"/>
  <c r="AX128" i="1"/>
  <c r="N118" i="1"/>
  <c r="BA118" i="1"/>
  <c r="AT118" i="1"/>
  <c r="AW118" i="1"/>
  <c r="AS118" i="1"/>
  <c r="AU118" i="1"/>
  <c r="AX118" i="1"/>
  <c r="AV118" i="1"/>
  <c r="AY107" i="1"/>
  <c r="BA107" i="1"/>
  <c r="AW107" i="1"/>
  <c r="AT107" i="1"/>
  <c r="AX107" i="1"/>
  <c r="N97" i="1"/>
  <c r="AW97" i="1"/>
  <c r="AX97" i="1"/>
  <c r="AV97" i="1"/>
  <c r="AU97" i="1"/>
  <c r="AR97" i="1"/>
  <c r="M87" i="1"/>
  <c r="AX87" i="1"/>
  <c r="AW87" i="1"/>
  <c r="BA87" i="1"/>
  <c r="AT87" i="1"/>
  <c r="AR87" i="1"/>
  <c r="AV87" i="1"/>
  <c r="K77" i="1"/>
  <c r="BA77" i="1"/>
  <c r="AX77" i="1"/>
  <c r="AW77" i="1"/>
  <c r="AV77" i="1"/>
  <c r="AU77" i="1"/>
  <c r="AR77" i="1"/>
  <c r="I141" i="1"/>
  <c r="AX141" i="1"/>
  <c r="AW141" i="1"/>
  <c r="AT141" i="1"/>
  <c r="AR141" i="1"/>
  <c r="Y167" i="1"/>
  <c r="AX167" i="1"/>
  <c r="AV167" i="1"/>
  <c r="AW167" i="1"/>
  <c r="AU167" i="1"/>
  <c r="W155" i="1"/>
  <c r="AX155" i="1"/>
  <c r="BA155" i="1"/>
  <c r="AV155" i="1"/>
  <c r="AU155" i="1"/>
  <c r="Q185" i="1"/>
  <c r="U175" i="1"/>
  <c r="AX175" i="1"/>
  <c r="AR175" i="1"/>
  <c r="AU175" i="1"/>
  <c r="C173" i="1"/>
  <c r="AM112" i="1"/>
  <c r="AM62" i="1"/>
  <c r="AM52" i="1"/>
  <c r="AM42" i="1"/>
  <c r="AP173" i="1"/>
  <c r="AP118" i="1"/>
  <c r="AP107" i="1"/>
  <c r="AP95" i="1"/>
  <c r="AQ126" i="1"/>
  <c r="AQ71" i="1"/>
  <c r="AQ60" i="1"/>
  <c r="AR116" i="1"/>
  <c r="AR69" i="1"/>
  <c r="AR22" i="1"/>
  <c r="AS175" i="1"/>
  <c r="AS34" i="1"/>
  <c r="AT44" i="1"/>
  <c r="AT3" i="1"/>
  <c r="AT155" i="1"/>
  <c r="AT97" i="1"/>
  <c r="AU156" i="1"/>
  <c r="AU32" i="1"/>
  <c r="AV183" i="1"/>
  <c r="AV126" i="1"/>
  <c r="BA128" i="1"/>
  <c r="L174" i="1"/>
  <c r="AV174" i="1"/>
  <c r="BA174" i="1"/>
  <c r="AT174" i="1"/>
  <c r="AX174" i="1"/>
  <c r="AU174" i="1"/>
  <c r="AM141" i="1"/>
  <c r="AM71" i="1"/>
  <c r="AP24" i="1"/>
  <c r="AP183" i="1"/>
  <c r="AP139" i="1"/>
  <c r="AP128" i="1"/>
  <c r="AP105" i="1"/>
  <c r="AS174" i="1"/>
  <c r="AS156" i="1"/>
  <c r="AS69" i="1"/>
  <c r="AS13" i="1"/>
  <c r="AT62" i="1"/>
  <c r="AT42" i="1"/>
  <c r="AV22" i="1"/>
  <c r="AW173" i="1"/>
  <c r="AW69" i="1"/>
  <c r="BA52" i="1"/>
  <c r="BA176" i="1"/>
  <c r="C37" i="1"/>
  <c r="C27" i="1"/>
  <c r="C17" i="1"/>
  <c r="C5" i="1"/>
  <c r="C52" i="1"/>
  <c r="C42" i="1"/>
  <c r="C145" i="1"/>
  <c r="C135" i="1"/>
  <c r="C125" i="1"/>
  <c r="C115" i="1"/>
  <c r="C105" i="1"/>
  <c r="C95" i="1"/>
  <c r="C85" i="1"/>
  <c r="C75" i="1"/>
  <c r="C63" i="1"/>
  <c r="C36" i="1"/>
  <c r="C26" i="1"/>
  <c r="C16" i="1"/>
  <c r="C51" i="1"/>
  <c r="C41" i="1"/>
  <c r="C144" i="1"/>
  <c r="C134" i="1"/>
  <c r="C124" i="1"/>
  <c r="C114" i="1"/>
  <c r="C104" i="1"/>
  <c r="C94" i="1"/>
  <c r="C84" i="1"/>
  <c r="C15" i="1"/>
  <c r="C50" i="1"/>
  <c r="C40" i="1"/>
  <c r="C133" i="1"/>
  <c r="C123" i="1"/>
  <c r="C113" i="1"/>
  <c r="C103" i="1"/>
  <c r="C93" i="1"/>
  <c r="C83" i="1"/>
  <c r="C61" i="1"/>
  <c r="C59" i="1"/>
  <c r="C49" i="1"/>
  <c r="C39" i="1"/>
  <c r="C132" i="1"/>
  <c r="C122" i="1"/>
  <c r="C92" i="1"/>
  <c r="C70" i="1"/>
  <c r="C60" i="1"/>
  <c r="C23" i="1"/>
  <c r="C13" i="1"/>
  <c r="C58" i="1"/>
  <c r="C48" i="1"/>
  <c r="C38" i="1"/>
  <c r="C163" i="1"/>
  <c r="C131" i="1"/>
  <c r="C111" i="1"/>
  <c r="C101" i="1"/>
  <c r="C91" i="1"/>
  <c r="C69" i="1"/>
  <c r="C2" i="1"/>
  <c r="C32" i="1"/>
  <c r="C22" i="1"/>
  <c r="C10" i="1"/>
  <c r="C57" i="1"/>
  <c r="C47" i="1"/>
  <c r="C152" i="1"/>
  <c r="C130" i="1"/>
  <c r="C110" i="1"/>
  <c r="C100" i="1"/>
  <c r="C90" i="1"/>
  <c r="C68" i="1"/>
  <c r="C31" i="1"/>
  <c r="C21" i="1"/>
  <c r="C9" i="1"/>
  <c r="C46" i="1"/>
  <c r="C171" i="1"/>
  <c r="C151" i="1"/>
  <c r="C139" i="1"/>
  <c r="C119" i="1"/>
  <c r="C99" i="1"/>
  <c r="C89" i="1"/>
  <c r="C79" i="1"/>
  <c r="C67" i="1"/>
  <c r="C30" i="1"/>
  <c r="C20" i="1"/>
  <c r="C8" i="1"/>
  <c r="C182" i="1"/>
  <c r="C138" i="1"/>
  <c r="C128" i="1"/>
  <c r="C118" i="1"/>
  <c r="C88" i="1"/>
  <c r="C78" i="1"/>
  <c r="C29" i="1"/>
  <c r="C19" i="1"/>
  <c r="C7" i="1"/>
  <c r="C179" i="1"/>
  <c r="C169" i="1"/>
  <c r="C137" i="1"/>
  <c r="C127" i="1"/>
  <c r="C117" i="1"/>
  <c r="C107" i="1"/>
  <c r="C97" i="1"/>
  <c r="C87" i="1"/>
  <c r="C77" i="1"/>
  <c r="C28" i="1"/>
  <c r="C18" i="1"/>
  <c r="C6" i="1"/>
  <c r="C53" i="1"/>
  <c r="C43" i="1"/>
  <c r="C178" i="1"/>
  <c r="C168" i="1"/>
  <c r="C126" i="1"/>
  <c r="C116" i="1"/>
  <c r="C106" i="1"/>
  <c r="C96" i="1"/>
  <c r="C86" i="1"/>
  <c r="C76" i="1"/>
  <c r="Q112" i="1"/>
  <c r="O112" i="1"/>
  <c r="G85" i="1"/>
  <c r="I173" i="1"/>
  <c r="O183" i="1"/>
  <c r="O139" i="1"/>
  <c r="Q183" i="1"/>
  <c r="S95" i="1"/>
  <c r="W21" i="1"/>
  <c r="AY84" i="1"/>
  <c r="I114" i="1"/>
  <c r="O182" i="1"/>
  <c r="Q182" i="1"/>
  <c r="W124" i="1"/>
  <c r="W20" i="1"/>
  <c r="Y183" i="1"/>
  <c r="AY182" i="1"/>
  <c r="AY165" i="1"/>
  <c r="AY153" i="1"/>
  <c r="AY137" i="1"/>
  <c r="AY113" i="1"/>
  <c r="AY83" i="1"/>
  <c r="AY59" i="1"/>
  <c r="G172" i="1"/>
  <c r="G133" i="1"/>
  <c r="G83" i="1"/>
  <c r="G59" i="1"/>
  <c r="H173" i="1"/>
  <c r="H153" i="1"/>
  <c r="H104" i="1"/>
  <c r="H58" i="1"/>
  <c r="I171" i="1"/>
  <c r="I151" i="1"/>
  <c r="I138" i="1"/>
  <c r="I113" i="1"/>
  <c r="I84" i="1"/>
  <c r="I59" i="1"/>
  <c r="J181" i="1"/>
  <c r="J163" i="1"/>
  <c r="J124" i="1"/>
  <c r="J95" i="1"/>
  <c r="J68" i="1"/>
  <c r="K171" i="1"/>
  <c r="K123" i="1"/>
  <c r="K93" i="1"/>
  <c r="K67" i="1"/>
  <c r="K8" i="1"/>
  <c r="L139" i="1"/>
  <c r="L115" i="1"/>
  <c r="L85" i="1"/>
  <c r="L67" i="1"/>
  <c r="M172" i="1"/>
  <c r="AJ172" i="1" s="1"/>
  <c r="M133" i="1"/>
  <c r="M104" i="1"/>
  <c r="AJ104" i="1" s="1"/>
  <c r="M74" i="1"/>
  <c r="M8" i="1"/>
  <c r="N171" i="1"/>
  <c r="N153" i="1"/>
  <c r="N139" i="1"/>
  <c r="N113" i="1"/>
  <c r="N20" i="1"/>
  <c r="O181" i="1"/>
  <c r="O137" i="1"/>
  <c r="O93" i="1"/>
  <c r="O68" i="1"/>
  <c r="O9" i="1"/>
  <c r="Q181" i="1"/>
  <c r="Q114" i="1"/>
  <c r="Q68" i="1"/>
  <c r="S93" i="1"/>
  <c r="U124" i="1"/>
  <c r="W172" i="1"/>
  <c r="W84" i="1"/>
  <c r="W57" i="1"/>
  <c r="Y2" i="1"/>
  <c r="Y182" i="1"/>
  <c r="Y75" i="1"/>
  <c r="I41" i="1"/>
  <c r="J165" i="1"/>
  <c r="J75" i="1"/>
  <c r="N173" i="1"/>
  <c r="Q75" i="1"/>
  <c r="AY138" i="1"/>
  <c r="AY114" i="1"/>
  <c r="AY40" i="1"/>
  <c r="G173" i="1"/>
  <c r="G41" i="1"/>
  <c r="H105" i="1"/>
  <c r="H59" i="1"/>
  <c r="I139" i="1"/>
  <c r="J182" i="1"/>
  <c r="J164" i="1"/>
  <c r="J125" i="1"/>
  <c r="AF125" i="1" s="1"/>
  <c r="J74" i="1"/>
  <c r="M173" i="1"/>
  <c r="AJ173" i="1" s="1"/>
  <c r="M75" i="1"/>
  <c r="N172" i="1"/>
  <c r="U125" i="1"/>
  <c r="AY181" i="1"/>
  <c r="AY164" i="1"/>
  <c r="AY152" i="1"/>
  <c r="AY105" i="1"/>
  <c r="AY58" i="1"/>
  <c r="AY31" i="1"/>
  <c r="G171" i="1"/>
  <c r="G105" i="1"/>
  <c r="G58" i="1"/>
  <c r="G30" i="1"/>
  <c r="G8" i="1"/>
  <c r="H172" i="1"/>
  <c r="H152" i="1"/>
  <c r="H133" i="1"/>
  <c r="H103" i="1"/>
  <c r="H57" i="1"/>
  <c r="H20" i="1"/>
  <c r="I137" i="1"/>
  <c r="I83" i="1"/>
  <c r="I58" i="1"/>
  <c r="I30" i="1"/>
  <c r="J123" i="1"/>
  <c r="J94" i="1"/>
  <c r="J67" i="1"/>
  <c r="AF67" i="1" s="1"/>
  <c r="J50" i="1"/>
  <c r="J20" i="1"/>
  <c r="K115" i="1"/>
  <c r="K40" i="1"/>
  <c r="L173" i="1"/>
  <c r="L138" i="1"/>
  <c r="L114" i="1"/>
  <c r="L84" i="1"/>
  <c r="M171" i="1"/>
  <c r="AJ171" i="1" s="1"/>
  <c r="M125" i="1"/>
  <c r="AJ125" i="1" s="1"/>
  <c r="M103" i="1"/>
  <c r="N152" i="1"/>
  <c r="N138" i="1"/>
  <c r="N85" i="1"/>
  <c r="O67" i="1"/>
  <c r="O51" i="1"/>
  <c r="O8" i="1"/>
  <c r="Q139" i="1"/>
  <c r="Q113" i="1"/>
  <c r="Q67" i="1"/>
  <c r="S85" i="1"/>
  <c r="U123" i="1"/>
  <c r="W171" i="1"/>
  <c r="W114" i="1"/>
  <c r="W83" i="1"/>
  <c r="Y30" i="1"/>
  <c r="Y125" i="1"/>
  <c r="Y74" i="1"/>
  <c r="Y50" i="1"/>
  <c r="AY139" i="1"/>
  <c r="I153" i="1"/>
  <c r="M41" i="1"/>
  <c r="I40" i="1"/>
  <c r="K94" i="1"/>
  <c r="M9" i="1"/>
  <c r="N114" i="1"/>
  <c r="O138" i="1"/>
  <c r="O94" i="1"/>
  <c r="S94" i="1"/>
  <c r="W173" i="1"/>
  <c r="W85" i="1"/>
  <c r="AY163" i="1"/>
  <c r="AY151" i="1"/>
  <c r="AY133" i="1"/>
  <c r="AY104" i="1"/>
  <c r="AY57" i="1"/>
  <c r="G104" i="1"/>
  <c r="G57" i="1"/>
  <c r="H171" i="1"/>
  <c r="H151" i="1"/>
  <c r="H128" i="1"/>
  <c r="H75" i="1"/>
  <c r="H18" i="1"/>
  <c r="I163" i="1"/>
  <c r="I105" i="1"/>
  <c r="I75" i="1"/>
  <c r="I57" i="1"/>
  <c r="I9" i="1"/>
  <c r="J173" i="1"/>
  <c r="AF173" i="1" s="1"/>
  <c r="J115" i="1"/>
  <c r="J93" i="1"/>
  <c r="AF93" i="1" s="1"/>
  <c r="J18" i="1"/>
  <c r="K114" i="1"/>
  <c r="L172" i="1"/>
  <c r="L137" i="1"/>
  <c r="L113" i="1"/>
  <c r="L83" i="1"/>
  <c r="L51" i="1"/>
  <c r="L21" i="1"/>
  <c r="M124" i="1"/>
  <c r="M95" i="1"/>
  <c r="M68" i="1"/>
  <c r="N165" i="1"/>
  <c r="N151" i="1"/>
  <c r="N137" i="1"/>
  <c r="N105" i="1"/>
  <c r="N84" i="1"/>
  <c r="N59" i="1"/>
  <c r="O152" i="1"/>
  <c r="O50" i="1"/>
  <c r="Q173" i="1"/>
  <c r="Q138" i="1"/>
  <c r="Q105" i="1"/>
  <c r="S50" i="1"/>
  <c r="U139" i="1"/>
  <c r="U18" i="1"/>
  <c r="W10" i="1"/>
  <c r="W113" i="1"/>
  <c r="Y173" i="1"/>
  <c r="Y152" i="1"/>
  <c r="Y124" i="1"/>
  <c r="I115" i="1"/>
  <c r="K173" i="1"/>
  <c r="K95" i="1"/>
  <c r="N115" i="1"/>
  <c r="W125" i="1"/>
  <c r="AY183" i="1"/>
  <c r="G84" i="1"/>
  <c r="H30" i="1"/>
  <c r="I172" i="1"/>
  <c r="I152" i="1"/>
  <c r="I85" i="1"/>
  <c r="K172" i="1"/>
  <c r="K124" i="1"/>
  <c r="K68" i="1"/>
  <c r="L68" i="1"/>
  <c r="M105" i="1"/>
  <c r="O30" i="1"/>
  <c r="Q115" i="1"/>
  <c r="Q74" i="1"/>
  <c r="Y84" i="1"/>
  <c r="AY103" i="1"/>
  <c r="AY75" i="1"/>
  <c r="AY20" i="1"/>
  <c r="G125" i="1"/>
  <c r="G103" i="1"/>
  <c r="G75" i="1"/>
  <c r="H125" i="1"/>
  <c r="H74" i="1"/>
  <c r="I133" i="1"/>
  <c r="I104" i="1"/>
  <c r="I74" i="1"/>
  <c r="I8" i="1"/>
  <c r="J172" i="1"/>
  <c r="AF172" i="1" s="1"/>
  <c r="J139" i="1"/>
  <c r="J114" i="1"/>
  <c r="J85" i="1"/>
  <c r="K183" i="1"/>
  <c r="K139" i="1"/>
  <c r="K113" i="1"/>
  <c r="K85" i="1"/>
  <c r="L171" i="1"/>
  <c r="L153" i="1"/>
  <c r="L105" i="1"/>
  <c r="L50" i="1"/>
  <c r="L20" i="1"/>
  <c r="M183" i="1"/>
  <c r="M123" i="1"/>
  <c r="M94" i="1"/>
  <c r="M67" i="1"/>
  <c r="AJ67" i="1" s="1"/>
  <c r="M50" i="1"/>
  <c r="N183" i="1"/>
  <c r="N164" i="1"/>
  <c r="N104" i="1"/>
  <c r="N83" i="1"/>
  <c r="N58" i="1"/>
  <c r="N8" i="1"/>
  <c r="O173" i="1"/>
  <c r="O151" i="1"/>
  <c r="O105" i="1"/>
  <c r="Q172" i="1"/>
  <c r="Q137" i="1"/>
  <c r="Q95" i="1"/>
  <c r="Q41" i="1"/>
  <c r="S20" i="1"/>
  <c r="U138" i="1"/>
  <c r="U95" i="1"/>
  <c r="W95" i="1"/>
  <c r="Y21" i="1"/>
  <c r="Y172" i="1"/>
  <c r="AY85" i="1"/>
  <c r="H31" i="1"/>
  <c r="K125" i="1"/>
  <c r="O95" i="1"/>
  <c r="G21" i="1"/>
  <c r="K30" i="1"/>
  <c r="L59" i="1"/>
  <c r="N75" i="1"/>
  <c r="N41" i="1"/>
  <c r="O104" i="1"/>
  <c r="O85" i="1"/>
  <c r="Q94" i="1"/>
  <c r="Q10" i="1"/>
  <c r="U94" i="1"/>
  <c r="Y114" i="1"/>
  <c r="AY125" i="1"/>
  <c r="AY95" i="1"/>
  <c r="AY68" i="1"/>
  <c r="G183" i="1"/>
  <c r="G123" i="1"/>
  <c r="G95" i="1"/>
  <c r="G68" i="1"/>
  <c r="G19" i="1"/>
  <c r="H123" i="1"/>
  <c r="H94" i="1"/>
  <c r="H67" i="1"/>
  <c r="H50" i="1"/>
  <c r="I182" i="1"/>
  <c r="I125" i="1"/>
  <c r="I95" i="1"/>
  <c r="I68" i="1"/>
  <c r="I20" i="1"/>
  <c r="J137" i="1"/>
  <c r="J105" i="1"/>
  <c r="J83" i="1"/>
  <c r="J59" i="1"/>
  <c r="AD59" i="1" s="1"/>
  <c r="K181" i="1"/>
  <c r="K137" i="1"/>
  <c r="K104" i="1"/>
  <c r="K83" i="1"/>
  <c r="K58" i="1"/>
  <c r="L2" i="1"/>
  <c r="L165" i="1"/>
  <c r="L151" i="1"/>
  <c r="L103" i="1"/>
  <c r="L58" i="1"/>
  <c r="M181" i="1"/>
  <c r="M20" i="1"/>
  <c r="N181" i="1"/>
  <c r="N125" i="1"/>
  <c r="N74" i="1"/>
  <c r="O124" i="1"/>
  <c r="O103" i="1"/>
  <c r="O84" i="1"/>
  <c r="O59" i="1"/>
  <c r="O18" i="1"/>
  <c r="Q133" i="1"/>
  <c r="Q93" i="1"/>
  <c r="Q57" i="1"/>
  <c r="S133" i="1"/>
  <c r="U183" i="1"/>
  <c r="U133" i="1"/>
  <c r="W183" i="1"/>
  <c r="W93" i="1"/>
  <c r="W68" i="1"/>
  <c r="W41" i="1"/>
  <c r="Y113" i="1"/>
  <c r="Y59" i="1"/>
  <c r="AY115" i="1"/>
  <c r="J183" i="1"/>
  <c r="H95" i="1"/>
  <c r="H68" i="1"/>
  <c r="I183" i="1"/>
  <c r="I21" i="1"/>
  <c r="K105" i="1"/>
  <c r="K59" i="1"/>
  <c r="M115" i="1"/>
  <c r="M21" i="1"/>
  <c r="N182" i="1"/>
  <c r="O172" i="1"/>
  <c r="O125" i="1"/>
  <c r="O20" i="1"/>
  <c r="Q153" i="1"/>
  <c r="W94" i="1"/>
  <c r="W75" i="1"/>
  <c r="AY124" i="1"/>
  <c r="AY94" i="1"/>
  <c r="AY67" i="1"/>
  <c r="G182" i="1"/>
  <c r="G139" i="1"/>
  <c r="G115" i="1"/>
  <c r="G94" i="1"/>
  <c r="G67" i="1"/>
  <c r="G50" i="1"/>
  <c r="G18" i="1"/>
  <c r="H115" i="1"/>
  <c r="H93" i="1"/>
  <c r="I181" i="1"/>
  <c r="I124" i="1"/>
  <c r="I67" i="1"/>
  <c r="J153" i="1"/>
  <c r="J104" i="1"/>
  <c r="AF104" i="1" s="1"/>
  <c r="J58" i="1"/>
  <c r="K103" i="1"/>
  <c r="K75" i="1"/>
  <c r="K57" i="1"/>
  <c r="K21" i="1"/>
  <c r="K2" i="1"/>
  <c r="L164" i="1"/>
  <c r="L57" i="1"/>
  <c r="M139" i="1"/>
  <c r="M85" i="1"/>
  <c r="N124" i="1"/>
  <c r="N95" i="1"/>
  <c r="O123" i="1"/>
  <c r="O83" i="1"/>
  <c r="Q2" i="1"/>
  <c r="Q165" i="1"/>
  <c r="Q151" i="1"/>
  <c r="Q125" i="1"/>
  <c r="Q85" i="1"/>
  <c r="U182" i="1"/>
  <c r="W138" i="1"/>
  <c r="W67" i="1"/>
  <c r="Y8" i="1"/>
  <c r="Y168" i="1"/>
  <c r="Y58" i="1"/>
  <c r="O71" i="1"/>
  <c r="L71" i="1"/>
  <c r="AY71" i="1"/>
  <c r="O142" i="1"/>
  <c r="N142" i="1"/>
  <c r="L142" i="1"/>
  <c r="AY142" i="1"/>
  <c r="Q142" i="1"/>
  <c r="J142" i="1"/>
  <c r="H168" i="1"/>
  <c r="J33" i="1"/>
  <c r="Y33" i="1"/>
  <c r="H33" i="1"/>
  <c r="Q33" i="1"/>
  <c r="N33" i="1"/>
  <c r="L33" i="1"/>
  <c r="M33" i="1"/>
  <c r="G33" i="1"/>
  <c r="O33" i="1"/>
  <c r="K33" i="1"/>
  <c r="W33" i="1"/>
  <c r="I33" i="1"/>
  <c r="I88" i="1"/>
  <c r="Q71" i="1"/>
  <c r="I169" i="1"/>
  <c r="L128" i="1"/>
  <c r="W147" i="1"/>
  <c r="L62" i="1"/>
  <c r="Q62" i="1"/>
  <c r="M118" i="1"/>
  <c r="Q118" i="1"/>
  <c r="J118" i="1"/>
  <c r="H118" i="1"/>
  <c r="O118" i="1"/>
  <c r="L118" i="1"/>
  <c r="AY118" i="1"/>
  <c r="G118" i="1"/>
  <c r="I118" i="1"/>
  <c r="N108" i="1"/>
  <c r="K108" i="1"/>
  <c r="L108" i="1"/>
  <c r="J108" i="1"/>
  <c r="H108" i="1"/>
  <c r="AY108" i="1"/>
  <c r="W108" i="1"/>
  <c r="O108" i="1"/>
  <c r="Q108" i="1"/>
  <c r="Y108" i="1"/>
  <c r="J98" i="1"/>
  <c r="H98" i="1"/>
  <c r="O98" i="1"/>
  <c r="W98" i="1"/>
  <c r="L98" i="1"/>
  <c r="AY98" i="1"/>
  <c r="Y98" i="1"/>
  <c r="G98" i="1"/>
  <c r="Q98" i="1"/>
  <c r="N98" i="1"/>
  <c r="M98" i="1"/>
  <c r="I98" i="1"/>
  <c r="K98" i="1"/>
  <c r="G88" i="1"/>
  <c r="Y88" i="1"/>
  <c r="W88" i="1"/>
  <c r="J88" i="1"/>
  <c r="AF88" i="1" s="1"/>
  <c r="H88" i="1"/>
  <c r="Q88" i="1"/>
  <c r="L88" i="1"/>
  <c r="AY88" i="1"/>
  <c r="N176" i="1"/>
  <c r="K176" i="1"/>
  <c r="Q176" i="1"/>
  <c r="O176" i="1"/>
  <c r="Y176" i="1"/>
  <c r="W176" i="1"/>
  <c r="W12" i="1"/>
  <c r="Q12" i="1"/>
  <c r="K3" i="1"/>
  <c r="I108" i="1"/>
  <c r="J3" i="1"/>
  <c r="L78" i="1"/>
  <c r="S176" i="1"/>
  <c r="K109" i="1"/>
  <c r="M109" i="1"/>
  <c r="L169" i="1"/>
  <c r="Q169" i="1"/>
  <c r="AY157" i="1"/>
  <c r="S157" i="1"/>
  <c r="N157" i="1"/>
  <c r="G157" i="1"/>
  <c r="W13" i="1"/>
  <c r="N13" i="1"/>
  <c r="M13" i="1"/>
  <c r="L13" i="1"/>
  <c r="S13" i="1"/>
  <c r="J13" i="1"/>
  <c r="K13" i="1"/>
  <c r="Y13" i="1"/>
  <c r="AY13" i="1"/>
  <c r="L24" i="1"/>
  <c r="I24" i="1"/>
  <c r="H24" i="1"/>
  <c r="Y24" i="1"/>
  <c r="W24" i="1"/>
  <c r="U24" i="1"/>
  <c r="K24" i="1"/>
  <c r="Q24" i="1"/>
  <c r="AY24" i="1"/>
  <c r="J24" i="1"/>
  <c r="O24" i="1"/>
  <c r="N186" i="1"/>
  <c r="Q186" i="1"/>
  <c r="Y186" i="1"/>
  <c r="O186" i="1"/>
  <c r="W186" i="1"/>
  <c r="G108" i="1"/>
  <c r="AY53" i="1"/>
  <c r="Y53" i="1"/>
  <c r="I53" i="1"/>
  <c r="S53" i="1"/>
  <c r="J53" i="1"/>
  <c r="H53" i="1"/>
  <c r="Q53" i="1"/>
  <c r="G53" i="1"/>
  <c r="W53" i="1"/>
  <c r="M53" i="1"/>
  <c r="N53" i="1"/>
  <c r="J157" i="1"/>
  <c r="K186" i="1"/>
  <c r="K118" i="1"/>
  <c r="N88" i="1"/>
  <c r="O169" i="1"/>
  <c r="Q43" i="1"/>
  <c r="W44" i="1"/>
  <c r="Q44" i="1"/>
  <c r="N44" i="1"/>
  <c r="M44" i="1"/>
  <c r="I44" i="1"/>
  <c r="O44" i="1"/>
  <c r="L44" i="1"/>
  <c r="AY44" i="1"/>
  <c r="K44" i="1"/>
  <c r="J44" i="1"/>
  <c r="Y44" i="1"/>
  <c r="S128" i="1"/>
  <c r="G128" i="1"/>
  <c r="I128" i="1"/>
  <c r="N128" i="1"/>
  <c r="M128" i="1"/>
  <c r="AJ128" i="1" s="1"/>
  <c r="W128" i="1"/>
  <c r="K128" i="1"/>
  <c r="Y128" i="1"/>
  <c r="Q128" i="1"/>
  <c r="W168" i="1"/>
  <c r="G168" i="1"/>
  <c r="I168" i="1"/>
  <c r="AY168" i="1"/>
  <c r="O168" i="1"/>
  <c r="M168" i="1"/>
  <c r="AH168" i="1" s="1"/>
  <c r="N168" i="1"/>
  <c r="K168" i="1"/>
  <c r="Q168" i="1"/>
  <c r="L168" i="1"/>
  <c r="W118" i="1"/>
  <c r="G43" i="1"/>
  <c r="L23" i="1"/>
  <c r="H44" i="1"/>
  <c r="K88" i="1"/>
  <c r="K53" i="1"/>
  <c r="M24" i="1"/>
  <c r="Y118" i="1"/>
  <c r="S129" i="1"/>
  <c r="K129" i="1"/>
  <c r="I157" i="1"/>
  <c r="Y34" i="1"/>
  <c r="AY34" i="1"/>
  <c r="J34" i="1"/>
  <c r="H34" i="1"/>
  <c r="Q34" i="1"/>
  <c r="N34" i="1"/>
  <c r="M34" i="1"/>
  <c r="G34" i="1"/>
  <c r="W34" i="1"/>
  <c r="I34" i="1"/>
  <c r="O34" i="1"/>
  <c r="Q156" i="1"/>
  <c r="N156" i="1"/>
  <c r="U156" i="1"/>
  <c r="J156" i="1"/>
  <c r="AF156" i="1" s="1"/>
  <c r="AY156" i="1"/>
  <c r="G44" i="1"/>
  <c r="O128" i="1"/>
  <c r="AY78" i="1"/>
  <c r="G13" i="1"/>
  <c r="H13" i="1"/>
  <c r="M88" i="1"/>
  <c r="AJ88" i="1" s="1"/>
  <c r="N24" i="1"/>
  <c r="Y147" i="1"/>
  <c r="AY147" i="1"/>
  <c r="H147" i="1"/>
  <c r="I147" i="1"/>
  <c r="N147" i="1"/>
  <c r="O3" i="1"/>
  <c r="AY3" i="1"/>
  <c r="Q3" i="1"/>
  <c r="H3" i="1"/>
  <c r="M3" i="1"/>
  <c r="Y3" i="1"/>
  <c r="I3" i="1"/>
  <c r="G3" i="1"/>
  <c r="U3" i="1"/>
  <c r="N3" i="1"/>
  <c r="W3" i="1"/>
  <c r="L3" i="1"/>
  <c r="G78" i="1"/>
  <c r="Q78" i="1"/>
  <c r="O78" i="1"/>
  <c r="N78" i="1"/>
  <c r="M78" i="1"/>
  <c r="K78" i="1"/>
  <c r="I78" i="1"/>
  <c r="Y78" i="1"/>
  <c r="W78" i="1"/>
  <c r="Q147" i="1"/>
  <c r="I43" i="1"/>
  <c r="H43" i="1"/>
  <c r="O43" i="1"/>
  <c r="L43" i="1"/>
  <c r="K43" i="1"/>
  <c r="Y43" i="1"/>
  <c r="J43" i="1"/>
  <c r="AF43" i="1" s="1"/>
  <c r="AY43" i="1"/>
  <c r="Y23" i="1"/>
  <c r="W23" i="1"/>
  <c r="K23" i="1"/>
  <c r="N23" i="1"/>
  <c r="J23" i="1"/>
  <c r="Q23" i="1"/>
  <c r="O23" i="1"/>
  <c r="H23" i="1"/>
  <c r="AY23" i="1"/>
  <c r="AY128" i="1"/>
  <c r="AY33" i="1"/>
  <c r="G24" i="1"/>
  <c r="H78" i="1"/>
  <c r="I23" i="1"/>
  <c r="I13" i="1"/>
  <c r="L34" i="1"/>
  <c r="Q13" i="1"/>
  <c r="S3" i="1"/>
  <c r="N117" i="1"/>
  <c r="Q127" i="1"/>
  <c r="AY141" i="1"/>
  <c r="AY106" i="1"/>
  <c r="G174" i="1"/>
  <c r="G87" i="1"/>
  <c r="G69" i="1"/>
  <c r="H175" i="1"/>
  <c r="H126" i="1"/>
  <c r="H107" i="1"/>
  <c r="H42" i="1"/>
  <c r="I52" i="1"/>
  <c r="J175" i="1"/>
  <c r="J155" i="1"/>
  <c r="J126" i="1"/>
  <c r="J107" i="1"/>
  <c r="K116" i="1"/>
  <c r="K51" i="1"/>
  <c r="K31" i="1"/>
  <c r="L184" i="1"/>
  <c r="L155" i="1"/>
  <c r="L141" i="1"/>
  <c r="L106" i="1"/>
  <c r="L60" i="1"/>
  <c r="L32" i="1"/>
  <c r="M117" i="1"/>
  <c r="M52" i="1"/>
  <c r="AI35" i="1"/>
  <c r="N2" i="1"/>
  <c r="N116" i="1"/>
  <c r="N51" i="1"/>
  <c r="N22" i="1"/>
  <c r="O97" i="1"/>
  <c r="Q155" i="1"/>
  <c r="Q126" i="1"/>
  <c r="Q106" i="1"/>
  <c r="Q52" i="1"/>
  <c r="U154" i="1"/>
  <c r="W174" i="1"/>
  <c r="AI174" i="1" s="1"/>
  <c r="Y31" i="1"/>
  <c r="Y10" i="1"/>
  <c r="H127" i="1"/>
  <c r="K52" i="1"/>
  <c r="L185" i="1"/>
  <c r="AY2" i="1"/>
  <c r="AY140" i="1"/>
  <c r="AY87" i="1"/>
  <c r="AY42" i="1"/>
  <c r="AY22" i="1"/>
  <c r="G86" i="1"/>
  <c r="H174" i="1"/>
  <c r="H141" i="1"/>
  <c r="H106" i="1"/>
  <c r="H69" i="1"/>
  <c r="H41" i="1"/>
  <c r="H21" i="1"/>
  <c r="I117" i="1"/>
  <c r="I51" i="1"/>
  <c r="I32" i="1"/>
  <c r="J174" i="1"/>
  <c r="J154" i="1"/>
  <c r="J141" i="1"/>
  <c r="J106" i="1"/>
  <c r="J69" i="1"/>
  <c r="J41" i="1"/>
  <c r="K97" i="1"/>
  <c r="L167" i="1"/>
  <c r="L154" i="1"/>
  <c r="L140" i="1"/>
  <c r="L86" i="1"/>
  <c r="L31" i="1"/>
  <c r="M2" i="1"/>
  <c r="AH2" i="1" s="1"/>
  <c r="M116" i="1"/>
  <c r="AJ116" i="1" s="1"/>
  <c r="M51" i="1"/>
  <c r="AK51" i="1" s="1"/>
  <c r="N185" i="1"/>
  <c r="N21" i="1"/>
  <c r="O141" i="1"/>
  <c r="O96" i="1"/>
  <c r="O22" i="1"/>
  <c r="Q167" i="1"/>
  <c r="Q154" i="1"/>
  <c r="Q141" i="1"/>
  <c r="AK141" i="1" s="1"/>
  <c r="Q51" i="1"/>
  <c r="Q22" i="1"/>
  <c r="S86" i="1"/>
  <c r="W69" i="1"/>
  <c r="W31" i="1"/>
  <c r="Y174" i="1"/>
  <c r="Y107" i="1"/>
  <c r="Y77" i="1"/>
  <c r="J127" i="1"/>
  <c r="Q87" i="1"/>
  <c r="AY185" i="1"/>
  <c r="AY86" i="1"/>
  <c r="AY70" i="1"/>
  <c r="AY41" i="1"/>
  <c r="AY21" i="1"/>
  <c r="G2" i="1"/>
  <c r="G116" i="1"/>
  <c r="H140" i="1"/>
  <c r="H86" i="1"/>
  <c r="I175" i="1"/>
  <c r="I116" i="1"/>
  <c r="I97" i="1"/>
  <c r="I31" i="1"/>
  <c r="J140" i="1"/>
  <c r="J86" i="1"/>
  <c r="K167" i="1"/>
  <c r="K96" i="1"/>
  <c r="M184" i="1"/>
  <c r="AK184" i="1" s="1"/>
  <c r="M97" i="1"/>
  <c r="N184" i="1"/>
  <c r="N96" i="1"/>
  <c r="O2" i="1"/>
  <c r="O175" i="1"/>
  <c r="O140" i="1"/>
  <c r="O107" i="1"/>
  <c r="O32" i="1"/>
  <c r="O21" i="1"/>
  <c r="Q140" i="1"/>
  <c r="AI140" i="1" s="1"/>
  <c r="Q21" i="1"/>
  <c r="U174" i="1"/>
  <c r="W185" i="1"/>
  <c r="W107" i="1"/>
  <c r="W52" i="1"/>
  <c r="Y127" i="1"/>
  <c r="Y106" i="1"/>
  <c r="Y76" i="1"/>
  <c r="Y41" i="1"/>
  <c r="G175" i="1"/>
  <c r="K117" i="1"/>
  <c r="Q107" i="1"/>
  <c r="W175" i="1"/>
  <c r="AY184" i="1"/>
  <c r="AY69" i="1"/>
  <c r="G185" i="1"/>
  <c r="G51" i="1"/>
  <c r="G32" i="1"/>
  <c r="H2" i="1"/>
  <c r="I174" i="1"/>
  <c r="I96" i="1"/>
  <c r="I77" i="1"/>
  <c r="J22" i="1"/>
  <c r="K127" i="1"/>
  <c r="K76" i="1"/>
  <c r="L70" i="1"/>
  <c r="M96" i="1"/>
  <c r="M77" i="1"/>
  <c r="M31" i="1"/>
  <c r="AJ31" i="1" s="1"/>
  <c r="N167" i="1"/>
  <c r="N77" i="1"/>
  <c r="O174" i="1"/>
  <c r="O106" i="1"/>
  <c r="O77" i="1"/>
  <c r="O31" i="1"/>
  <c r="Q175" i="1"/>
  <c r="Q97" i="1"/>
  <c r="Q77" i="1"/>
  <c r="U167" i="1"/>
  <c r="W184" i="1"/>
  <c r="W127" i="1"/>
  <c r="W106" i="1"/>
  <c r="W87" i="1"/>
  <c r="W51" i="1"/>
  <c r="Y126" i="1"/>
  <c r="AY117" i="1"/>
  <c r="G184" i="1"/>
  <c r="G97" i="1"/>
  <c r="G31" i="1"/>
  <c r="H185" i="1"/>
  <c r="H52" i="1"/>
  <c r="I76" i="1"/>
  <c r="J2" i="1"/>
  <c r="AD2" i="1" s="1"/>
  <c r="K141" i="1"/>
  <c r="K126" i="1"/>
  <c r="L117" i="1"/>
  <c r="L69" i="1"/>
  <c r="M167" i="1"/>
  <c r="M127" i="1"/>
  <c r="M76" i="1"/>
  <c r="N166" i="1"/>
  <c r="N126" i="1"/>
  <c r="N76" i="1"/>
  <c r="N32" i="1"/>
  <c r="O185" i="1"/>
  <c r="O117" i="1"/>
  <c r="O76" i="1"/>
  <c r="Q174" i="1"/>
  <c r="Q96" i="1"/>
  <c r="Q76" i="1"/>
  <c r="Q61" i="1"/>
  <c r="Q32" i="1"/>
  <c r="S51" i="1"/>
  <c r="W126" i="1"/>
  <c r="Y96" i="1"/>
  <c r="AY167" i="1"/>
  <c r="AY116" i="1"/>
  <c r="AY97" i="1"/>
  <c r="G96" i="1"/>
  <c r="H184" i="1"/>
  <c r="H116" i="1"/>
  <c r="H51" i="1"/>
  <c r="I2" i="1"/>
  <c r="I127" i="1"/>
  <c r="J184" i="1"/>
  <c r="AG184" i="1" s="1"/>
  <c r="J116" i="1"/>
  <c r="AF116" i="1" s="1"/>
  <c r="J51" i="1"/>
  <c r="AG51" i="1" s="1"/>
  <c r="K175" i="1"/>
  <c r="K41" i="1"/>
  <c r="K22" i="1"/>
  <c r="L116" i="1"/>
  <c r="L97" i="1"/>
  <c r="L41" i="1"/>
  <c r="M126" i="1"/>
  <c r="N154" i="1"/>
  <c r="N107" i="1"/>
  <c r="N31" i="1"/>
  <c r="W22" i="1"/>
  <c r="Y185" i="1"/>
  <c r="K147" i="1"/>
  <c r="L147" i="1"/>
  <c r="L129" i="1"/>
  <c r="M129" i="1"/>
  <c r="AJ129" i="1" s="1"/>
  <c r="Q72" i="1"/>
  <c r="AY72" i="1"/>
  <c r="J79" i="1"/>
  <c r="K79" i="1"/>
  <c r="S143" i="1"/>
  <c r="N143" i="1"/>
  <c r="W169" i="1"/>
  <c r="M169" i="1"/>
  <c r="Y169" i="1"/>
  <c r="H169" i="1"/>
  <c r="G169" i="1"/>
  <c r="K157" i="1"/>
  <c r="W157" i="1"/>
  <c r="U157" i="1"/>
  <c r="M157" i="1"/>
  <c r="Q177" i="1"/>
  <c r="Y177" i="1"/>
  <c r="O177" i="1"/>
  <c r="W177" i="1"/>
  <c r="G147" i="1"/>
  <c r="L157" i="1"/>
  <c r="L79" i="1"/>
  <c r="M147" i="1"/>
  <c r="Y11" i="1"/>
  <c r="Q11" i="1"/>
  <c r="S52" i="1"/>
  <c r="G52" i="1"/>
  <c r="N52" i="1"/>
  <c r="Y42" i="1"/>
  <c r="I42" i="1"/>
  <c r="L42" i="1"/>
  <c r="J42" i="1"/>
  <c r="W42" i="1"/>
  <c r="AI42" i="1" s="1"/>
  <c r="Y32" i="1"/>
  <c r="K32" i="1"/>
  <c r="W32" i="1"/>
  <c r="M32" i="1"/>
  <c r="AY32" i="1"/>
  <c r="H22" i="1"/>
  <c r="G22" i="1"/>
  <c r="N169" i="1"/>
  <c r="O147" i="1"/>
  <c r="Y157" i="1"/>
  <c r="AK45" i="1"/>
  <c r="K19" i="1"/>
  <c r="U19" i="1"/>
  <c r="W19" i="1"/>
  <c r="Q19" i="1"/>
  <c r="Y19" i="1"/>
  <c r="M19" i="1"/>
  <c r="K9" i="1"/>
  <c r="Q9" i="1"/>
  <c r="W9" i="1"/>
  <c r="G9" i="1"/>
  <c r="N50" i="1"/>
  <c r="K50" i="1"/>
  <c r="W50" i="1"/>
  <c r="Q50" i="1"/>
  <c r="AY50" i="1"/>
  <c r="L40" i="1"/>
  <c r="J40" i="1"/>
  <c r="N40" i="1"/>
  <c r="H40" i="1"/>
  <c r="Q40" i="1"/>
  <c r="G40" i="1"/>
  <c r="K89" i="1"/>
  <c r="Q157" i="1"/>
  <c r="U50" i="1"/>
  <c r="W40" i="1"/>
  <c r="AK148" i="1"/>
  <c r="Y40" i="1"/>
  <c r="O157" i="1"/>
  <c r="AY169" i="1"/>
  <c r="K169" i="1"/>
  <c r="L72" i="1"/>
  <c r="U143" i="1"/>
  <c r="AI4" i="1"/>
  <c r="AE35" i="1"/>
  <c r="Y52" i="1"/>
  <c r="H157" i="1"/>
  <c r="M40" i="1"/>
  <c r="O42" i="1"/>
  <c r="O19" i="1"/>
  <c r="Y143" i="1"/>
  <c r="W16" i="1"/>
  <c r="W5" i="1"/>
  <c r="W167" i="1"/>
  <c r="W133" i="1"/>
  <c r="W115" i="1"/>
  <c r="W97" i="1"/>
  <c r="W86" i="1"/>
  <c r="AK25" i="1"/>
  <c r="Y15" i="1"/>
  <c r="Y175" i="1"/>
  <c r="Y133" i="1"/>
  <c r="Y97" i="1"/>
  <c r="Y37" i="1"/>
  <c r="AK35" i="1"/>
  <c r="AG35" i="1"/>
  <c r="Y70" i="1"/>
  <c r="Y20" i="1"/>
  <c r="G117" i="1"/>
  <c r="H87" i="1"/>
  <c r="I107" i="1"/>
  <c r="J87" i="1"/>
  <c r="K185" i="1"/>
  <c r="K107" i="1"/>
  <c r="K18" i="1"/>
  <c r="L175" i="1"/>
  <c r="L107" i="1"/>
  <c r="L15" i="1"/>
  <c r="M185" i="1"/>
  <c r="M107" i="1"/>
  <c r="M6" i="1"/>
  <c r="N30" i="1"/>
  <c r="N18" i="1"/>
  <c r="O116" i="1"/>
  <c r="O58" i="1"/>
  <c r="O47" i="1"/>
  <c r="O36" i="1"/>
  <c r="Q104" i="1"/>
  <c r="Q86" i="1"/>
  <c r="Q60" i="1"/>
  <c r="Q30" i="1"/>
  <c r="Q20" i="1"/>
  <c r="S175" i="1"/>
  <c r="S127" i="1"/>
  <c r="S84" i="1"/>
  <c r="W139" i="1"/>
  <c r="W123" i="1"/>
  <c r="W105" i="1"/>
  <c r="Y7" i="1"/>
  <c r="Y87" i="1"/>
  <c r="Y69" i="1"/>
  <c r="I167" i="1"/>
  <c r="J185" i="1"/>
  <c r="K17" i="1"/>
  <c r="L77" i="1"/>
  <c r="M18" i="1"/>
  <c r="M5" i="1"/>
  <c r="N175" i="1"/>
  <c r="N155" i="1"/>
  <c r="N28" i="1"/>
  <c r="N17" i="1"/>
  <c r="O167" i="1"/>
  <c r="O46" i="1"/>
  <c r="Q117" i="1"/>
  <c r="Q103" i="1"/>
  <c r="Q59" i="1"/>
  <c r="Q49" i="1"/>
  <c r="Q39" i="1"/>
  <c r="Q29" i="1"/>
  <c r="U20" i="1"/>
  <c r="W8" i="1"/>
  <c r="W104" i="1"/>
  <c r="W77" i="1"/>
  <c r="Y18" i="1"/>
  <c r="AY30" i="1"/>
  <c r="G167" i="1"/>
  <c r="H167" i="1"/>
  <c r="H117" i="1"/>
  <c r="I87" i="1"/>
  <c r="J117" i="1"/>
  <c r="K16" i="1"/>
  <c r="L87" i="1"/>
  <c r="M30" i="1"/>
  <c r="M17" i="1"/>
  <c r="N127" i="1"/>
  <c r="N38" i="1"/>
  <c r="N27" i="1"/>
  <c r="Q58" i="1"/>
  <c r="Q48" i="1"/>
  <c r="Q38" i="1"/>
  <c r="Q28" i="1"/>
  <c r="Q18" i="1"/>
  <c r="S7" i="1"/>
  <c r="U155" i="1"/>
  <c r="W137" i="1"/>
  <c r="W117" i="1"/>
  <c r="W103" i="1"/>
  <c r="H186" i="1"/>
  <c r="H176" i="1"/>
  <c r="J179" i="1"/>
  <c r="AF179" i="1" s="1"/>
  <c r="H178" i="1"/>
  <c r="AY178" i="1"/>
  <c r="I179" i="1"/>
  <c r="J178" i="1"/>
  <c r="L179" i="1"/>
  <c r="U176" i="1"/>
  <c r="AY177" i="1"/>
  <c r="G179" i="1"/>
  <c r="I178" i="1"/>
  <c r="J177" i="1"/>
  <c r="L178" i="1"/>
  <c r="M179" i="1"/>
  <c r="AJ179" i="1" s="1"/>
  <c r="N179" i="1"/>
  <c r="H177" i="1"/>
  <c r="AY179" i="1"/>
  <c r="AY186" i="1"/>
  <c r="AY176" i="1"/>
  <c r="G178" i="1"/>
  <c r="I177" i="1"/>
  <c r="J186" i="1"/>
  <c r="J176" i="1"/>
  <c r="AD176" i="1" s="1"/>
  <c r="K179" i="1"/>
  <c r="L177" i="1"/>
  <c r="M178" i="1"/>
  <c r="N178" i="1"/>
  <c r="Q179" i="1"/>
  <c r="H179" i="1"/>
  <c r="G177" i="1"/>
  <c r="I186" i="1"/>
  <c r="I176" i="1"/>
  <c r="K178" i="1"/>
  <c r="L186" i="1"/>
  <c r="L176" i="1"/>
  <c r="M177" i="1"/>
  <c r="N177" i="1"/>
  <c r="Q178" i="1"/>
  <c r="W179" i="1"/>
  <c r="Y179" i="1"/>
  <c r="G186" i="1"/>
  <c r="G176" i="1"/>
  <c r="K177" i="1"/>
  <c r="M186" i="1"/>
  <c r="M176" i="1"/>
  <c r="AH176" i="1" s="1"/>
  <c r="W178" i="1"/>
  <c r="G165" i="1"/>
  <c r="G155" i="1"/>
  <c r="O166" i="1"/>
  <c r="U166" i="1"/>
  <c r="K165" i="1"/>
  <c r="K155" i="1"/>
  <c r="M164" i="1"/>
  <c r="M154" i="1"/>
  <c r="O165" i="1"/>
  <c r="O155" i="1"/>
  <c r="Y166" i="1"/>
  <c r="Y156" i="1"/>
  <c r="AG148" i="1"/>
  <c r="G164" i="1"/>
  <c r="G154" i="1"/>
  <c r="G163" i="1"/>
  <c r="G153" i="1"/>
  <c r="H166" i="1"/>
  <c r="H156" i="1"/>
  <c r="I166" i="1"/>
  <c r="I156" i="1"/>
  <c r="K164" i="1"/>
  <c r="K154" i="1"/>
  <c r="M163" i="1"/>
  <c r="M153" i="1"/>
  <c r="O164" i="1"/>
  <c r="O154" i="1"/>
  <c r="Y165" i="1"/>
  <c r="Y155" i="1"/>
  <c r="H165" i="1"/>
  <c r="H155" i="1"/>
  <c r="I165" i="1"/>
  <c r="I155" i="1"/>
  <c r="K163" i="1"/>
  <c r="K153" i="1"/>
  <c r="O163" i="1"/>
  <c r="O153" i="1"/>
  <c r="S165" i="1"/>
  <c r="W166" i="1"/>
  <c r="W156" i="1"/>
  <c r="Y164" i="1"/>
  <c r="Y154" i="1"/>
  <c r="G166" i="1"/>
  <c r="G156" i="1"/>
  <c r="M156" i="1"/>
  <c r="AJ156" i="1" s="1"/>
  <c r="K166" i="1"/>
  <c r="K156" i="1"/>
  <c r="M165" i="1"/>
  <c r="M155" i="1"/>
  <c r="O156" i="1"/>
  <c r="H164" i="1"/>
  <c r="H154" i="1"/>
  <c r="I164" i="1"/>
  <c r="I154" i="1"/>
  <c r="S164" i="1"/>
  <c r="Y163" i="1"/>
  <c r="Y153" i="1"/>
  <c r="S163" i="1"/>
  <c r="M166" i="1"/>
  <c r="L166" i="1"/>
  <c r="L156" i="1"/>
  <c r="G145" i="1"/>
  <c r="G135" i="1"/>
  <c r="H144" i="1"/>
  <c r="H134" i="1"/>
  <c r="W145" i="1"/>
  <c r="W135" i="1"/>
  <c r="N134" i="1"/>
  <c r="H135" i="1"/>
  <c r="G144" i="1"/>
  <c r="G134" i="1"/>
  <c r="H143" i="1"/>
  <c r="K145" i="1"/>
  <c r="K135" i="1"/>
  <c r="M145" i="1"/>
  <c r="AJ145" i="1" s="1"/>
  <c r="M135" i="1"/>
  <c r="AJ135" i="1" s="1"/>
  <c r="O145" i="1"/>
  <c r="O135" i="1"/>
  <c r="W144" i="1"/>
  <c r="W134" i="1"/>
  <c r="G143" i="1"/>
  <c r="H142" i="1"/>
  <c r="K144" i="1"/>
  <c r="K134" i="1"/>
  <c r="M144" i="1"/>
  <c r="M134" i="1"/>
  <c r="O144" i="1"/>
  <c r="O134" i="1"/>
  <c r="W143" i="1"/>
  <c r="G142" i="1"/>
  <c r="J145" i="1"/>
  <c r="AF145" i="1" s="1"/>
  <c r="J135" i="1"/>
  <c r="AF135" i="1" s="1"/>
  <c r="K143" i="1"/>
  <c r="L145" i="1"/>
  <c r="L135" i="1"/>
  <c r="M143" i="1"/>
  <c r="O143" i="1"/>
  <c r="Q145" i="1"/>
  <c r="Q135" i="1"/>
  <c r="S145" i="1"/>
  <c r="W142" i="1"/>
  <c r="AY134" i="1"/>
  <c r="I134" i="1"/>
  <c r="H145" i="1"/>
  <c r="J144" i="1"/>
  <c r="J134" i="1"/>
  <c r="K142" i="1"/>
  <c r="L144" i="1"/>
  <c r="L134" i="1"/>
  <c r="M142" i="1"/>
  <c r="Q144" i="1"/>
  <c r="Q134" i="1"/>
  <c r="S144" i="1"/>
  <c r="U145" i="1"/>
  <c r="Y145" i="1"/>
  <c r="Y135" i="1"/>
  <c r="AY145" i="1"/>
  <c r="AY135" i="1"/>
  <c r="I145" i="1"/>
  <c r="I135" i="1"/>
  <c r="J143" i="1"/>
  <c r="L143" i="1"/>
  <c r="Q143" i="1"/>
  <c r="U144" i="1"/>
  <c r="L102" i="1"/>
  <c r="K102" i="1"/>
  <c r="M102" i="1"/>
  <c r="AJ102" i="1" s="1"/>
  <c r="J102" i="1"/>
  <c r="AF102" i="1" s="1"/>
  <c r="Y102" i="1"/>
  <c r="I102" i="1"/>
  <c r="H102" i="1"/>
  <c r="O122" i="1"/>
  <c r="K121" i="1"/>
  <c r="M121" i="1"/>
  <c r="J121" i="1"/>
  <c r="Y121" i="1"/>
  <c r="I121" i="1"/>
  <c r="H121" i="1"/>
  <c r="AY121" i="1"/>
  <c r="O121" i="1"/>
  <c r="M120" i="1"/>
  <c r="J120" i="1"/>
  <c r="Y120" i="1"/>
  <c r="I120" i="1"/>
  <c r="H120" i="1"/>
  <c r="AY120" i="1"/>
  <c r="N120" i="1"/>
  <c r="G120" i="1"/>
  <c r="G122" i="1"/>
  <c r="L101" i="1"/>
  <c r="O120" i="1"/>
  <c r="Q91" i="1"/>
  <c r="S99" i="1"/>
  <c r="J99" i="1"/>
  <c r="AF99" i="1" s="1"/>
  <c r="Y99" i="1"/>
  <c r="U99" i="1"/>
  <c r="I99" i="1"/>
  <c r="H99" i="1"/>
  <c r="AY99" i="1"/>
  <c r="N99" i="1"/>
  <c r="G99" i="1"/>
  <c r="W99" i="1"/>
  <c r="Q99" i="1"/>
  <c r="O99" i="1"/>
  <c r="L111" i="1"/>
  <c r="L100" i="1"/>
  <c r="L89" i="1"/>
  <c r="N121" i="1"/>
  <c r="W132" i="1"/>
  <c r="W121" i="1"/>
  <c r="W110" i="1"/>
  <c r="L82" i="1"/>
  <c r="K82" i="1"/>
  <c r="M82" i="1"/>
  <c r="AJ82" i="1" s="1"/>
  <c r="J82" i="1"/>
  <c r="AF82" i="1" s="1"/>
  <c r="Y82" i="1"/>
  <c r="I82" i="1"/>
  <c r="H82" i="1"/>
  <c r="AY122" i="1"/>
  <c r="W102" i="1"/>
  <c r="K81" i="1"/>
  <c r="M81" i="1"/>
  <c r="AJ81" i="1" s="1"/>
  <c r="J81" i="1"/>
  <c r="AF81" i="1" s="1"/>
  <c r="S81" i="1"/>
  <c r="Y81" i="1"/>
  <c r="I81" i="1"/>
  <c r="H81" i="1"/>
  <c r="AY81" i="1"/>
  <c r="AY92" i="1"/>
  <c r="N111" i="1"/>
  <c r="M130" i="1"/>
  <c r="S130" i="1"/>
  <c r="J130" i="1"/>
  <c r="AY130" i="1"/>
  <c r="Y130" i="1"/>
  <c r="I130" i="1"/>
  <c r="H130" i="1"/>
  <c r="N130" i="1"/>
  <c r="G130" i="1"/>
  <c r="W122" i="1"/>
  <c r="W100" i="1"/>
  <c r="AY102" i="1"/>
  <c r="G132" i="1"/>
  <c r="G82" i="1"/>
  <c r="K120" i="1"/>
  <c r="L121" i="1"/>
  <c r="L110" i="1"/>
  <c r="L99" i="1"/>
  <c r="M119" i="1"/>
  <c r="AJ119" i="1" s="1"/>
  <c r="N132" i="1"/>
  <c r="N82" i="1"/>
  <c r="W131" i="1"/>
  <c r="W120" i="1"/>
  <c r="L122" i="1"/>
  <c r="K122" i="1"/>
  <c r="M122" i="1"/>
  <c r="S122" i="1"/>
  <c r="J122" i="1"/>
  <c r="Y122" i="1"/>
  <c r="I122" i="1"/>
  <c r="H122" i="1"/>
  <c r="Q82" i="1"/>
  <c r="K111" i="1"/>
  <c r="M111" i="1"/>
  <c r="AH111" i="1" s="1"/>
  <c r="J111" i="1"/>
  <c r="AD111" i="1" s="1"/>
  <c r="H111" i="1"/>
  <c r="Y111" i="1"/>
  <c r="I111" i="1"/>
  <c r="AY111" i="1"/>
  <c r="L91" i="1"/>
  <c r="M90" i="1"/>
  <c r="AJ90" i="1" s="1"/>
  <c r="J90" i="1"/>
  <c r="AF90" i="1" s="1"/>
  <c r="Y90" i="1"/>
  <c r="I90" i="1"/>
  <c r="H90" i="1"/>
  <c r="AY90" i="1"/>
  <c r="N90" i="1"/>
  <c r="G90" i="1"/>
  <c r="N122" i="1"/>
  <c r="J109" i="1"/>
  <c r="Y109" i="1"/>
  <c r="I109" i="1"/>
  <c r="H109" i="1"/>
  <c r="AY109" i="1"/>
  <c r="N109" i="1"/>
  <c r="G109" i="1"/>
  <c r="W109" i="1"/>
  <c r="Q109" i="1"/>
  <c r="O109" i="1"/>
  <c r="AY132" i="1"/>
  <c r="G131" i="1"/>
  <c r="G81" i="1"/>
  <c r="K119" i="1"/>
  <c r="L131" i="1"/>
  <c r="L120" i="1"/>
  <c r="L109" i="1"/>
  <c r="N131" i="1"/>
  <c r="N81" i="1"/>
  <c r="Q121" i="1"/>
  <c r="Q110" i="1"/>
  <c r="W130" i="1"/>
  <c r="L112" i="1"/>
  <c r="K112" i="1"/>
  <c r="M112" i="1"/>
  <c r="J112" i="1"/>
  <c r="Y112" i="1"/>
  <c r="I112" i="1"/>
  <c r="H112" i="1"/>
  <c r="K101" i="1"/>
  <c r="M101" i="1"/>
  <c r="S101" i="1"/>
  <c r="J101" i="1"/>
  <c r="Y101" i="1"/>
  <c r="U101" i="1"/>
  <c r="I101" i="1"/>
  <c r="H101" i="1"/>
  <c r="AY101" i="1"/>
  <c r="Q81" i="1"/>
  <c r="W101" i="1"/>
  <c r="M80" i="1"/>
  <c r="AJ80" i="1" s="1"/>
  <c r="J80" i="1"/>
  <c r="AF80" i="1" s="1"/>
  <c r="S80" i="1"/>
  <c r="Y80" i="1"/>
  <c r="I80" i="1"/>
  <c r="H80" i="1"/>
  <c r="AY80" i="1"/>
  <c r="N80" i="1"/>
  <c r="G80" i="1"/>
  <c r="L90" i="1"/>
  <c r="W111" i="1"/>
  <c r="G92" i="1"/>
  <c r="K130" i="1"/>
  <c r="K80" i="1"/>
  <c r="L130" i="1"/>
  <c r="O82" i="1"/>
  <c r="Q120" i="1"/>
  <c r="L92" i="1"/>
  <c r="K92" i="1"/>
  <c r="M92" i="1"/>
  <c r="AJ92" i="1" s="1"/>
  <c r="J92" i="1"/>
  <c r="AF92" i="1" s="1"/>
  <c r="Y92" i="1"/>
  <c r="I92" i="1"/>
  <c r="H92" i="1"/>
  <c r="N112" i="1"/>
  <c r="K131" i="1"/>
  <c r="M131" i="1"/>
  <c r="AJ131" i="1" s="1"/>
  <c r="S131" i="1"/>
  <c r="J131" i="1"/>
  <c r="AF131" i="1" s="1"/>
  <c r="I131" i="1"/>
  <c r="Y131" i="1"/>
  <c r="H131" i="1"/>
  <c r="AY131" i="1"/>
  <c r="Q92" i="1"/>
  <c r="M110" i="1"/>
  <c r="J110" i="1"/>
  <c r="Y110" i="1"/>
  <c r="I110" i="1"/>
  <c r="H110" i="1"/>
  <c r="AY110" i="1"/>
  <c r="U110" i="1"/>
  <c r="N110" i="1"/>
  <c r="G110" i="1"/>
  <c r="Q102" i="1"/>
  <c r="J119" i="1"/>
  <c r="AF119" i="1" s="1"/>
  <c r="Y119" i="1"/>
  <c r="I119" i="1"/>
  <c r="H119" i="1"/>
  <c r="AY119" i="1"/>
  <c r="N119" i="1"/>
  <c r="G119" i="1"/>
  <c r="W119" i="1"/>
  <c r="Q119" i="1"/>
  <c r="O119" i="1"/>
  <c r="G121" i="1"/>
  <c r="AY112" i="1"/>
  <c r="G91" i="1"/>
  <c r="O92" i="1"/>
  <c r="O81" i="1"/>
  <c r="Q130" i="1"/>
  <c r="U122" i="1"/>
  <c r="L132" i="1"/>
  <c r="K132" i="1"/>
  <c r="M132" i="1"/>
  <c r="AJ132" i="1" s="1"/>
  <c r="S132" i="1"/>
  <c r="J132" i="1"/>
  <c r="AF132" i="1" s="1"/>
  <c r="Y132" i="1"/>
  <c r="I132" i="1"/>
  <c r="H132" i="1"/>
  <c r="G112" i="1"/>
  <c r="K91" i="1"/>
  <c r="M91" i="1"/>
  <c r="AJ91" i="1" s="1"/>
  <c r="J91" i="1"/>
  <c r="AF91" i="1" s="1"/>
  <c r="Y91" i="1"/>
  <c r="I91" i="1"/>
  <c r="H91" i="1"/>
  <c r="AY91" i="1"/>
  <c r="G111" i="1"/>
  <c r="O132" i="1"/>
  <c r="W112" i="1"/>
  <c r="M100" i="1"/>
  <c r="S100" i="1"/>
  <c r="J100" i="1"/>
  <c r="AY100" i="1"/>
  <c r="Y100" i="1"/>
  <c r="U100" i="1"/>
  <c r="I100" i="1"/>
  <c r="H100" i="1"/>
  <c r="N100" i="1"/>
  <c r="G100" i="1"/>
  <c r="O131" i="1"/>
  <c r="Q80" i="1"/>
  <c r="J89" i="1"/>
  <c r="Y89" i="1"/>
  <c r="I89" i="1"/>
  <c r="H89" i="1"/>
  <c r="AY89" i="1"/>
  <c r="N89" i="1"/>
  <c r="G89" i="1"/>
  <c r="W89" i="1"/>
  <c r="Q89" i="1"/>
  <c r="O89" i="1"/>
  <c r="AY82" i="1"/>
  <c r="G102" i="1"/>
  <c r="K90" i="1"/>
  <c r="M99" i="1"/>
  <c r="AJ99" i="1" s="1"/>
  <c r="N102" i="1"/>
  <c r="O102" i="1"/>
  <c r="O91" i="1"/>
  <c r="O80" i="1"/>
  <c r="U132" i="1"/>
  <c r="U112" i="1"/>
  <c r="W82" i="1"/>
  <c r="O129" i="1"/>
  <c r="O79" i="1"/>
  <c r="Q129" i="1"/>
  <c r="Q79" i="1"/>
  <c r="U129" i="1"/>
  <c r="W129" i="1"/>
  <c r="W79" i="1"/>
  <c r="G129" i="1"/>
  <c r="G79" i="1"/>
  <c r="N129" i="1"/>
  <c r="N79" i="1"/>
  <c r="AY129" i="1"/>
  <c r="AY79" i="1"/>
  <c r="H129" i="1"/>
  <c r="H79" i="1"/>
  <c r="I129" i="1"/>
  <c r="I79" i="1"/>
  <c r="Y129" i="1"/>
  <c r="Y79" i="1"/>
  <c r="S79" i="1"/>
  <c r="J129" i="1"/>
  <c r="AF129" i="1" s="1"/>
  <c r="AY62" i="1"/>
  <c r="Q63" i="1"/>
  <c r="O61" i="1"/>
  <c r="Y60" i="1"/>
  <c r="AY61" i="1"/>
  <c r="AE54" i="1"/>
  <c r="I73" i="1"/>
  <c r="I62" i="1"/>
  <c r="K62" i="1"/>
  <c r="G72" i="1"/>
  <c r="G62" i="1"/>
  <c r="H72" i="1"/>
  <c r="H62" i="1"/>
  <c r="I70" i="1"/>
  <c r="I60" i="1"/>
  <c r="J70" i="1"/>
  <c r="J60" i="1"/>
  <c r="K70" i="1"/>
  <c r="K60" i="1"/>
  <c r="M70" i="1"/>
  <c r="M60" i="1"/>
  <c r="N73" i="1"/>
  <c r="N63" i="1"/>
  <c r="O70" i="1"/>
  <c r="O60" i="1"/>
  <c r="U62" i="1"/>
  <c r="W72" i="1"/>
  <c r="W62" i="1"/>
  <c r="Y73" i="1"/>
  <c r="Y63" i="1"/>
  <c r="AI54" i="1"/>
  <c r="J63" i="1"/>
  <c r="K73" i="1"/>
  <c r="I72" i="1"/>
  <c r="J62" i="1"/>
  <c r="K72" i="1"/>
  <c r="G63" i="1"/>
  <c r="J71" i="1"/>
  <c r="K61" i="1"/>
  <c r="W63" i="1"/>
  <c r="G71" i="1"/>
  <c r="G61" i="1"/>
  <c r="H71" i="1"/>
  <c r="H61" i="1"/>
  <c r="N72" i="1"/>
  <c r="N62" i="1"/>
  <c r="W71" i="1"/>
  <c r="W61" i="1"/>
  <c r="Y72" i="1"/>
  <c r="Y62" i="1"/>
  <c r="M63" i="1"/>
  <c r="O73" i="1"/>
  <c r="M62" i="1"/>
  <c r="M71" i="1"/>
  <c r="M61" i="1"/>
  <c r="G70" i="1"/>
  <c r="G60" i="1"/>
  <c r="H70" i="1"/>
  <c r="H60" i="1"/>
  <c r="N71" i="1"/>
  <c r="N61" i="1"/>
  <c r="W70" i="1"/>
  <c r="W60" i="1"/>
  <c r="Y71" i="1"/>
  <c r="Y61" i="1"/>
  <c r="J73" i="1"/>
  <c r="K63" i="1"/>
  <c r="J72" i="1"/>
  <c r="O72" i="1"/>
  <c r="O62" i="1"/>
  <c r="G73" i="1"/>
  <c r="H63" i="1"/>
  <c r="K71" i="1"/>
  <c r="N70" i="1"/>
  <c r="N60" i="1"/>
  <c r="I63" i="1"/>
  <c r="O63" i="1"/>
  <c r="H73" i="1"/>
  <c r="I61" i="1"/>
  <c r="AY73" i="1"/>
  <c r="AY63" i="1"/>
  <c r="M73" i="1"/>
  <c r="M72" i="1"/>
  <c r="I71" i="1"/>
  <c r="J61" i="1"/>
  <c r="U63" i="1"/>
  <c r="W73" i="1"/>
  <c r="G48" i="1"/>
  <c r="G38" i="1"/>
  <c r="G28" i="1"/>
  <c r="U27" i="1"/>
  <c r="W46" i="1"/>
  <c r="W36" i="1"/>
  <c r="W26" i="1"/>
  <c r="S49" i="1"/>
  <c r="W29" i="1"/>
  <c r="G47" i="1"/>
  <c r="G37" i="1"/>
  <c r="G27" i="1"/>
  <c r="H49" i="1"/>
  <c r="H39" i="1"/>
  <c r="H29" i="1"/>
  <c r="I49" i="1"/>
  <c r="I39" i="1"/>
  <c r="I29" i="1"/>
  <c r="U26" i="1"/>
  <c r="W48" i="1"/>
  <c r="W28" i="1"/>
  <c r="G39" i="1"/>
  <c r="U28" i="1"/>
  <c r="W47" i="1"/>
  <c r="W27" i="1"/>
  <c r="AY49" i="1"/>
  <c r="AY39" i="1"/>
  <c r="AY29" i="1"/>
  <c r="G46" i="1"/>
  <c r="G36" i="1"/>
  <c r="G26" i="1"/>
  <c r="H48" i="1"/>
  <c r="H38" i="1"/>
  <c r="H28" i="1"/>
  <c r="I48" i="1"/>
  <c r="I38" i="1"/>
  <c r="I28" i="1"/>
  <c r="K49" i="1"/>
  <c r="K39" i="1"/>
  <c r="K29" i="1"/>
  <c r="Y29" i="1"/>
  <c r="W49" i="1"/>
  <c r="W39" i="1"/>
  <c r="S48" i="1"/>
  <c r="W38" i="1"/>
  <c r="G29" i="1"/>
  <c r="AY48" i="1"/>
  <c r="AY38" i="1"/>
  <c r="AY28" i="1"/>
  <c r="H47" i="1"/>
  <c r="H37" i="1"/>
  <c r="H27" i="1"/>
  <c r="I47" i="1"/>
  <c r="I37" i="1"/>
  <c r="I27" i="1"/>
  <c r="J49" i="1"/>
  <c r="AF49" i="1" s="1"/>
  <c r="J39" i="1"/>
  <c r="J29" i="1"/>
  <c r="K48" i="1"/>
  <c r="K38" i="1"/>
  <c r="K28" i="1"/>
  <c r="L49" i="1"/>
  <c r="L39" i="1"/>
  <c r="L29" i="1"/>
  <c r="M49" i="1"/>
  <c r="AJ49" i="1" s="1"/>
  <c r="M39" i="1"/>
  <c r="M29" i="1"/>
  <c r="Y28" i="1"/>
  <c r="AK36" i="1"/>
  <c r="G49" i="1"/>
  <c r="W37" i="1"/>
  <c r="AY47" i="1"/>
  <c r="AY37" i="1"/>
  <c r="AY27" i="1"/>
  <c r="H46" i="1"/>
  <c r="H36" i="1"/>
  <c r="H26" i="1"/>
  <c r="I46" i="1"/>
  <c r="I36" i="1"/>
  <c r="I26" i="1"/>
  <c r="J48" i="1"/>
  <c r="AF48" i="1" s="1"/>
  <c r="J38" i="1"/>
  <c r="J28" i="1"/>
  <c r="K47" i="1"/>
  <c r="K37" i="1"/>
  <c r="K27" i="1"/>
  <c r="L48" i="1"/>
  <c r="L38" i="1"/>
  <c r="L28" i="1"/>
  <c r="M48" i="1"/>
  <c r="AJ48" i="1" s="1"/>
  <c r="M38" i="1"/>
  <c r="U49" i="1"/>
  <c r="Y27" i="1"/>
  <c r="Y49" i="1"/>
  <c r="Y39" i="1"/>
  <c r="AY46" i="1"/>
  <c r="AY36" i="1"/>
  <c r="AY26" i="1"/>
  <c r="J47" i="1"/>
  <c r="J37" i="1"/>
  <c r="J27" i="1"/>
  <c r="K26" i="1"/>
  <c r="L47" i="1"/>
  <c r="L37" i="1"/>
  <c r="L27" i="1"/>
  <c r="N49" i="1"/>
  <c r="N39" i="1"/>
  <c r="N29" i="1"/>
  <c r="U48" i="1"/>
  <c r="L11" i="1"/>
  <c r="H10" i="1"/>
  <c r="AY19" i="1"/>
  <c r="AY9" i="1"/>
  <c r="H19" i="1"/>
  <c r="H9" i="1"/>
  <c r="J19" i="1"/>
  <c r="J9" i="1"/>
  <c r="L19" i="1"/>
  <c r="L9" i="1"/>
  <c r="N19" i="1"/>
  <c r="N9" i="1"/>
  <c r="AY10" i="1"/>
  <c r="K12" i="1"/>
  <c r="AY11" i="1"/>
  <c r="N10" i="1"/>
  <c r="G12" i="1"/>
  <c r="I12" i="1"/>
  <c r="K11" i="1"/>
  <c r="M12" i="1"/>
  <c r="O12" i="1"/>
  <c r="H12" i="1"/>
  <c r="J12" i="1"/>
  <c r="AK4" i="1"/>
  <c r="J11" i="1"/>
  <c r="G11" i="1"/>
  <c r="I11" i="1"/>
  <c r="K10" i="1"/>
  <c r="M11" i="1"/>
  <c r="O11" i="1"/>
  <c r="S19" i="1"/>
  <c r="L12" i="1"/>
  <c r="N12" i="1"/>
  <c r="N11" i="1"/>
  <c r="J10" i="1"/>
  <c r="L10" i="1"/>
  <c r="G10" i="1"/>
  <c r="I10" i="1"/>
  <c r="M10" i="1"/>
  <c r="O10" i="1"/>
  <c r="Y12" i="1"/>
  <c r="AY12" i="1"/>
  <c r="H11" i="1"/>
  <c r="U2" i="1"/>
  <c r="S2" i="1"/>
  <c r="AF128" i="1" l="1"/>
  <c r="AJ153" i="1"/>
  <c r="AH19" i="1"/>
  <c r="AJ32" i="1"/>
  <c r="AH178" i="1"/>
  <c r="AJ142" i="1"/>
  <c r="AH100" i="1"/>
  <c r="AH36" i="1"/>
  <c r="AJ158" i="1"/>
  <c r="AH129" i="1"/>
  <c r="AH130" i="1"/>
  <c r="AH66" i="1"/>
  <c r="AJ148" i="1"/>
  <c r="AH119" i="1"/>
  <c r="AJ175" i="1"/>
  <c r="AH159" i="1"/>
  <c r="AJ9" i="1"/>
  <c r="AH160" i="1"/>
  <c r="AJ24" i="1"/>
  <c r="AH148" i="1"/>
  <c r="AH18" i="1"/>
  <c r="AH28" i="1"/>
  <c r="AJ52" i="1"/>
  <c r="AF177" i="1"/>
  <c r="AJ177" i="1"/>
  <c r="AJ163" i="1"/>
  <c r="AJ77" i="1"/>
  <c r="AJ29" i="1"/>
  <c r="AH53" i="1"/>
  <c r="AJ42" i="1"/>
  <c r="AJ98" i="1"/>
  <c r="AH61" i="1"/>
  <c r="AJ166" i="1"/>
  <c r="AH21" i="1"/>
  <c r="AD7" i="1"/>
  <c r="AH7" i="1"/>
  <c r="AF155" i="1"/>
  <c r="AJ155" i="1"/>
  <c r="AH49" i="1"/>
  <c r="AJ184" i="1"/>
  <c r="AD142" i="1"/>
  <c r="AH142" i="1"/>
  <c r="AJ120" i="1"/>
  <c r="AF159" i="1"/>
  <c r="AJ159" i="1"/>
  <c r="AH143" i="1"/>
  <c r="AF55" i="1"/>
  <c r="AJ55" i="1"/>
  <c r="AH79" i="1"/>
  <c r="AJ161" i="1"/>
  <c r="AH132" i="1"/>
  <c r="AF8" i="1"/>
  <c r="AJ8" i="1"/>
  <c r="AH172" i="1"/>
  <c r="AJ22" i="1"/>
  <c r="AH31" i="1"/>
  <c r="AH162" i="1"/>
  <c r="AF2" i="1"/>
  <c r="AJ2" i="1"/>
  <c r="AH39" i="1"/>
  <c r="AJ13" i="1"/>
  <c r="AH177" i="1"/>
  <c r="AH77" i="1"/>
  <c r="AH114" i="1"/>
  <c r="AH71" i="1"/>
  <c r="AJ26" i="1"/>
  <c r="AH98" i="1"/>
  <c r="AJ123" i="1"/>
  <c r="AH20" i="1"/>
  <c r="AH34" i="1"/>
  <c r="AJ169" i="1"/>
  <c r="AH153" i="1"/>
  <c r="AJ78" i="1"/>
  <c r="AH75" i="1"/>
  <c r="AH155" i="1"/>
  <c r="AH156" i="1"/>
  <c r="AJ84" i="1"/>
  <c r="AJ94" i="1"/>
  <c r="AH92" i="1"/>
  <c r="AH145" i="1"/>
  <c r="AJ21" i="1"/>
  <c r="AJ59" i="1"/>
  <c r="AH44" i="1"/>
  <c r="AH175" i="1"/>
  <c r="AJ34" i="1"/>
  <c r="AH32" i="1"/>
  <c r="AF39" i="1"/>
  <c r="AJ39" i="1"/>
  <c r="AH13" i="1"/>
  <c r="AH29" i="1"/>
  <c r="AH127" i="1"/>
  <c r="AF65" i="1"/>
  <c r="AJ65" i="1"/>
  <c r="AH3" i="1"/>
  <c r="AH26" i="1"/>
  <c r="AD33" i="1"/>
  <c r="AH33" i="1"/>
  <c r="AH47" i="1"/>
  <c r="AD166" i="1"/>
  <c r="AH166" i="1"/>
  <c r="AJ117" i="1"/>
  <c r="AD88" i="1"/>
  <c r="AH88" i="1"/>
  <c r="AJ17" i="1"/>
  <c r="AJ23" i="1"/>
  <c r="AJ5" i="1"/>
  <c r="AH169" i="1"/>
  <c r="AJ107" i="1"/>
  <c r="AH158" i="1"/>
  <c r="AJ44" i="1"/>
  <c r="AH55" i="1"/>
  <c r="AD56" i="1"/>
  <c r="AH56" i="1"/>
  <c r="AH57" i="1"/>
  <c r="AH4" i="1"/>
  <c r="AJ47" i="1"/>
  <c r="AH45" i="1"/>
  <c r="AJ62" i="1"/>
  <c r="AH51" i="1"/>
  <c r="AH40" i="1"/>
  <c r="AJ114" i="1"/>
  <c r="AJ71" i="1"/>
  <c r="AH15" i="1"/>
  <c r="AH65" i="1"/>
  <c r="AH68" i="1"/>
  <c r="AJ37" i="1"/>
  <c r="AH60" i="1"/>
  <c r="AJ33" i="1"/>
  <c r="AH179" i="1"/>
  <c r="AJ130" i="1"/>
  <c r="AH102" i="1"/>
  <c r="AJ60" i="1"/>
  <c r="AH24" i="1"/>
  <c r="AH10" i="1"/>
  <c r="AJ18" i="1"/>
  <c r="AJ96" i="1"/>
  <c r="AJ121" i="1"/>
  <c r="AH118" i="1"/>
  <c r="AJ20" i="1"/>
  <c r="AH171" i="1"/>
  <c r="AJ57" i="1"/>
  <c r="AH81" i="1"/>
  <c r="AJ85" i="1"/>
  <c r="AH82" i="1"/>
  <c r="AH70" i="1"/>
  <c r="AH17" i="1"/>
  <c r="AD14" i="1"/>
  <c r="AH14" i="1"/>
  <c r="AJ149" i="1"/>
  <c r="AJ139" i="1"/>
  <c r="AF89" i="1"/>
  <c r="AJ89" i="1"/>
  <c r="AF41" i="1"/>
  <c r="AJ41" i="1"/>
  <c r="AJ68" i="1"/>
  <c r="AH38" i="1"/>
  <c r="AH50" i="1"/>
  <c r="AE141" i="1"/>
  <c r="AE45" i="1"/>
  <c r="AG25" i="1"/>
  <c r="AH85" i="1"/>
  <c r="AJ76" i="1"/>
  <c r="AD86" i="1"/>
  <c r="AH86" i="1"/>
  <c r="AH22" i="1"/>
  <c r="AH8" i="1"/>
  <c r="AJ143" i="1"/>
  <c r="AH128" i="1"/>
  <c r="AJ168" i="1"/>
  <c r="AD37" i="1"/>
  <c r="AH37" i="1"/>
  <c r="AH25" i="1"/>
  <c r="AJ134" i="1"/>
  <c r="AH131" i="1"/>
  <c r="AH54" i="1"/>
  <c r="AH184" i="1"/>
  <c r="AF70" i="1"/>
  <c r="AJ70" i="1"/>
  <c r="AH94" i="1"/>
  <c r="AJ111" i="1"/>
  <c r="AH95" i="1"/>
  <c r="AJ112" i="1"/>
  <c r="AD83" i="1"/>
  <c r="AH83" i="1"/>
  <c r="AF87" i="1"/>
  <c r="AJ87" i="1"/>
  <c r="AH84" i="1"/>
  <c r="AH69" i="1"/>
  <c r="AJ40" i="1"/>
  <c r="AH89" i="1"/>
  <c r="AJ126" i="1"/>
  <c r="AH41" i="1"/>
  <c r="AJ15" i="1"/>
  <c r="AJ127" i="1"/>
  <c r="AJ3" i="1"/>
  <c r="AJ38" i="1"/>
  <c r="AH124" i="1"/>
  <c r="AJ141" i="1"/>
  <c r="AH99" i="1"/>
  <c r="AH35" i="1"/>
  <c r="AJ157" i="1"/>
  <c r="AH141" i="1"/>
  <c r="AJ66" i="1"/>
  <c r="AH76" i="1"/>
  <c r="AH78" i="1"/>
  <c r="AJ108" i="1"/>
  <c r="AJ160" i="1"/>
  <c r="AH144" i="1"/>
  <c r="AH67" i="1"/>
  <c r="AJ83" i="1"/>
  <c r="AH107" i="1"/>
  <c r="AJ124" i="1"/>
  <c r="AH108" i="1"/>
  <c r="AJ138" i="1"/>
  <c r="AH96" i="1"/>
  <c r="AJ100" i="1"/>
  <c r="AH97" i="1"/>
  <c r="AF27" i="1"/>
  <c r="AJ27" i="1"/>
  <c r="AJ51" i="1"/>
  <c r="AJ14" i="1"/>
  <c r="AD149" i="1"/>
  <c r="AH149" i="1"/>
  <c r="AH30" i="1"/>
  <c r="AE14" i="1"/>
  <c r="AF35" i="1"/>
  <c r="AJ35" i="1"/>
  <c r="AH151" i="1"/>
  <c r="AJ154" i="1"/>
  <c r="AH112" i="1"/>
  <c r="AH173" i="1"/>
  <c r="AD48" i="1"/>
  <c r="AH48" i="1"/>
  <c r="AF170" i="1"/>
  <c r="AJ170" i="1"/>
  <c r="AH154" i="1"/>
  <c r="AF144" i="1"/>
  <c r="AJ144" i="1"/>
  <c r="AJ79" i="1"/>
  <c r="AH90" i="1"/>
  <c r="AJ54" i="1"/>
  <c r="AH91" i="1"/>
  <c r="AH157" i="1"/>
  <c r="AJ95" i="1"/>
  <c r="AH80" i="1"/>
  <c r="AJ97" i="1"/>
  <c r="AH120" i="1"/>
  <c r="AJ137" i="1"/>
  <c r="AH121" i="1"/>
  <c r="AJ151" i="1"/>
  <c r="AH109" i="1"/>
  <c r="AJ113" i="1"/>
  <c r="AD136" i="1"/>
  <c r="AH136" i="1"/>
  <c r="AJ69" i="1"/>
  <c r="AH27" i="1"/>
  <c r="AH52" i="1"/>
  <c r="AH115" i="1"/>
  <c r="AJ30" i="1"/>
  <c r="AH110" i="1"/>
  <c r="AJ75" i="1"/>
  <c r="AH164" i="1"/>
  <c r="AJ167" i="1"/>
  <c r="AH152" i="1"/>
  <c r="AJ183" i="1"/>
  <c r="AH167" i="1"/>
  <c r="AH103" i="1"/>
  <c r="AH104" i="1"/>
  <c r="AJ36" i="1"/>
  <c r="AJ6" i="1"/>
  <c r="AH170" i="1"/>
  <c r="AJ109" i="1"/>
  <c r="AH93" i="1"/>
  <c r="AJ136" i="1"/>
  <c r="AH133" i="1"/>
  <c r="AH161" i="1"/>
  <c r="AJ150" i="1"/>
  <c r="AH134" i="1"/>
  <c r="AJ164" i="1"/>
  <c r="AH122" i="1"/>
  <c r="AJ165" i="1"/>
  <c r="AH150" i="1"/>
  <c r="AJ63" i="1"/>
  <c r="AH163" i="1"/>
  <c r="AJ101" i="1"/>
  <c r="AH126" i="1"/>
  <c r="AF64" i="1"/>
  <c r="AJ64" i="1"/>
  <c r="AJ53" i="1"/>
  <c r="AH72" i="1"/>
  <c r="AH42" i="1"/>
  <c r="AH16" i="1"/>
  <c r="AH123" i="1"/>
  <c r="AJ50" i="1"/>
  <c r="AD180" i="1"/>
  <c r="AG36" i="1"/>
  <c r="AJ140" i="1"/>
  <c r="AD6" i="1"/>
  <c r="AH6" i="1"/>
  <c r="AF181" i="1"/>
  <c r="AH165" i="1"/>
  <c r="AJ103" i="1"/>
  <c r="AH87" i="1"/>
  <c r="AH23" i="1"/>
  <c r="AD9" i="1"/>
  <c r="AH9" i="1"/>
  <c r="AF118" i="1"/>
  <c r="AJ118" i="1"/>
  <c r="AH116" i="1"/>
  <c r="AJ133" i="1"/>
  <c r="AH117" i="1"/>
  <c r="AF19" i="1"/>
  <c r="AJ19" i="1"/>
  <c r="AH183" i="1"/>
  <c r="AF122" i="1"/>
  <c r="AJ122" i="1"/>
  <c r="AJ162" i="1"/>
  <c r="AJ176" i="1"/>
  <c r="AH125" i="1"/>
  <c r="AF10" i="1"/>
  <c r="AJ10" i="1"/>
  <c r="AH135" i="1"/>
  <c r="AJ178" i="1"/>
  <c r="AH5" i="1"/>
  <c r="AJ28" i="1"/>
  <c r="AH101" i="1"/>
  <c r="AJ115" i="1"/>
  <c r="AJ72" i="1"/>
  <c r="AJ16" i="1"/>
  <c r="AJ110" i="1"/>
  <c r="AJ61" i="1"/>
  <c r="AD91" i="1"/>
  <c r="AF107" i="1"/>
  <c r="AD131" i="1"/>
  <c r="AD132" i="1"/>
  <c r="AD120" i="1"/>
  <c r="AD162" i="1"/>
  <c r="AD42" i="1"/>
  <c r="AD46" i="1"/>
  <c r="AF32" i="1"/>
  <c r="AF78" i="1"/>
  <c r="AD102" i="1"/>
  <c r="AF158" i="1"/>
  <c r="AD155" i="1"/>
  <c r="AD104" i="1"/>
  <c r="AF84" i="1"/>
  <c r="AF121" i="1"/>
  <c r="AD144" i="1"/>
  <c r="AF148" i="1"/>
  <c r="AD145" i="1"/>
  <c r="AF83" i="1"/>
  <c r="AD133" i="1"/>
  <c r="AF45" i="1"/>
  <c r="AD82" i="1"/>
  <c r="AF24" i="1"/>
  <c r="AD175" i="1"/>
  <c r="AF100" i="1"/>
  <c r="AD150" i="1"/>
  <c r="AD51" i="1"/>
  <c r="AD40" i="1"/>
  <c r="AD114" i="1"/>
  <c r="AF71" i="1"/>
  <c r="AD41" i="1"/>
  <c r="AF110" i="1"/>
  <c r="AD85" i="1"/>
  <c r="AD21" i="1"/>
  <c r="AF180" i="1"/>
  <c r="AD173" i="1"/>
  <c r="AD87" i="1"/>
  <c r="AF117" i="1"/>
  <c r="AD128" i="1"/>
  <c r="AF184" i="1"/>
  <c r="AD181" i="1"/>
  <c r="AF54" i="1"/>
  <c r="AD117" i="1"/>
  <c r="AF134" i="1"/>
  <c r="AD157" i="1"/>
  <c r="AF161" i="1"/>
  <c r="AD158" i="1"/>
  <c r="AF97" i="1"/>
  <c r="AF58" i="1"/>
  <c r="AD95" i="1"/>
  <c r="AD125" i="1"/>
  <c r="AD31" i="1"/>
  <c r="AD4" i="1"/>
  <c r="AF113" i="1"/>
  <c r="AD5" i="1"/>
  <c r="AF14" i="1"/>
  <c r="AD163" i="1"/>
  <c r="AF77" i="1"/>
  <c r="AD72" i="1"/>
  <c r="AF42" i="1"/>
  <c r="AF50" i="1"/>
  <c r="AD124" i="1"/>
  <c r="AD34" i="1"/>
  <c r="AD100" i="1"/>
  <c r="AF130" i="1"/>
  <c r="AD141" i="1"/>
  <c r="AF4" i="1"/>
  <c r="AD10" i="1"/>
  <c r="AF106" i="1"/>
  <c r="AD130" i="1"/>
  <c r="AF96" i="1"/>
  <c r="AF160" i="1"/>
  <c r="AD170" i="1"/>
  <c r="AF174" i="1"/>
  <c r="AD171" i="1"/>
  <c r="AF136" i="1"/>
  <c r="AD159" i="1"/>
  <c r="AF85" i="1"/>
  <c r="AD108" i="1"/>
  <c r="AD44" i="1"/>
  <c r="AD17" i="1"/>
  <c r="AF165" i="1"/>
  <c r="AD18" i="1"/>
  <c r="AF62" i="1"/>
  <c r="AF40" i="1"/>
  <c r="AD77" i="1"/>
  <c r="AF114" i="1"/>
  <c r="AD115" i="1"/>
  <c r="AF72" i="1"/>
  <c r="AF26" i="1"/>
  <c r="AI6" i="1"/>
  <c r="AE6" i="1"/>
  <c r="AD151" i="1"/>
  <c r="AD47" i="1"/>
  <c r="AF103" i="1"/>
  <c r="AD140" i="1"/>
  <c r="AF143" i="1"/>
  <c r="AD154" i="1"/>
  <c r="AF17" i="1"/>
  <c r="AF133" i="1"/>
  <c r="AD143" i="1"/>
  <c r="AF186" i="1"/>
  <c r="AD183" i="1"/>
  <c r="AF25" i="1"/>
  <c r="AD184" i="1"/>
  <c r="AF162" i="1"/>
  <c r="AD172" i="1"/>
  <c r="AF111" i="1"/>
  <c r="AD121" i="1"/>
  <c r="AF46" i="1"/>
  <c r="AD57" i="1"/>
  <c r="AF178" i="1"/>
  <c r="AF51" i="1"/>
  <c r="AF163" i="1"/>
  <c r="AF53" i="1"/>
  <c r="AD3" i="1"/>
  <c r="AD26" i="1"/>
  <c r="AD123" i="1"/>
  <c r="AD164" i="1"/>
  <c r="AD60" i="1"/>
  <c r="AF142" i="1"/>
  <c r="AD153" i="1"/>
  <c r="AF157" i="1"/>
  <c r="AD167" i="1"/>
  <c r="AD24" i="1"/>
  <c r="AD156" i="1"/>
  <c r="AF108" i="1"/>
  <c r="AF6" i="1"/>
  <c r="AD12" i="1"/>
  <c r="AF20" i="1"/>
  <c r="AF175" i="1"/>
  <c r="AF124" i="1"/>
  <c r="AD134" i="1"/>
  <c r="AF59" i="1"/>
  <c r="AD70" i="1"/>
  <c r="AF12" i="1"/>
  <c r="AD52" i="1"/>
  <c r="AF126" i="1"/>
  <c r="AF115" i="1"/>
  <c r="AF98" i="1"/>
  <c r="AD98" i="1"/>
  <c r="AF75" i="1"/>
  <c r="AD19" i="1"/>
  <c r="AF37" i="1"/>
  <c r="AD99" i="1"/>
  <c r="AF169" i="1"/>
  <c r="AD179" i="1"/>
  <c r="AF183" i="1"/>
  <c r="AF60" i="1"/>
  <c r="AD76" i="1"/>
  <c r="AF185" i="1"/>
  <c r="AD182" i="1"/>
  <c r="AF36" i="1"/>
  <c r="AD66" i="1"/>
  <c r="AD67" i="1"/>
  <c r="AF21" i="1"/>
  <c r="AF150" i="1"/>
  <c r="AD160" i="1"/>
  <c r="AF86" i="1"/>
  <c r="AD96" i="1"/>
  <c r="AD32" i="1"/>
  <c r="AD69" i="1"/>
  <c r="AD27" i="1"/>
  <c r="AD177" i="1"/>
  <c r="AD89" i="1"/>
  <c r="AD65" i="1"/>
  <c r="AF3" i="1"/>
  <c r="AD11" i="1"/>
  <c r="AF123" i="1"/>
  <c r="AD169" i="1"/>
  <c r="AE15" i="1"/>
  <c r="AF140" i="1"/>
  <c r="AF76" i="1"/>
  <c r="AD112" i="1"/>
  <c r="AF182" i="1"/>
  <c r="AD8" i="1"/>
  <c r="AD23" i="1"/>
  <c r="AD90" i="1"/>
  <c r="AF120" i="1"/>
  <c r="AF5" i="1"/>
  <c r="AD79" i="1"/>
  <c r="AD80" i="1"/>
  <c r="AD55" i="1"/>
  <c r="AF176" i="1"/>
  <c r="AD174" i="1"/>
  <c r="AF112" i="1"/>
  <c r="AD109" i="1"/>
  <c r="AD45" i="1"/>
  <c r="AF63" i="1"/>
  <c r="AF52" i="1"/>
  <c r="AF139" i="1"/>
  <c r="AD126" i="1"/>
  <c r="AF29" i="1"/>
  <c r="AD127" i="1"/>
  <c r="AD53" i="1"/>
  <c r="AF153" i="1"/>
  <c r="AF141" i="1"/>
  <c r="AD152" i="1"/>
  <c r="AF33" i="1"/>
  <c r="AD36" i="1"/>
  <c r="AF66" i="1"/>
  <c r="AD103" i="1"/>
  <c r="AF18" i="1"/>
  <c r="AD92" i="1"/>
  <c r="AD93" i="1"/>
  <c r="AD81" i="1"/>
  <c r="AD161" i="1"/>
  <c r="AF9" i="1"/>
  <c r="AF138" i="1"/>
  <c r="AD122" i="1"/>
  <c r="AF34" i="1"/>
  <c r="AD58" i="1"/>
  <c r="AF69" i="1"/>
  <c r="AF13" i="1"/>
  <c r="AF28" i="1"/>
  <c r="AD15" i="1"/>
  <c r="AF11" i="1"/>
  <c r="AD38" i="1"/>
  <c r="AF61" i="1"/>
  <c r="AD54" i="1"/>
  <c r="AF137" i="1"/>
  <c r="AF166" i="1"/>
  <c r="AF154" i="1"/>
  <c r="AD165" i="1"/>
  <c r="AD22" i="1"/>
  <c r="AD49" i="1"/>
  <c r="AF168" i="1"/>
  <c r="AF79" i="1"/>
  <c r="AD116" i="1"/>
  <c r="AF23" i="1"/>
  <c r="AD25" i="1"/>
  <c r="AD105" i="1"/>
  <c r="AF95" i="1"/>
  <c r="AD106" i="1"/>
  <c r="AF44" i="1"/>
  <c r="AD94" i="1"/>
  <c r="AF22" i="1"/>
  <c r="AF151" i="1"/>
  <c r="AD135" i="1"/>
  <c r="AF47" i="1"/>
  <c r="AD84" i="1"/>
  <c r="AD13" i="1"/>
  <c r="AD28" i="1"/>
  <c r="AF149" i="1"/>
  <c r="AF101" i="1"/>
  <c r="AD29" i="1"/>
  <c r="AD30" i="1"/>
  <c r="AD16" i="1"/>
  <c r="AD68" i="1"/>
  <c r="AF38" i="1"/>
  <c r="AD50" i="1"/>
  <c r="AD61" i="1"/>
  <c r="AD20" i="1"/>
  <c r="AF167" i="1"/>
  <c r="AD178" i="1"/>
  <c r="AD35" i="1"/>
  <c r="AD75" i="1"/>
  <c r="AF105" i="1"/>
  <c r="AD129" i="1"/>
  <c r="AD78" i="1"/>
  <c r="AF94" i="1"/>
  <c r="AD118" i="1"/>
  <c r="AF109" i="1"/>
  <c r="AD119" i="1"/>
  <c r="AF57" i="1"/>
  <c r="AD107" i="1"/>
  <c r="AD43" i="1"/>
  <c r="AF164" i="1"/>
  <c r="AD148" i="1"/>
  <c r="AD97" i="1"/>
  <c r="AD39" i="1"/>
  <c r="AD101" i="1"/>
  <c r="AD71" i="1"/>
  <c r="AF15" i="1"/>
  <c r="AF127" i="1"/>
  <c r="AF30" i="1"/>
  <c r="AF16" i="1"/>
  <c r="AF68" i="1"/>
  <c r="AD110" i="1"/>
  <c r="AG4" i="1"/>
  <c r="AI85" i="1"/>
  <c r="AK56" i="1"/>
  <c r="AG45" i="1"/>
  <c r="AG138" i="1"/>
  <c r="AG171" i="1"/>
  <c r="AK14" i="1"/>
  <c r="AI14" i="1"/>
  <c r="AE124" i="1"/>
  <c r="AI56" i="1"/>
  <c r="AE85" i="1"/>
  <c r="AG68" i="1"/>
  <c r="AK170" i="1"/>
  <c r="AI152" i="1"/>
  <c r="AI125" i="1"/>
  <c r="AI45" i="1"/>
  <c r="AI83" i="1"/>
  <c r="AI123" i="1"/>
  <c r="AG142" i="1"/>
  <c r="AK66" i="1"/>
  <c r="AE152" i="1"/>
  <c r="AE115" i="1"/>
  <c r="AK85" i="1"/>
  <c r="AE162" i="1"/>
  <c r="AG141" i="1"/>
  <c r="AG66" i="1"/>
  <c r="AK65" i="1"/>
  <c r="AE4" i="1"/>
  <c r="AG170" i="1"/>
  <c r="AI141" i="1"/>
  <c r="AG160" i="1"/>
  <c r="AK37" i="1"/>
  <c r="AK38" i="1"/>
  <c r="AG180" i="1"/>
  <c r="AI170" i="1"/>
  <c r="AG83" i="1"/>
  <c r="AG97" i="1"/>
  <c r="AE68" i="1"/>
  <c r="AG95" i="1"/>
  <c r="AG76" i="1"/>
  <c r="AI67" i="1"/>
  <c r="AK149" i="1"/>
  <c r="AE75" i="1"/>
  <c r="AE66" i="1"/>
  <c r="AK161" i="1"/>
  <c r="AI55" i="1"/>
  <c r="AI16" i="1"/>
  <c r="AG96" i="1"/>
  <c r="AE153" i="1"/>
  <c r="AI76" i="1"/>
  <c r="AK160" i="1"/>
  <c r="AI159" i="1"/>
  <c r="AI162" i="1"/>
  <c r="AE150" i="1"/>
  <c r="AE163" i="1"/>
  <c r="AE165" i="1"/>
  <c r="AG126" i="1"/>
  <c r="AI108" i="1"/>
  <c r="AK136" i="1"/>
  <c r="AE21" i="1"/>
  <c r="AE59" i="1"/>
  <c r="AI18" i="1"/>
  <c r="AI87" i="1"/>
  <c r="AI20" i="1"/>
  <c r="AK57" i="1"/>
  <c r="AE180" i="1"/>
  <c r="AE10" i="1"/>
  <c r="AG169" i="1"/>
  <c r="AI65" i="1"/>
  <c r="AK162" i="1"/>
  <c r="AK140" i="1"/>
  <c r="AE159" i="1"/>
  <c r="AI148" i="1"/>
  <c r="AK83" i="1"/>
  <c r="AE170" i="1"/>
  <c r="AI9" i="1"/>
  <c r="AE76" i="1"/>
  <c r="AI150" i="1"/>
  <c r="AG128" i="1"/>
  <c r="AG172" i="1"/>
  <c r="AI124" i="1"/>
  <c r="AE160" i="1"/>
  <c r="AG5" i="1"/>
  <c r="AK138" i="1"/>
  <c r="AG47" i="1"/>
  <c r="AI66" i="1"/>
  <c r="AI58" i="1"/>
  <c r="AG69" i="1"/>
  <c r="AG46" i="1"/>
  <c r="AK9" i="1"/>
  <c r="AG93" i="1"/>
  <c r="AG125" i="1"/>
  <c r="AG65" i="1"/>
  <c r="AI93" i="1"/>
  <c r="AE17" i="1"/>
  <c r="AE30" i="1"/>
  <c r="AG56" i="1"/>
  <c r="AK10" i="1"/>
  <c r="AK26" i="1"/>
  <c r="AG54" i="1"/>
  <c r="AG50" i="1"/>
  <c r="AG152" i="1"/>
  <c r="AI173" i="1"/>
  <c r="AE67" i="1"/>
  <c r="AK125" i="1"/>
  <c r="AK139" i="1"/>
  <c r="AK16" i="1"/>
  <c r="AG158" i="1"/>
  <c r="AG161" i="1"/>
  <c r="AE136" i="1"/>
  <c r="AG94" i="1"/>
  <c r="AG8" i="1"/>
  <c r="AG159" i="1"/>
  <c r="AG149" i="1"/>
  <c r="AK34" i="1"/>
  <c r="AE94" i="1"/>
  <c r="AE83" i="1"/>
  <c r="AG85" i="1"/>
  <c r="AK159" i="1"/>
  <c r="AK93" i="1"/>
  <c r="AK108" i="1"/>
  <c r="AE56" i="1"/>
  <c r="AK55" i="1"/>
  <c r="AK97" i="1"/>
  <c r="AI90" i="1"/>
  <c r="AK5" i="1"/>
  <c r="AE123" i="1"/>
  <c r="AG104" i="1"/>
  <c r="AI160" i="1"/>
  <c r="AK152" i="1"/>
  <c r="AK171" i="1"/>
  <c r="AI13" i="1"/>
  <c r="AK84" i="1"/>
  <c r="AG162" i="1"/>
  <c r="AK68" i="1"/>
  <c r="AE18" i="1"/>
  <c r="AG11" i="1"/>
  <c r="AG175" i="1"/>
  <c r="AI113" i="1"/>
  <c r="AE113" i="1"/>
  <c r="AG177" i="1"/>
  <c r="AE8" i="1"/>
  <c r="AE87" i="1"/>
  <c r="AI115" i="1"/>
  <c r="AE173" i="1"/>
  <c r="AE65" i="1"/>
  <c r="AE2" i="1"/>
  <c r="AG139" i="1"/>
  <c r="AI153" i="1"/>
  <c r="AI116" i="1"/>
  <c r="AG38" i="1"/>
  <c r="AG55" i="1"/>
  <c r="AK142" i="1"/>
  <c r="AK17" i="1"/>
  <c r="AG7" i="1"/>
  <c r="AE116" i="1"/>
  <c r="AG115" i="1"/>
  <c r="AE164" i="1"/>
  <c r="AE125" i="1"/>
  <c r="AE41" i="1"/>
  <c r="AI94" i="1"/>
  <c r="AG22" i="1"/>
  <c r="AE90" i="1"/>
  <c r="AK168" i="1"/>
  <c r="AK151" i="1"/>
  <c r="AI172" i="1"/>
  <c r="AE171" i="1"/>
  <c r="AK47" i="1"/>
  <c r="AK64" i="1"/>
  <c r="AG6" i="1"/>
  <c r="AK158" i="1"/>
  <c r="AI136" i="1"/>
  <c r="AE57" i="1"/>
  <c r="AG137" i="1"/>
  <c r="AE133" i="1"/>
  <c r="AE161" i="1"/>
  <c r="AG150" i="1"/>
  <c r="AI7" i="1"/>
  <c r="AE149" i="1"/>
  <c r="AG67" i="1"/>
  <c r="AK86" i="1"/>
  <c r="AK137" i="1"/>
  <c r="AK7" i="1"/>
  <c r="AG64" i="1"/>
  <c r="AG18" i="1"/>
  <c r="AE96" i="1"/>
  <c r="AE172" i="1"/>
  <c r="AI17" i="1"/>
  <c r="AI149" i="1"/>
  <c r="AG136" i="1"/>
  <c r="AK167" i="1"/>
  <c r="AG167" i="1"/>
  <c r="AE78" i="1"/>
  <c r="AI161" i="1"/>
  <c r="AI126" i="1"/>
  <c r="AG77" i="1"/>
  <c r="AK128" i="1"/>
  <c r="AE84" i="1"/>
  <c r="AK133" i="1"/>
  <c r="AI15" i="1"/>
  <c r="AI176" i="1"/>
  <c r="AI151" i="1"/>
  <c r="AG185" i="1"/>
  <c r="AG183" i="1"/>
  <c r="AG57" i="1"/>
  <c r="AK67" i="1"/>
  <c r="AE42" i="1"/>
  <c r="AI92" i="1"/>
  <c r="AK150" i="1"/>
  <c r="AE7" i="1"/>
  <c r="AK87" i="1"/>
  <c r="AG30" i="1"/>
  <c r="AK115" i="1"/>
  <c r="AK113" i="1"/>
  <c r="AI95" i="1"/>
  <c r="AI86" i="1"/>
  <c r="AK117" i="1"/>
  <c r="AG107" i="1"/>
  <c r="AE126" i="1"/>
  <c r="AE127" i="1"/>
  <c r="AG106" i="1"/>
  <c r="AE168" i="1"/>
  <c r="AI77" i="1"/>
  <c r="AE80" i="1"/>
  <c r="AG108" i="1"/>
  <c r="AG33" i="1"/>
  <c r="AE114" i="1"/>
  <c r="AG114" i="1"/>
  <c r="AG181" i="1"/>
  <c r="AI21" i="1"/>
  <c r="AK118" i="1"/>
  <c r="AI133" i="1"/>
  <c r="AE105" i="1"/>
  <c r="AI75" i="1"/>
  <c r="AK75" i="1"/>
  <c r="AI40" i="1"/>
  <c r="AK59" i="1"/>
  <c r="AG21" i="1"/>
  <c r="AI41" i="1"/>
  <c r="AG123" i="1"/>
  <c r="AK173" i="1"/>
  <c r="AK182" i="1"/>
  <c r="AI8" i="1"/>
  <c r="AE9" i="1"/>
  <c r="AG23" i="1"/>
  <c r="AK53" i="1"/>
  <c r="AK98" i="1"/>
  <c r="AK94" i="1"/>
  <c r="AK124" i="1"/>
  <c r="AK95" i="1"/>
  <c r="AE93" i="1"/>
  <c r="AE20" i="1"/>
  <c r="AK123" i="1"/>
  <c r="AG37" i="1"/>
  <c r="AK48" i="1"/>
  <c r="AK70" i="1"/>
  <c r="AI57" i="1"/>
  <c r="AI114" i="1"/>
  <c r="AE95" i="1"/>
  <c r="AK116" i="1"/>
  <c r="AG124" i="1"/>
  <c r="AE81" i="1"/>
  <c r="AE151" i="1"/>
  <c r="AK103" i="1"/>
  <c r="AK107" i="1"/>
  <c r="AG151" i="1"/>
  <c r="AK114" i="1"/>
  <c r="AK41" i="1"/>
  <c r="AI117" i="1"/>
  <c r="AE98" i="1"/>
  <c r="AK77" i="1"/>
  <c r="AG105" i="1"/>
  <c r="AI81" i="1"/>
  <c r="AE181" i="1"/>
  <c r="AK172" i="1"/>
  <c r="AG157" i="1"/>
  <c r="AI118" i="1"/>
  <c r="AK44" i="1"/>
  <c r="AI44" i="1"/>
  <c r="AI53" i="1"/>
  <c r="AE13" i="1"/>
  <c r="AI88" i="1"/>
  <c r="AK33" i="1"/>
  <c r="AG173" i="1"/>
  <c r="AI171" i="1"/>
  <c r="AG9" i="1"/>
  <c r="AI80" i="1"/>
  <c r="AK22" i="1"/>
  <c r="AG84" i="1"/>
  <c r="AI22" i="1"/>
  <c r="AE34" i="1"/>
  <c r="AK43" i="1"/>
  <c r="AG182" i="1"/>
  <c r="AG75" i="1"/>
  <c r="AG59" i="1"/>
  <c r="AK8" i="1"/>
  <c r="AI59" i="1"/>
  <c r="AK30" i="1"/>
  <c r="AE97" i="1"/>
  <c r="AE50" i="1"/>
  <c r="AI68" i="1"/>
  <c r="AG127" i="1"/>
  <c r="AG86" i="1"/>
  <c r="AG174" i="1"/>
  <c r="AK31" i="1"/>
  <c r="AK21" i="1"/>
  <c r="AG78" i="1"/>
  <c r="AG168" i="1"/>
  <c r="AG24" i="1"/>
  <c r="AG88" i="1"/>
  <c r="AE108" i="1"/>
  <c r="AK183" i="1"/>
  <c r="AG70" i="1"/>
  <c r="AE91" i="1"/>
  <c r="AG19" i="1"/>
  <c r="AG113" i="1"/>
  <c r="AK76" i="1"/>
  <c r="AE22" i="1"/>
  <c r="AE52" i="1"/>
  <c r="AG140" i="1"/>
  <c r="AI31" i="1"/>
  <c r="AG43" i="1"/>
  <c r="AK3" i="1"/>
  <c r="AG118" i="1"/>
  <c r="AK13" i="1"/>
  <c r="AK2" i="1"/>
  <c r="AG134" i="1"/>
  <c r="AG41" i="1"/>
  <c r="AI51" i="1"/>
  <c r="AI175" i="1"/>
  <c r="AI107" i="1"/>
  <c r="AE69" i="1"/>
  <c r="AE3" i="1"/>
  <c r="AE128" i="1"/>
  <c r="AE44" i="1"/>
  <c r="AE140" i="1"/>
  <c r="AG98" i="1"/>
  <c r="AE88" i="1"/>
  <c r="AE157" i="1"/>
  <c r="AK69" i="1"/>
  <c r="AE86" i="1"/>
  <c r="AI52" i="1"/>
  <c r="AE107" i="1"/>
  <c r="AE12" i="1"/>
  <c r="AE23" i="1"/>
  <c r="AG58" i="1"/>
  <c r="AG116" i="1"/>
  <c r="AK126" i="1"/>
  <c r="AK178" i="1"/>
  <c r="AE77" i="1"/>
  <c r="AK88" i="1"/>
  <c r="AI127" i="1"/>
  <c r="AK24" i="1"/>
  <c r="AI3" i="1"/>
  <c r="AI168" i="1"/>
  <c r="AI128" i="1"/>
  <c r="AK78" i="1"/>
  <c r="AI96" i="1"/>
  <c r="AI98" i="1"/>
  <c r="AG133" i="1"/>
  <c r="AK143" i="1"/>
  <c r="AK174" i="1"/>
  <c r="AG31" i="1"/>
  <c r="AE175" i="1"/>
  <c r="AE174" i="1"/>
  <c r="AK50" i="1"/>
  <c r="AE106" i="1"/>
  <c r="AE177" i="1"/>
  <c r="AI34" i="1"/>
  <c r="AI177" i="1"/>
  <c r="AG44" i="1"/>
  <c r="AI19" i="1"/>
  <c r="AE19" i="1"/>
  <c r="AK58" i="1"/>
  <c r="AE51" i="1"/>
  <c r="AE43" i="1"/>
  <c r="AI50" i="1"/>
  <c r="AK127" i="1"/>
  <c r="AE118" i="1"/>
  <c r="AK134" i="1"/>
  <c r="AI165" i="1"/>
  <c r="AI33" i="1"/>
  <c r="AI78" i="1"/>
  <c r="AE40" i="1"/>
  <c r="AK23" i="1"/>
  <c r="AG53" i="1"/>
  <c r="AE31" i="1"/>
  <c r="AE53" i="1"/>
  <c r="AK96" i="1"/>
  <c r="AE176" i="1"/>
  <c r="AG13" i="1"/>
  <c r="AK6" i="1"/>
  <c r="AI23" i="1"/>
  <c r="AG34" i="1"/>
  <c r="AG3" i="1"/>
  <c r="AE33" i="1"/>
  <c r="AI69" i="1"/>
  <c r="AE58" i="1"/>
  <c r="AG143" i="1"/>
  <c r="AG186" i="1"/>
  <c r="AK176" i="1"/>
  <c r="AE117" i="1"/>
  <c r="AK19" i="1"/>
  <c r="AI43" i="1"/>
  <c r="AE103" i="1"/>
  <c r="AK104" i="1"/>
  <c r="AI84" i="1"/>
  <c r="AI32" i="1"/>
  <c r="AE32" i="1"/>
  <c r="AI91" i="1"/>
  <c r="AI5" i="1"/>
  <c r="AE5" i="1"/>
  <c r="AG178" i="1"/>
  <c r="AG32" i="1"/>
  <c r="AK32" i="1"/>
  <c r="AK18" i="1"/>
  <c r="AK15" i="1"/>
  <c r="AG15" i="1"/>
  <c r="AG40" i="1"/>
  <c r="AK40" i="1"/>
  <c r="AG103" i="1"/>
  <c r="AE16" i="1"/>
  <c r="AI30" i="1"/>
  <c r="AG20" i="1"/>
  <c r="AK20" i="1"/>
  <c r="AK175" i="1"/>
  <c r="AK169" i="1"/>
  <c r="AG144" i="1"/>
  <c r="AI164" i="1"/>
  <c r="AG52" i="1"/>
  <c r="AK52" i="1"/>
  <c r="AG26" i="1"/>
  <c r="AI97" i="1"/>
  <c r="AK144" i="1"/>
  <c r="AI163" i="1"/>
  <c r="AE104" i="1"/>
  <c r="AI104" i="1"/>
  <c r="AK42" i="1"/>
  <c r="AG42" i="1"/>
  <c r="AG2" i="1"/>
  <c r="AG117" i="1"/>
  <c r="AE92" i="1"/>
  <c r="AG87" i="1"/>
  <c r="AI103" i="1"/>
  <c r="AI157" i="1"/>
  <c r="AE169" i="1"/>
  <c r="AI169" i="1"/>
  <c r="AI10" i="1"/>
  <c r="AE11" i="1"/>
  <c r="AG48" i="1"/>
  <c r="AK157" i="1"/>
  <c r="AE179" i="1"/>
  <c r="AI179" i="1"/>
  <c r="AG176" i="1"/>
  <c r="AE178" i="1"/>
  <c r="AI178" i="1"/>
  <c r="AK179" i="1"/>
  <c r="AG179" i="1"/>
  <c r="AK177" i="1"/>
  <c r="AK156" i="1"/>
  <c r="AG156" i="1"/>
  <c r="AK166" i="1"/>
  <c r="AG166" i="1"/>
  <c r="AK155" i="1"/>
  <c r="AG155" i="1"/>
  <c r="AK165" i="1"/>
  <c r="AG165" i="1"/>
  <c r="AG154" i="1"/>
  <c r="AK154" i="1"/>
  <c r="AG164" i="1"/>
  <c r="AK164" i="1"/>
  <c r="AG153" i="1"/>
  <c r="AK153" i="1"/>
  <c r="AG163" i="1"/>
  <c r="AK163" i="1"/>
  <c r="AI142" i="1"/>
  <c r="AE142" i="1"/>
  <c r="AE134" i="1"/>
  <c r="AI134" i="1"/>
  <c r="AI143" i="1"/>
  <c r="AE143" i="1"/>
  <c r="AK145" i="1"/>
  <c r="AG145" i="1"/>
  <c r="AK135" i="1"/>
  <c r="AG135" i="1"/>
  <c r="AI144" i="1"/>
  <c r="AE144" i="1"/>
  <c r="AE135" i="1"/>
  <c r="AI135" i="1"/>
  <c r="AI145" i="1"/>
  <c r="AE145" i="1"/>
  <c r="AI99" i="1"/>
  <c r="AE99" i="1"/>
  <c r="AI89" i="1"/>
  <c r="AE89" i="1"/>
  <c r="AI132" i="1"/>
  <c r="AE132" i="1"/>
  <c r="AI129" i="1"/>
  <c r="AE129" i="1"/>
  <c r="AI130" i="1"/>
  <c r="AE130" i="1"/>
  <c r="AG109" i="1"/>
  <c r="AK109" i="1"/>
  <c r="AI120" i="1"/>
  <c r="AE120" i="1"/>
  <c r="AG130" i="1"/>
  <c r="AK130" i="1"/>
  <c r="AK102" i="1"/>
  <c r="AG102" i="1"/>
  <c r="AK112" i="1"/>
  <c r="AG112" i="1"/>
  <c r="AE82" i="1"/>
  <c r="AI82" i="1"/>
  <c r="AK131" i="1"/>
  <c r="AG131" i="1"/>
  <c r="AG80" i="1"/>
  <c r="AK80" i="1"/>
  <c r="AG90" i="1"/>
  <c r="AK90" i="1"/>
  <c r="AI131" i="1"/>
  <c r="AE131" i="1"/>
  <c r="AI121" i="1"/>
  <c r="AE121" i="1"/>
  <c r="AE102" i="1"/>
  <c r="AI102" i="1"/>
  <c r="AG100" i="1"/>
  <c r="AK100" i="1"/>
  <c r="AK132" i="1"/>
  <c r="AG132" i="1"/>
  <c r="AG101" i="1"/>
  <c r="AK101" i="1"/>
  <c r="AG120" i="1"/>
  <c r="AK120" i="1"/>
  <c r="AI119" i="1"/>
  <c r="AE119" i="1"/>
  <c r="AG122" i="1"/>
  <c r="AK122" i="1"/>
  <c r="AG79" i="1"/>
  <c r="AK79" i="1"/>
  <c r="AG89" i="1"/>
  <c r="AK89" i="1"/>
  <c r="AK91" i="1"/>
  <c r="AG91" i="1"/>
  <c r="AK82" i="1"/>
  <c r="AG82" i="1"/>
  <c r="AG99" i="1"/>
  <c r="AK99" i="1"/>
  <c r="AG121" i="1"/>
  <c r="AK121" i="1"/>
  <c r="AI79" i="1"/>
  <c r="AE79" i="1"/>
  <c r="AG111" i="1"/>
  <c r="AK111" i="1"/>
  <c r="AG129" i="1"/>
  <c r="AK129" i="1"/>
  <c r="AK92" i="1"/>
  <c r="AG92" i="1"/>
  <c r="AI109" i="1"/>
  <c r="AE109" i="1"/>
  <c r="AE100" i="1"/>
  <c r="AI100" i="1"/>
  <c r="AG81" i="1"/>
  <c r="AK81" i="1"/>
  <c r="AE101" i="1"/>
  <c r="AI101" i="1"/>
  <c r="AG119" i="1"/>
  <c r="AK119" i="1"/>
  <c r="AG110" i="1"/>
  <c r="AK110" i="1"/>
  <c r="AI122" i="1"/>
  <c r="AE122" i="1"/>
  <c r="AG60" i="1"/>
  <c r="AK60" i="1"/>
  <c r="AG71" i="1"/>
  <c r="AK71" i="1"/>
  <c r="AI61" i="1"/>
  <c r="AE61" i="1"/>
  <c r="AI60" i="1"/>
  <c r="AE60" i="1"/>
  <c r="AE71" i="1"/>
  <c r="AI71" i="1"/>
  <c r="AI72" i="1"/>
  <c r="AE72" i="1"/>
  <c r="AG63" i="1"/>
  <c r="AK63" i="1"/>
  <c r="AG72" i="1"/>
  <c r="AK72" i="1"/>
  <c r="AE70" i="1"/>
  <c r="AI70" i="1"/>
  <c r="AG61" i="1"/>
  <c r="AK61" i="1"/>
  <c r="AG62" i="1"/>
  <c r="AK62" i="1"/>
  <c r="AG39" i="1"/>
  <c r="AK39" i="1"/>
  <c r="AE48" i="1"/>
  <c r="AI48" i="1"/>
  <c r="AG27" i="1"/>
  <c r="AK27" i="1"/>
  <c r="AE39" i="1"/>
  <c r="AI39" i="1"/>
  <c r="AE46" i="1"/>
  <c r="AI46" i="1"/>
  <c r="AE49" i="1"/>
  <c r="AI49" i="1"/>
  <c r="AG49" i="1"/>
  <c r="AK49" i="1"/>
  <c r="AG29" i="1"/>
  <c r="AK29" i="1"/>
  <c r="AI29" i="1"/>
  <c r="AE29" i="1"/>
  <c r="AE47" i="1"/>
  <c r="AI47" i="1"/>
  <c r="AG28" i="1"/>
  <c r="AK28" i="1"/>
  <c r="AG10" i="1"/>
  <c r="AG12" i="1"/>
  <c r="AI2" i="1"/>
</calcChain>
</file>

<file path=xl/sharedStrings.xml><?xml version="1.0" encoding="utf-8"?>
<sst xmlns="http://schemas.openxmlformats.org/spreadsheetml/2006/main" count="7428" uniqueCount="1279">
  <si>
    <t>ID</t>
  </si>
  <si>
    <t>Type of Visit</t>
  </si>
  <si>
    <t>Diagnosis</t>
  </si>
  <si>
    <t>OGID</t>
  </si>
  <si>
    <t>cfDNA Isolation Date</t>
  </si>
  <si>
    <t>WGS Library Prep Date</t>
  </si>
  <si>
    <t>Date of Diagnosis</t>
  </si>
  <si>
    <t>Date of Consent</t>
  </si>
  <si>
    <t>Neoadj Pembro</t>
  </si>
  <si>
    <t>Surgery Date</t>
  </si>
  <si>
    <t>Radiation Start</t>
  </si>
  <si>
    <t>Radiation End</t>
  </si>
  <si>
    <t>Wk1 pembro</t>
  </si>
  <si>
    <t>Last known alive</t>
  </si>
  <si>
    <t>Date of Recurrence</t>
  </si>
  <si>
    <t>Date of Death</t>
  </si>
  <si>
    <t>E_Relapse</t>
  </si>
  <si>
    <t>E_Survival</t>
  </si>
  <si>
    <t>Pilot</t>
  </si>
  <si>
    <t>Institute</t>
  </si>
  <si>
    <t>Physician Hold-Out</t>
  </si>
  <si>
    <t>Patient Number</t>
  </si>
  <si>
    <t>Age</t>
  </si>
  <si>
    <t>Gender</t>
  </si>
  <si>
    <t>Race</t>
  </si>
  <si>
    <t>Smoking</t>
  </si>
  <si>
    <t>Ethnicity</t>
  </si>
  <si>
    <t>Alcohol</t>
  </si>
  <si>
    <t>TNM</t>
  </si>
  <si>
    <t>Stratification</t>
  </si>
  <si>
    <t>HPV</t>
  </si>
  <si>
    <t>PDL1 IHC</t>
  </si>
  <si>
    <t>Response Rate Categorized</t>
  </si>
  <si>
    <t>Response Rate Real</t>
  </si>
  <si>
    <t>Treatment Response</t>
  </si>
  <si>
    <t>cfDNA Concentration (ng/uL)</t>
  </si>
  <si>
    <t>Plasma Collection Date</t>
  </si>
  <si>
    <t>cfDNA Volume (uL)</t>
  </si>
  <si>
    <t>Need Volume (uL)</t>
  </si>
  <si>
    <t>Add Low TE</t>
  </si>
  <si>
    <t>WGS library concentration (10cycles, ng/uL)</t>
  </si>
  <si>
    <t>Pool Volume</t>
  </si>
  <si>
    <t>Index</t>
  </si>
  <si>
    <t>i7</t>
  </si>
  <si>
    <t>i5</t>
  </si>
  <si>
    <t>Pilot2_3</t>
  </si>
  <si>
    <t>Oral Cavity Tumor</t>
  </si>
  <si>
    <t>HN01-37</t>
  </si>
  <si>
    <t>Female</t>
  </si>
  <si>
    <t>White</t>
  </si>
  <si>
    <t>Yes</t>
  </si>
  <si>
    <t>Non-Hispanic</t>
  </si>
  <si>
    <t>No</t>
  </si>
  <si>
    <t>T3N2cM0</t>
  </si>
  <si>
    <t>High</t>
  </si>
  <si>
    <t>Unknown</t>
  </si>
  <si>
    <t>&lt;10%</t>
  </si>
  <si>
    <t>None</t>
  </si>
  <si>
    <t>UDI0213</t>
  </si>
  <si>
    <t>AAGCAGAC</t>
  </si>
  <si>
    <t>GCTAAGAA</t>
  </si>
  <si>
    <t>Pilot2_4</t>
  </si>
  <si>
    <t>UDI0267</t>
  </si>
  <si>
    <t>GCAAGACA</t>
  </si>
  <si>
    <t>GCATAGAC</t>
  </si>
  <si>
    <t>Pilot2_5</t>
  </si>
  <si>
    <t>UDI0254</t>
  </si>
  <si>
    <t>TCTCCGTG</t>
  </si>
  <si>
    <t>TGAATCGT</t>
  </si>
  <si>
    <t>Pilot2_6</t>
  </si>
  <si>
    <t>HN01-49</t>
  </si>
  <si>
    <t>Male</t>
  </si>
  <si>
    <t>T4aN2cM0</t>
  </si>
  <si>
    <t>10-20%</t>
  </si>
  <si>
    <t>UDI0277</t>
  </si>
  <si>
    <t>TATACATC</t>
  </si>
  <si>
    <t>AATCTGAA</t>
  </si>
  <si>
    <t>Pilot2_7</t>
  </si>
  <si>
    <t>UDI0207</t>
  </si>
  <si>
    <t>ACATGATA</t>
  </si>
  <si>
    <t>CGTAGATA</t>
  </si>
  <si>
    <t>Pilot2_8</t>
  </si>
  <si>
    <t>UDI0230</t>
  </si>
  <si>
    <t>GATGGAGT</t>
  </si>
  <si>
    <t>TTCCAGGC</t>
  </si>
  <si>
    <t>Pilot2_9</t>
  </si>
  <si>
    <t>HN01-50</t>
  </si>
  <si>
    <t>T4aN2bM0</t>
  </si>
  <si>
    <t>UDI0241</t>
  </si>
  <si>
    <t>ATATATAC</t>
  </si>
  <si>
    <t>AATGCTTG</t>
  </si>
  <si>
    <t>Pilot2_10</t>
  </si>
  <si>
    <t>UDI0266</t>
  </si>
  <si>
    <t>ATCGTGGA</t>
  </si>
  <si>
    <t>GGCCGTTG</t>
  </si>
  <si>
    <t>Pilot2_11</t>
  </si>
  <si>
    <t>Pilot2_12</t>
  </si>
  <si>
    <t>Larynx Tumor</t>
  </si>
  <si>
    <t>HN01-51</t>
  </si>
  <si>
    <t>T4aN0M0</t>
  </si>
  <si>
    <t>Intermediate</t>
  </si>
  <si>
    <t>UDI0265</t>
  </si>
  <si>
    <t>TATACCAT</t>
  </si>
  <si>
    <t>AATGCCAC</t>
  </si>
  <si>
    <t>Pilot2_13</t>
  </si>
  <si>
    <t>UDI0278</t>
  </si>
  <si>
    <t>ATCGTTAG</t>
  </si>
  <si>
    <t>TGCGAAGT</t>
  </si>
  <si>
    <t>Pilot2_14</t>
  </si>
  <si>
    <t>HN02-01</t>
  </si>
  <si>
    <t>cT4N2bM0</t>
  </si>
  <si>
    <t>Pilot2_15</t>
  </si>
  <si>
    <t>UDI0208</t>
  </si>
  <si>
    <t>TTGCCTCT</t>
  </si>
  <si>
    <t>TGCGGCTA</t>
  </si>
  <si>
    <t>Pilot2_16</t>
  </si>
  <si>
    <t>HN02-06</t>
  </si>
  <si>
    <t>T3NxMx</t>
  </si>
  <si>
    <t>UDI0247</t>
  </si>
  <si>
    <t>TCCTTGCG</t>
  </si>
  <si>
    <t>CGCATGTG</t>
  </si>
  <si>
    <t>Pilot2_17</t>
  </si>
  <si>
    <t>UDI0281</t>
  </si>
  <si>
    <t>TACTAACG</t>
  </si>
  <si>
    <t>CAAGTAAT</t>
  </si>
  <si>
    <t>Pilot2_18</t>
  </si>
  <si>
    <t>UDI0279</t>
  </si>
  <si>
    <t>GAATTACG</t>
  </si>
  <si>
    <t>CAAGGAGA</t>
  </si>
  <si>
    <t>Pilot2_19</t>
  </si>
  <si>
    <t>HN02-07</t>
  </si>
  <si>
    <t>T4N1Mx (Stage IVA)</t>
  </si>
  <si>
    <t>Minor</t>
  </si>
  <si>
    <t>UDI0256</t>
  </si>
  <si>
    <t>TTGTAAGA</t>
  </si>
  <si>
    <t>GCTTGTGA</t>
  </si>
  <si>
    <t>Pilot2_20</t>
  </si>
  <si>
    <t>UDI0257</t>
  </si>
  <si>
    <t>GAATGTAA</t>
  </si>
  <si>
    <t>CTGGCACT</t>
  </si>
  <si>
    <t>Pilot2_21</t>
  </si>
  <si>
    <t>UDI0221</t>
  </si>
  <si>
    <t>AGCCACAG</t>
  </si>
  <si>
    <t>AGGAACCA</t>
  </si>
  <si>
    <t>Pilot2_22</t>
  </si>
  <si>
    <t>HN03-01</t>
  </si>
  <si>
    <t>cT4aN2bMx</t>
  </si>
  <si>
    <t>UDI0271</t>
  </si>
  <si>
    <t>AGTTCATA</t>
  </si>
  <si>
    <t>GGCCTTCA</t>
  </si>
  <si>
    <t>Pilot2_23</t>
  </si>
  <si>
    <t>UDI0211</t>
  </si>
  <si>
    <t>GTTGGTAG</t>
  </si>
  <si>
    <t>TGGAACAT</t>
  </si>
  <si>
    <t>Pilot2_24</t>
  </si>
  <si>
    <t>UDI0259</t>
  </si>
  <si>
    <t>GAACAATT</t>
  </si>
  <si>
    <t>CTTGGATT</t>
  </si>
  <si>
    <t>Pilot2_25</t>
  </si>
  <si>
    <t>HN03-03</t>
  </si>
  <si>
    <t>T4N2cMx</t>
  </si>
  <si>
    <t>UDI0268</t>
  </si>
  <si>
    <t>TACAGGCC</t>
  </si>
  <si>
    <t>CATTCGCC</t>
  </si>
  <si>
    <t>Pilot2_26</t>
  </si>
  <si>
    <t>UDI0246</t>
  </si>
  <si>
    <t>TACACTGG</t>
  </si>
  <si>
    <t>GCTCAATC</t>
  </si>
  <si>
    <t>Pilot2_27</t>
  </si>
  <si>
    <t>UDI0245</t>
  </si>
  <si>
    <t>AGGTCAAG</t>
  </si>
  <si>
    <t>CGCGTTAT</t>
  </si>
  <si>
    <t>Pilot2_28</t>
  </si>
  <si>
    <t>HN03-04</t>
  </si>
  <si>
    <t>UDI0210</t>
  </si>
  <si>
    <t>ACATATGT</t>
  </si>
  <si>
    <t>GATCGCAG</t>
  </si>
  <si>
    <t>Pilot2_29</t>
  </si>
  <si>
    <t>UDI0198</t>
  </si>
  <si>
    <t>ACATCGGA</t>
  </si>
  <si>
    <t>GAAGTTGA</t>
  </si>
  <si>
    <t>Pilot2_30</t>
  </si>
  <si>
    <t>HN04-01</t>
  </si>
  <si>
    <t>cT4N2cM0</t>
  </si>
  <si>
    <t>UDI0233</t>
  </si>
  <si>
    <t>AGCAGAGA</t>
  </si>
  <si>
    <t>GCCATAAT</t>
  </si>
  <si>
    <t>Pilot2_31</t>
  </si>
  <si>
    <t>UDI0231</t>
  </si>
  <si>
    <t>TGATCTAA</t>
  </si>
  <si>
    <t>TTAACCTC</t>
  </si>
  <si>
    <t>Pilot2_34</t>
  </si>
  <si>
    <t>HN04-08</t>
  </si>
  <si>
    <t>pT3N0M0</t>
  </si>
  <si>
    <t>Pilot2_35</t>
  </si>
  <si>
    <t>UDI0232</t>
  </si>
  <si>
    <t>AGCTATAT</t>
  </si>
  <si>
    <t>CGTTAGGA</t>
  </si>
  <si>
    <t>Pilot2_36</t>
  </si>
  <si>
    <t>HN04-09</t>
  </si>
  <si>
    <t>T3N0M0</t>
  </si>
  <si>
    <t>UDI0223</t>
  </si>
  <si>
    <t>AGCGCTCG</t>
  </si>
  <si>
    <t>CGGCTTGT</t>
  </si>
  <si>
    <t>Pilot2_37</t>
  </si>
  <si>
    <t>UDI0218</t>
  </si>
  <si>
    <t>TATTGTCG</t>
  </si>
  <si>
    <t>TTCAATTC</t>
  </si>
  <si>
    <t>Pilot2_38</t>
  </si>
  <si>
    <t>UDI0220</t>
  </si>
  <si>
    <t>TATGGTTC</t>
  </si>
  <si>
    <t>CACCGGTA</t>
  </si>
  <si>
    <t>Pilot2_39</t>
  </si>
  <si>
    <t>HN04-10</t>
  </si>
  <si>
    <t>T4N2cM0</t>
  </si>
  <si>
    <t>UDI0197</t>
  </si>
  <si>
    <t>TTGATAAT</t>
  </si>
  <si>
    <t>GTGACCAT</t>
  </si>
  <si>
    <t>Pilot2_40</t>
  </si>
  <si>
    <t>Pilot2_41</t>
  </si>
  <si>
    <t>UDI0255</t>
  </si>
  <si>
    <t>TAATAGGA</t>
  </si>
  <si>
    <t>CTAACCAG</t>
  </si>
  <si>
    <t>Pilot2_42</t>
  </si>
  <si>
    <t>HN04-11</t>
  </si>
  <si>
    <t>UDI0234</t>
  </si>
  <si>
    <t>GACGTAAG</t>
  </si>
  <si>
    <t>GCCAAGCC</t>
  </si>
  <si>
    <t>Pilot2_43</t>
  </si>
  <si>
    <t>Pilot2_44</t>
  </si>
  <si>
    <t>UDI0219</t>
  </si>
  <si>
    <t>ACAATGCC</t>
  </si>
  <si>
    <t>CGTCCTTA</t>
  </si>
  <si>
    <t>Pilot2_45</t>
  </si>
  <si>
    <t>HN04-14</t>
  </si>
  <si>
    <t>T4aN1M0</t>
  </si>
  <si>
    <t>UDI0195</t>
  </si>
  <si>
    <t>GTTATTAT</t>
  </si>
  <si>
    <t>CGCTAAGC</t>
  </si>
  <si>
    <t>Pilot2_46</t>
  </si>
  <si>
    <t>Pilot2_47</t>
  </si>
  <si>
    <t>HN04-16</t>
  </si>
  <si>
    <t>cT3N2bM0</t>
  </si>
  <si>
    <t>Pilot2_48</t>
  </si>
  <si>
    <t>Pilot2_49</t>
  </si>
  <si>
    <t>HN05-03</t>
  </si>
  <si>
    <t>T3N1M0</t>
  </si>
  <si>
    <t>10-20% (20-30% fib)</t>
  </si>
  <si>
    <t>Pilot2_50</t>
  </si>
  <si>
    <t>UDI0209</t>
  </si>
  <si>
    <t>ACATTCTC</t>
  </si>
  <si>
    <t>ACAACTCT</t>
  </si>
  <si>
    <t>Pilot2_51</t>
  </si>
  <si>
    <t>HN05-05</t>
  </si>
  <si>
    <t>T4bN2bM0</t>
  </si>
  <si>
    <t>UDI0258</t>
  </si>
  <si>
    <t>AGTCAATT</t>
  </si>
  <si>
    <t>GCACGGTC</t>
  </si>
  <si>
    <t>Pilot2_52</t>
  </si>
  <si>
    <t>UDI0280</t>
  </si>
  <si>
    <t>AGTACTGC</t>
  </si>
  <si>
    <t>GGTCTTAG</t>
  </si>
  <si>
    <t>Pilot2_53</t>
  </si>
  <si>
    <t>Pilot2_54</t>
  </si>
  <si>
    <t>HN05-06</t>
  </si>
  <si>
    <t>T4aN2bMx</t>
  </si>
  <si>
    <t>Pilot2_55</t>
  </si>
  <si>
    <t>Pilot2_56</t>
  </si>
  <si>
    <t>UDI0199</t>
  </si>
  <si>
    <t>ACATCTAG</t>
  </si>
  <si>
    <t>CGCTACCG</t>
  </si>
  <si>
    <t>Pilot2_57</t>
  </si>
  <si>
    <t>HN05-09</t>
  </si>
  <si>
    <t>Pilot2_58</t>
  </si>
  <si>
    <t>UDI0196</t>
  </si>
  <si>
    <t>ACAGAAGC</t>
  </si>
  <si>
    <t>GTCATAGC</t>
  </si>
  <si>
    <t>Pilot2_59</t>
  </si>
  <si>
    <t>UDI0194</t>
  </si>
  <si>
    <t>TCGTACCG</t>
  </si>
  <si>
    <t>GGAAGTGG</t>
  </si>
  <si>
    <t>Pilot2_60</t>
  </si>
  <si>
    <t>HN05-11</t>
  </si>
  <si>
    <t>UDI0243</t>
  </si>
  <si>
    <t>AGGCAAGC</t>
  </si>
  <si>
    <t>CTCTGGAC</t>
  </si>
  <si>
    <t>Pilot2_61</t>
  </si>
  <si>
    <t>Pilot2_62</t>
  </si>
  <si>
    <t>Pilot2_63</t>
  </si>
  <si>
    <t>HN06-01</t>
  </si>
  <si>
    <t>UDI0282</t>
  </si>
  <si>
    <t>AGTATGTC</t>
  </si>
  <si>
    <t>GGTCAGTA</t>
  </si>
  <si>
    <t>Pilot2_64</t>
  </si>
  <si>
    <t>UDI0235</t>
  </si>
  <si>
    <t>AGGCCTGA</t>
  </si>
  <si>
    <t>CTCGGTCA</t>
  </si>
  <si>
    <t>Pilot2_65</t>
  </si>
  <si>
    <t>HN06-02</t>
  </si>
  <si>
    <t>10-15%</t>
  </si>
  <si>
    <t>UDI0270</t>
  </si>
  <si>
    <t>TCAATTAT</t>
  </si>
  <si>
    <t>CCTGAAGG</t>
  </si>
  <si>
    <t>Pilot2_66</t>
  </si>
  <si>
    <t>Pilot2_67</t>
  </si>
  <si>
    <t>UDI0284</t>
  </si>
  <si>
    <t>ATATAAGG</t>
  </si>
  <si>
    <t>GGTCATGT</t>
  </si>
  <si>
    <t>Pilot2_68</t>
  </si>
  <si>
    <t>HN06-04</t>
  </si>
  <si>
    <t>Major</t>
  </si>
  <si>
    <t>Pilot2_69</t>
  </si>
  <si>
    <t>Pilot2_70</t>
  </si>
  <si>
    <t>UDI0222</t>
  </si>
  <si>
    <t>GCTATCGA</t>
  </si>
  <si>
    <t>GATCTTCC</t>
  </si>
  <si>
    <t>Pilot2_71</t>
  </si>
  <si>
    <t>HN06-05</t>
  </si>
  <si>
    <t>T4N2bM0</t>
  </si>
  <si>
    <t>Pilot2_72</t>
  </si>
  <si>
    <t>UDI0269</t>
  </si>
  <si>
    <t>AGTTCCGT</t>
  </si>
  <si>
    <t>GGCCGCGT</t>
  </si>
  <si>
    <t>Pilot2_75</t>
  </si>
  <si>
    <t>HN06-08</t>
  </si>
  <si>
    <t>T3N2b</t>
  </si>
  <si>
    <t>Pilot2_76</t>
  </si>
  <si>
    <t>Pilot2_77</t>
  </si>
  <si>
    <t>Pilot2_78</t>
  </si>
  <si>
    <t>HN06-09</t>
  </si>
  <si>
    <t>UDI0217</t>
  </si>
  <si>
    <t>ATAACAGA</t>
  </si>
  <si>
    <t>AATGGAAG</t>
  </si>
  <si>
    <t>Pilot2_79</t>
  </si>
  <si>
    <t>Pilot2_80</t>
  </si>
  <si>
    <t>HN06-13</t>
  </si>
  <si>
    <t>T1N2C</t>
  </si>
  <si>
    <t>Pilot2_81</t>
  </si>
  <si>
    <t>Pilot2_82</t>
  </si>
  <si>
    <t>HN06-14</t>
  </si>
  <si>
    <t>Native Hawaiian or Other Pacific Islander</t>
  </si>
  <si>
    <t>80-90%</t>
  </si>
  <si>
    <t>Pilot2_83</t>
  </si>
  <si>
    <t>Pilot2_86</t>
  </si>
  <si>
    <t>Oropharynx Tumor</t>
  </si>
  <si>
    <t>HN06-18</t>
  </si>
  <si>
    <t>T4bN3</t>
  </si>
  <si>
    <t>Pilot2_87</t>
  </si>
  <si>
    <t>Pilot2_88</t>
  </si>
  <si>
    <t>Pilot2_89</t>
  </si>
  <si>
    <t>HN06-19</t>
  </si>
  <si>
    <t>Pilot2_90</t>
  </si>
  <si>
    <t>Pilot_196</t>
  </si>
  <si>
    <t>HN01-02</t>
  </si>
  <si>
    <t>T3N2bM0</t>
  </si>
  <si>
    <t>Pilot_197</t>
  </si>
  <si>
    <t>Pilot_198</t>
  </si>
  <si>
    <t>Pilot_199</t>
  </si>
  <si>
    <t>HN01-04</t>
  </si>
  <si>
    <t>70-80%</t>
  </si>
  <si>
    <t>Pilot_200</t>
  </si>
  <si>
    <t>Pilot_201</t>
  </si>
  <si>
    <t>Pilot_202</t>
  </si>
  <si>
    <t>HN01-06</t>
  </si>
  <si>
    <t>Pilot_203</t>
  </si>
  <si>
    <t>Pilot_204</t>
  </si>
  <si>
    <t>Pilot_205</t>
  </si>
  <si>
    <t>HN01-10</t>
  </si>
  <si>
    <t>20-30%</t>
  </si>
  <si>
    <t>Pilot_206</t>
  </si>
  <si>
    <t>Pilot_207</t>
  </si>
  <si>
    <t>Pilot_208</t>
  </si>
  <si>
    <t>HN01-11</t>
  </si>
  <si>
    <t>Pilot_209</t>
  </si>
  <si>
    <t>Pilot_210</t>
  </si>
  <si>
    <t>Pilot_211</t>
  </si>
  <si>
    <t>HN01-12</t>
  </si>
  <si>
    <t>T1N2cM0</t>
  </si>
  <si>
    <t>Pilot_212</t>
  </si>
  <si>
    <t>Pilot_213</t>
  </si>
  <si>
    <t>Pilot_214</t>
  </si>
  <si>
    <t>HN01-14</t>
  </si>
  <si>
    <t>T2N2bM0</t>
  </si>
  <si>
    <t>90-100%</t>
  </si>
  <si>
    <t>Pilot_215</t>
  </si>
  <si>
    <t>Pilot_216</t>
  </si>
  <si>
    <t>Pilot_217</t>
  </si>
  <si>
    <t>HN01-15</t>
  </si>
  <si>
    <t>Pilot_218</t>
  </si>
  <si>
    <t>Pilot_219</t>
  </si>
  <si>
    <t>HN01-17</t>
  </si>
  <si>
    <t>40-50%</t>
  </si>
  <si>
    <t>Pilot_220</t>
  </si>
  <si>
    <t>Pilot_221</t>
  </si>
  <si>
    <t>Pilot_222</t>
  </si>
  <si>
    <t>HN01-19</t>
  </si>
  <si>
    <t>Pilot_223</t>
  </si>
  <si>
    <t>Pilot_224</t>
  </si>
  <si>
    <t>Pilot_225</t>
  </si>
  <si>
    <t>HN01-24</t>
  </si>
  <si>
    <t>Pilot_226</t>
  </si>
  <si>
    <t>Pilot_227</t>
  </si>
  <si>
    <t>Pilot_228</t>
  </si>
  <si>
    <t>HN01-29</t>
  </si>
  <si>
    <t>Pilot_229</t>
  </si>
  <si>
    <t>Pilot_230</t>
  </si>
  <si>
    <t>Pilot_231</t>
  </si>
  <si>
    <t>HN02-03</t>
  </si>
  <si>
    <t>95-100%</t>
  </si>
  <si>
    <t>Pilot_232</t>
  </si>
  <si>
    <t>Pilot_233</t>
  </si>
  <si>
    <t>Pilot_234</t>
  </si>
  <si>
    <t>HN01-01</t>
  </si>
  <si>
    <t>&lt; 10%</t>
  </si>
  <si>
    <t>Pilot_235</t>
  </si>
  <si>
    <t>Pilot_236</t>
  </si>
  <si>
    <t>Pilot_237</t>
  </si>
  <si>
    <t>HN01-07</t>
  </si>
  <si>
    <t>Pilot_238</t>
  </si>
  <si>
    <t>Pilot_239</t>
  </si>
  <si>
    <t>Pilot_240</t>
  </si>
  <si>
    <t>HN01-13</t>
  </si>
  <si>
    <t>Pilot_241</t>
  </si>
  <si>
    <t>Pilot_242</t>
  </si>
  <si>
    <t>Pilot_243</t>
  </si>
  <si>
    <t>HN01-16</t>
  </si>
  <si>
    <t>Pilot_244</t>
  </si>
  <si>
    <t>Pilot_245</t>
  </si>
  <si>
    <t>Pilot_246</t>
  </si>
  <si>
    <t>HN01-18</t>
  </si>
  <si>
    <t>Pilot_247</t>
  </si>
  <si>
    <t>Pilot_248</t>
  </si>
  <si>
    <t>Pilot_249</t>
  </si>
  <si>
    <t>HN01-21</t>
  </si>
  <si>
    <t>Pilot_250</t>
  </si>
  <si>
    <t>Pilot_251</t>
  </si>
  <si>
    <t>Pilot_252</t>
  </si>
  <si>
    <t>HN01-22</t>
  </si>
  <si>
    <t>Hispanic</t>
  </si>
  <si>
    <t>Pilot_253</t>
  </si>
  <si>
    <t>Pilot_254</t>
  </si>
  <si>
    <t>Pilot_255</t>
  </si>
  <si>
    <t>HN01-23</t>
  </si>
  <si>
    <t>Pilot_256</t>
  </si>
  <si>
    <t>Pilot_257</t>
  </si>
  <si>
    <t>Pilot_258</t>
  </si>
  <si>
    <t>HN01-26</t>
  </si>
  <si>
    <t>cT4aN2cM0</t>
  </si>
  <si>
    <t>Pilot_259</t>
  </si>
  <si>
    <t>Pilot_260</t>
  </si>
  <si>
    <t>HN01-28</t>
  </si>
  <si>
    <t>Pilot_261</t>
  </si>
  <si>
    <t>Pilot_262</t>
  </si>
  <si>
    <t>Pilot_263</t>
  </si>
  <si>
    <t>HN01-41</t>
  </si>
  <si>
    <t>Black or African American</t>
  </si>
  <si>
    <t>Pilot_264</t>
  </si>
  <si>
    <t>Pilot_265</t>
  </si>
  <si>
    <t>Pilot_266</t>
  </si>
  <si>
    <t>HN01-42</t>
  </si>
  <si>
    <t>&lt; 5%</t>
  </si>
  <si>
    <t>Pilot_267</t>
  </si>
  <si>
    <t>Pilot_268</t>
  </si>
  <si>
    <t>Pilot_269</t>
  </si>
  <si>
    <t>HN02-02</t>
  </si>
  <si>
    <t>Pilot_270</t>
  </si>
  <si>
    <t>Pilot_271</t>
  </si>
  <si>
    <t>Pilot_272</t>
  </si>
  <si>
    <t>HN02-05</t>
  </si>
  <si>
    <t>Pilot_273</t>
  </si>
  <si>
    <t>Pilot_274</t>
  </si>
  <si>
    <t>Pilot_275</t>
  </si>
  <si>
    <t>HN04-02</t>
  </si>
  <si>
    <t>Pilot_276</t>
  </si>
  <si>
    <t>Pilot_277</t>
  </si>
  <si>
    <t>Pilot_278</t>
  </si>
  <si>
    <t>HN04-04</t>
  </si>
  <si>
    <t>Pilot_279</t>
  </si>
  <si>
    <t>Pilot_280</t>
  </si>
  <si>
    <t>HN04-05</t>
  </si>
  <si>
    <t>Pilot_281</t>
  </si>
  <si>
    <t>Pilot_282</t>
  </si>
  <si>
    <t>Pilot_283</t>
  </si>
  <si>
    <t>HN04-07</t>
  </si>
  <si>
    <t>Pilot_284</t>
  </si>
  <si>
    <t>Pilot_285</t>
  </si>
  <si>
    <t>Pilot_286</t>
  </si>
  <si>
    <t>HN05-01</t>
  </si>
  <si>
    <t>60-70%</t>
  </si>
  <si>
    <t>Pilot_287</t>
  </si>
  <si>
    <t>Pilot_288</t>
  </si>
  <si>
    <t>Pilot_289</t>
  </si>
  <si>
    <t>HN05-02</t>
  </si>
  <si>
    <t>T3N2cMx</t>
  </si>
  <si>
    <t>Pilot_290</t>
  </si>
  <si>
    <t>Pilot_291</t>
  </si>
  <si>
    <t>Pilot_292</t>
  </si>
  <si>
    <t>HN01-31</t>
  </si>
  <si>
    <t>Pilot_293</t>
  </si>
  <si>
    <t>Pilot_294</t>
  </si>
  <si>
    <t>HN01-36</t>
  </si>
  <si>
    <t>Pilot_295</t>
  </si>
  <si>
    <t>Pilot_296</t>
  </si>
  <si>
    <t>Pilot_297</t>
  </si>
  <si>
    <t>HN01-39</t>
  </si>
  <si>
    <t>Pilot_298</t>
  </si>
  <si>
    <t>Relapse Months (Surgery)</t>
  </si>
  <si>
    <t>Survival Months (Surgery)</t>
  </si>
  <si>
    <t>Relapse Months (Adjuvant)</t>
  </si>
  <si>
    <t>Survival Months (Adjuvant)</t>
  </si>
  <si>
    <t>SubjectID</t>
  </si>
  <si>
    <t>Date off Treatment</t>
  </si>
  <si>
    <t>Withdraw Date</t>
  </si>
  <si>
    <t>NA</t>
  </si>
  <si>
    <t>HN01-05</t>
  </si>
  <si>
    <t>HN01-08</t>
  </si>
  <si>
    <t>HN01-48</t>
  </si>
  <si>
    <t>HN01-53</t>
  </si>
  <si>
    <t>HN01-54</t>
  </si>
  <si>
    <t>HN02-04</t>
  </si>
  <si>
    <t>HN03-02</t>
  </si>
  <si>
    <t>HN03-05</t>
  </si>
  <si>
    <t>HN04-06</t>
  </si>
  <si>
    <t>HN04-12</t>
  </si>
  <si>
    <t>HN04-13</t>
  </si>
  <si>
    <t>HN04-15</t>
  </si>
  <si>
    <t>HN04-17</t>
  </si>
  <si>
    <t>HN05-08</t>
  </si>
  <si>
    <t>HN06-03</t>
  </si>
  <si>
    <t>HN06-06</t>
  </si>
  <si>
    <t>HN06-15</t>
  </si>
  <si>
    <t>HN06-16</t>
  </si>
  <si>
    <t>HN06-17</t>
  </si>
  <si>
    <t>HN06-20</t>
  </si>
  <si>
    <t>HN06-21</t>
  </si>
  <si>
    <t>?</t>
  </si>
  <si>
    <t>HN06-22</t>
  </si>
  <si>
    <t>HN06-23</t>
  </si>
  <si>
    <t>HN06-24</t>
  </si>
  <si>
    <t>DFS censor</t>
  </si>
  <si>
    <t>OS censor</t>
  </si>
  <si>
    <t>PD-L1 (0=0, 1=&lt;20, 2=20 and higher</t>
  </si>
  <si>
    <t>Path Responder?</t>
  </si>
  <si>
    <t>Withdrawal Date</t>
  </si>
  <si>
    <t>Original ID</t>
  </si>
  <si>
    <t>HN1501-15 Screen</t>
  </si>
  <si>
    <t>HN150-02 Adj Wk 1</t>
  </si>
  <si>
    <t>HN1501-29 Adj Wk 1</t>
  </si>
  <si>
    <t>HN1501-06 Adj Wk 1</t>
  </si>
  <si>
    <t>HN1501-17 Screen</t>
  </si>
  <si>
    <t>HN1501-36 Screen</t>
  </si>
  <si>
    <t>HN1501-10 Screen</t>
  </si>
  <si>
    <t>HN1501-18 Day 0</t>
  </si>
  <si>
    <t>HN1501-13 Day 0</t>
  </si>
  <si>
    <t>HN1504-04 Day 0</t>
  </si>
  <si>
    <t>HN1501-23 Day 0</t>
  </si>
  <si>
    <t>HN1501-13 Adj Wk 1</t>
  </si>
  <si>
    <t>HN1504-05 Screen</t>
  </si>
  <si>
    <t>HN1501-11 Screen</t>
  </si>
  <si>
    <t>HN1501-19 Adj Wk 1</t>
  </si>
  <si>
    <t>HN1501-22 Screen</t>
  </si>
  <si>
    <t>HN1501-31 Day 0</t>
  </si>
  <si>
    <t>HN1501-28 Adj Wk 1</t>
  </si>
  <si>
    <t>HN1501-12 Screen</t>
  </si>
  <si>
    <t>HN1501-16 Screen</t>
  </si>
  <si>
    <t>HN1501-02 Screen</t>
  </si>
  <si>
    <t>HN1501-04 Day 0</t>
  </si>
  <si>
    <t>HN1501-12 Day 0</t>
  </si>
  <si>
    <t>HN1501-10 Adj Wk 1</t>
  </si>
  <si>
    <t>HN1501-42 Day 0</t>
  </si>
  <si>
    <t>HN1501-17 Day 0</t>
  </si>
  <si>
    <t>HN1504-05 Day 0</t>
  </si>
  <si>
    <t>HN1502-02 Screen</t>
  </si>
  <si>
    <t>HN1501-26 Screen</t>
  </si>
  <si>
    <t>HN1504-07 Adj Wk 1</t>
  </si>
  <si>
    <t>HN1502-03 Screen</t>
  </si>
  <si>
    <t>HN1505-02 Screen</t>
  </si>
  <si>
    <t>HN1504-02 Day 0</t>
  </si>
  <si>
    <t>HN1501-21 Screen</t>
  </si>
  <si>
    <t>HN1501-21 Adj Wk 1</t>
  </si>
  <si>
    <t>HN1501-28 Day 0</t>
  </si>
  <si>
    <t>HN1505-01 Adj Wk 1</t>
  </si>
  <si>
    <t>HN1501-31 Screen</t>
  </si>
  <si>
    <t>HN1501-36 Adj Wk 1</t>
  </si>
  <si>
    <t>HN1501-15 Day 0</t>
  </si>
  <si>
    <t>HN1501-16 Adj Wk 1</t>
  </si>
  <si>
    <t>HN1501-18 Adj Wk 1</t>
  </si>
  <si>
    <t>HN1501-29 Screen</t>
  </si>
  <si>
    <t>HN1501-16 Day 0</t>
  </si>
  <si>
    <t>HN1501-01 Screen</t>
  </si>
  <si>
    <t>HN1501-19 Day 0</t>
  </si>
  <si>
    <t>HN1501-14 Day 0</t>
  </si>
  <si>
    <t>HN1501-01 Adj Wk 1</t>
  </si>
  <si>
    <t>HN1501-07 Screen</t>
  </si>
  <si>
    <t>HN1501-23 Screen</t>
  </si>
  <si>
    <t>HN1502-05 Day 0</t>
  </si>
  <si>
    <t>HN1504-05 Adj Wk 1</t>
  </si>
  <si>
    <t>HN1505-02 Day 0</t>
  </si>
  <si>
    <t>HN1501-19 Screen</t>
  </si>
  <si>
    <t>HN1501-01 Day 0</t>
  </si>
  <si>
    <t>HN1501-11 Adj Wk 1</t>
  </si>
  <si>
    <t>HN1501-14 Adj Wk 1</t>
  </si>
  <si>
    <t>HN1501-39 Day 0</t>
  </si>
  <si>
    <t>HN1501-22 Day 0</t>
  </si>
  <si>
    <t>HN1501-26 Day 0</t>
  </si>
  <si>
    <t>HN1505-02 Adj Wk 1</t>
  </si>
  <si>
    <t>HN1504-07 Screen</t>
  </si>
  <si>
    <t>HN1505-01 Day 0</t>
  </si>
  <si>
    <t>HN1501-24 Adj Wk 1</t>
  </si>
  <si>
    <t>HN1501-18 Screen</t>
  </si>
  <si>
    <t>HN1501-42 Screen</t>
  </si>
  <si>
    <t>HN1501-06 Day 0</t>
  </si>
  <si>
    <t>HN1501-41 Day 0</t>
  </si>
  <si>
    <t>HN1501-41 Screen</t>
  </si>
  <si>
    <t>HN1501-13 Screen</t>
  </si>
  <si>
    <t>HN1501-02 Day 0</t>
  </si>
  <si>
    <t>HN1501-07 Day 0</t>
  </si>
  <si>
    <t>HN1502-05 Screen</t>
  </si>
  <si>
    <t>HN1502-03 Day 0</t>
  </si>
  <si>
    <t>HN1501-04 Screen</t>
  </si>
  <si>
    <t>HN1501-24 Screen</t>
  </si>
  <si>
    <t>HN1501-21 Day 0</t>
  </si>
  <si>
    <t>HN1501-17 Adj Wk 1</t>
  </si>
  <si>
    <t>HN1501-29 Day 0</t>
  </si>
  <si>
    <t>HN1501-28 Screen</t>
  </si>
  <si>
    <t>HN1501-06 Screen</t>
  </si>
  <si>
    <t>HN1501-42 Adj Wk 1</t>
  </si>
  <si>
    <t>HN1501-12 Adj Wk 1</t>
  </si>
  <si>
    <t>HN1501-39 Screen</t>
  </si>
  <si>
    <t>HN1502-03 Adj Wk 1</t>
  </si>
  <si>
    <t>HN1501-02 Adj Wk 1</t>
  </si>
  <si>
    <t>HN1501-36 Day 0</t>
  </si>
  <si>
    <t>HN1501-23 Adj Wk 1</t>
  </si>
  <si>
    <t>HN1501-07 Adj Wk 1</t>
  </si>
  <si>
    <t>HN1502-05 Adj Wk 1</t>
  </si>
  <si>
    <t>HN1501-10 Day 0</t>
  </si>
  <si>
    <t>HN150-02 Day 0</t>
  </si>
  <si>
    <t>HN1501-24 Day 0</t>
  </si>
  <si>
    <t>HN1505-01 Screen</t>
  </si>
  <si>
    <t>HN1501-41 Adj Wk 1</t>
  </si>
  <si>
    <t>HN1501-11 Day 0</t>
  </si>
  <si>
    <t>HN1504-04 Screen</t>
  </si>
  <si>
    <t>HN1504-02 Adj Wk 1</t>
  </si>
  <si>
    <t>HN1504-07 Day 0</t>
  </si>
  <si>
    <t>HN1504-02 Screen</t>
  </si>
  <si>
    <t>HN1501-04 Adj Wk 1</t>
  </si>
  <si>
    <t>HN1501-14 Screen</t>
  </si>
  <si>
    <t>Original.ID</t>
  </si>
  <si>
    <t>Pilot2-1</t>
  </si>
  <si>
    <t>HN1501-27 Screen</t>
  </si>
  <si>
    <t>Pilot2-2</t>
  </si>
  <si>
    <t>HN1501-27 Day 0</t>
  </si>
  <si>
    <t>Pilot2-3</t>
  </si>
  <si>
    <t>HN1501-37 Screen</t>
  </si>
  <si>
    <t>Pilot2-4</t>
  </si>
  <si>
    <t>HN1501-37 Day 0</t>
  </si>
  <si>
    <t>Pilot2-5</t>
  </si>
  <si>
    <t>HN1501-37 Adj Wk 1</t>
  </si>
  <si>
    <t>Pilot2-6</t>
  </si>
  <si>
    <t>HN1501-49 Screen</t>
  </si>
  <si>
    <t>Pilot2-7</t>
  </si>
  <si>
    <t>HN1501-49 Day 0</t>
  </si>
  <si>
    <t>Pilot2-8</t>
  </si>
  <si>
    <t>HN1501-49 Adj Wk 1</t>
  </si>
  <si>
    <t>Pilot2-9</t>
  </si>
  <si>
    <t>HN1501-50 Screen</t>
  </si>
  <si>
    <t>Pilot2-10</t>
  </si>
  <si>
    <t>HN1501-50 Day 0</t>
  </si>
  <si>
    <t>Pilot2-11</t>
  </si>
  <si>
    <t>HN1501-50 Adj Wk 1</t>
  </si>
  <si>
    <t>Pilot2-12</t>
  </si>
  <si>
    <t>HN1501-51 Screen</t>
  </si>
  <si>
    <t>Pilot2-13</t>
  </si>
  <si>
    <t>HN1501-51 Day 0</t>
  </si>
  <si>
    <t>Pilot2-14</t>
  </si>
  <si>
    <t>HN1502-01 Screen</t>
  </si>
  <si>
    <t>Pilot2-15</t>
  </si>
  <si>
    <t>HN1502-01 Day 0</t>
  </si>
  <si>
    <t>Pilot2-16</t>
  </si>
  <si>
    <t>HN1502-06 Screen</t>
  </si>
  <si>
    <t>Pilot2-17</t>
  </si>
  <si>
    <t>HN1502-06 Day 0</t>
  </si>
  <si>
    <t>Pilot2-18</t>
  </si>
  <si>
    <t>HN1502-06 Adj Wk 1</t>
  </si>
  <si>
    <t>Pilot2-19</t>
  </si>
  <si>
    <t>HN1502-07 Screen</t>
  </si>
  <si>
    <t>Pilot2-20</t>
  </si>
  <si>
    <t>HN1502-07 Day 0</t>
  </si>
  <si>
    <t>Pilot2-21</t>
  </si>
  <si>
    <t>HN1502-07 Adj Wk 1</t>
  </si>
  <si>
    <t>Pilot2-22</t>
  </si>
  <si>
    <t>HN1503-01 Screen</t>
  </si>
  <si>
    <t>Pilot2-23</t>
  </si>
  <si>
    <t>HN1503-01 Day 0</t>
  </si>
  <si>
    <t>Pilot2-24</t>
  </si>
  <si>
    <t>HN1503-01 Adj Wk 1</t>
  </si>
  <si>
    <t>Pilot2-25</t>
  </si>
  <si>
    <t>HN1503-03 Screen</t>
  </si>
  <si>
    <t>Pilot2-26</t>
  </si>
  <si>
    <t>HN1503-03 Day 0</t>
  </si>
  <si>
    <t>Pilot2-27</t>
  </si>
  <si>
    <t>HN1503-03 Adj Wk 1</t>
  </si>
  <si>
    <t>Pilot2-28</t>
  </si>
  <si>
    <t>HN1503-04 Screen</t>
  </si>
  <si>
    <t>Pilot2-29</t>
  </si>
  <si>
    <t>HN1503-04 Adj Wk 1</t>
  </si>
  <si>
    <t>Pilot2-30</t>
  </si>
  <si>
    <t>HN1504-01 Screen</t>
  </si>
  <si>
    <t>Pilot2-31</t>
  </si>
  <si>
    <t>HN1504-01 Adj Wk 1</t>
  </si>
  <si>
    <t>Pilot2-32</t>
  </si>
  <si>
    <t>HN1504-06 Screen</t>
  </si>
  <si>
    <t>Pilot2-33</t>
  </si>
  <si>
    <t>HN1504-06 Day 0</t>
  </si>
  <si>
    <t>Pilot2-34</t>
  </si>
  <si>
    <t>HN1504-08 Screen</t>
  </si>
  <si>
    <t>Pilot2-35</t>
  </si>
  <si>
    <t>HN1504-08 Adj Wk 1</t>
  </si>
  <si>
    <t>Pilot2-36</t>
  </si>
  <si>
    <t>HN1504-09 Screen</t>
  </si>
  <si>
    <t>Pilot2-37</t>
  </si>
  <si>
    <t>HN1504-09 Day 0</t>
  </si>
  <si>
    <t>Pilot2-38</t>
  </si>
  <si>
    <t>HN1504-09 Adj Wk 1</t>
  </si>
  <si>
    <t>Pilot2-39</t>
  </si>
  <si>
    <t>HN1504-10 Screen</t>
  </si>
  <si>
    <t>Pilot2-40</t>
  </si>
  <si>
    <t>HN1504-10 Day 0</t>
  </si>
  <si>
    <t>Pilot2-41</t>
  </si>
  <si>
    <t>HN1504-10 Adj Wk 1</t>
  </si>
  <si>
    <t>Pilot2-42</t>
  </si>
  <si>
    <t>HN1504-11 Screen</t>
  </si>
  <si>
    <t>Pilot2-43</t>
  </si>
  <si>
    <t>HN1504-11 Day 0</t>
  </si>
  <si>
    <t>Pilot2-44</t>
  </si>
  <si>
    <t>HN1504-11 Adj Wk 1</t>
  </si>
  <si>
    <t>Pilot2-45</t>
  </si>
  <si>
    <t>HN1504-14 Screen</t>
  </si>
  <si>
    <t>Pilot2-46</t>
  </si>
  <si>
    <t>HN1504-14 Adj Wk 1</t>
  </si>
  <si>
    <t>Pilot2-47</t>
  </si>
  <si>
    <t>HN1504-16 Screen</t>
  </si>
  <si>
    <t>Pilot2-48</t>
  </si>
  <si>
    <t>HN1504-16 Day 0</t>
  </si>
  <si>
    <t>Pilot2-49</t>
  </si>
  <si>
    <t>HN1505-03 Screen</t>
  </si>
  <si>
    <t>Pilot2-50</t>
  </si>
  <si>
    <t>HN1505-03 Day 0</t>
  </si>
  <si>
    <t>Pilot2-51</t>
  </si>
  <si>
    <t>HN1505-05 Screen</t>
  </si>
  <si>
    <t>Pilot2-52</t>
  </si>
  <si>
    <t>HN1505-05 Day 0</t>
  </si>
  <si>
    <t>Pilot2-53</t>
  </si>
  <si>
    <t>HN1505-05 Adj Wk 1</t>
  </si>
  <si>
    <t>Pilot2-54</t>
  </si>
  <si>
    <t>HN1505-06 Screen</t>
  </si>
  <si>
    <t>Pilot2-55</t>
  </si>
  <si>
    <t>HN1505-06 Day 0</t>
  </si>
  <si>
    <t>Pilot2-56</t>
  </si>
  <si>
    <t>HN1505-06 Adj Wk 1</t>
  </si>
  <si>
    <t>Pilot2-57</t>
  </si>
  <si>
    <t>HN1505-09 Screen</t>
  </si>
  <si>
    <t>Pilot2-58</t>
  </si>
  <si>
    <t>HN1505-09 Day 0</t>
  </si>
  <si>
    <t>Pilot2-59</t>
  </si>
  <si>
    <t>HN1505-09 Adj Wk 1</t>
  </si>
  <si>
    <t>Pilot2-60</t>
  </si>
  <si>
    <t>HN1505-11 Screen</t>
  </si>
  <si>
    <t>Pilot2-61</t>
  </si>
  <si>
    <t>HN1505-11 Day 0</t>
  </si>
  <si>
    <t>Pilot2-62</t>
  </si>
  <si>
    <t>HN1505-11 Adj Wk 1</t>
  </si>
  <si>
    <t>Pilot2-63</t>
  </si>
  <si>
    <t>HN1506-01 Screen</t>
  </si>
  <si>
    <t>Pilot2-64</t>
  </si>
  <si>
    <t>HN1506-01 Adj Wk 1</t>
  </si>
  <si>
    <t>Pilot2-65</t>
  </si>
  <si>
    <t>HN1506-02 Screen</t>
  </si>
  <si>
    <t>Pilot2-66</t>
  </si>
  <si>
    <t>HN1506-02 Day 0</t>
  </si>
  <si>
    <t>Pilot2-67</t>
  </si>
  <si>
    <t>HN1506-02 Adj Wk 1</t>
  </si>
  <si>
    <t>Pilot2-68</t>
  </si>
  <si>
    <t>HN1506-04 Screen</t>
  </si>
  <si>
    <t>Pilot2-69</t>
  </si>
  <si>
    <t>HN1506-04 Day 0</t>
  </si>
  <si>
    <t>Pilot2-70</t>
  </si>
  <si>
    <t>HN1506-04 Adj Wk 1</t>
  </si>
  <si>
    <t>Pilot2-71</t>
  </si>
  <si>
    <t>HN1506-05 Screen</t>
  </si>
  <si>
    <t>Pilot2-72</t>
  </si>
  <si>
    <t>HN1506-05 Day 0</t>
  </si>
  <si>
    <t>Pilot2-73</t>
  </si>
  <si>
    <t>HN1506-06 Screen</t>
  </si>
  <si>
    <t>Pilot2-74</t>
  </si>
  <si>
    <t>HN1506-06 Day 0</t>
  </si>
  <si>
    <t>Pilot2-75</t>
  </si>
  <si>
    <t>HN1506-08 Screen</t>
  </si>
  <si>
    <t>Pilot2-76</t>
  </si>
  <si>
    <t>HN1506-08 Day 0</t>
  </si>
  <si>
    <t>Pilot2-77</t>
  </si>
  <si>
    <t>HN1506-08 Adj Wk 1</t>
  </si>
  <si>
    <t>Pilot2-78</t>
  </si>
  <si>
    <t>HN1506-09 Screen</t>
  </si>
  <si>
    <t>Pilot2-79</t>
  </si>
  <si>
    <t>HN1506-09 Day 0</t>
  </si>
  <si>
    <t>Pilot2-80</t>
  </si>
  <si>
    <t>HN1506-13 Screen</t>
  </si>
  <si>
    <t>Pilot2-81</t>
  </si>
  <si>
    <t>HN1506-13 Day 0</t>
  </si>
  <si>
    <t>Pilot2-82</t>
  </si>
  <si>
    <t>HN1506-14 Screen</t>
  </si>
  <si>
    <t>Pilot2-83</t>
  </si>
  <si>
    <t>HN1506-14 Day 0</t>
  </si>
  <si>
    <t>Pilot2-84</t>
  </si>
  <si>
    <t>HN1506-15 Screen</t>
  </si>
  <si>
    <t>Pilot2-85</t>
  </si>
  <si>
    <t>HN1506-15 Day 0</t>
  </si>
  <si>
    <t>Pilot2-86</t>
  </si>
  <si>
    <t>HN1506-18 Screen</t>
  </si>
  <si>
    <t>Pilot2-87</t>
  </si>
  <si>
    <t>HN1506-18 Day 0</t>
  </si>
  <si>
    <t>Pilot2-88</t>
  </si>
  <si>
    <t>HN1506-18 Adj Wk 1</t>
  </si>
  <si>
    <t>Pilot2-89</t>
  </si>
  <si>
    <t>HN1506-19 Screen</t>
  </si>
  <si>
    <t>Pilot2-90</t>
  </si>
  <si>
    <t>HN1506-19 Day 0</t>
  </si>
  <si>
    <t>Pilot2-91</t>
  </si>
  <si>
    <t>HN1506-20 Screen</t>
  </si>
  <si>
    <t>Pilot2-92</t>
  </si>
  <si>
    <t>HN1506-20 Day 0</t>
  </si>
  <si>
    <t>ID Processed</t>
  </si>
  <si>
    <t>OGID Processed</t>
  </si>
  <si>
    <t>Pilot2_1</t>
  </si>
  <si>
    <t>Pilot2_2</t>
  </si>
  <si>
    <t>Pilot2_32</t>
  </si>
  <si>
    <t>Pilot2_33</t>
  </si>
  <si>
    <t>Pilot2_73</t>
  </si>
  <si>
    <t>Pilot2_74</t>
  </si>
  <si>
    <t>Pilot2_84</t>
  </si>
  <si>
    <t>Pilot2_85</t>
  </si>
  <si>
    <t>Pilot2_91</t>
  </si>
  <si>
    <t>Pilot2_92</t>
  </si>
  <si>
    <t>HN1501-22 Adj Wk 1</t>
  </si>
  <si>
    <t>Caris Testing</t>
  </si>
  <si>
    <t>HR Features</t>
  </si>
  <si>
    <t>ProtocolGroup</t>
  </si>
  <si>
    <t>High Risk</t>
  </si>
  <si>
    <t>Primary Disease Site</t>
  </si>
  <si>
    <t>ClinicalStage</t>
  </si>
  <si>
    <t>ClinT</t>
  </si>
  <si>
    <t>ClinN</t>
  </si>
  <si>
    <t>ClinM</t>
  </si>
  <si>
    <t>P16 Positive?</t>
  </si>
  <si>
    <t>ECOG</t>
  </si>
  <si>
    <t>Path_Response</t>
  </si>
  <si>
    <t>PDL1_Status</t>
  </si>
  <si>
    <t>ECS</t>
  </si>
  <si>
    <t>Positive</t>
  </si>
  <si>
    <t>CloseMargins</t>
  </si>
  <si>
    <t>PNI</t>
  </si>
  <si>
    <t>LVI</t>
  </si>
  <si>
    <t>&gt;5 Lymphnodes</t>
  </si>
  <si>
    <t>Treatment Effect</t>
  </si>
  <si>
    <t>PathStage</t>
  </si>
  <si>
    <t>PathT</t>
  </si>
  <si>
    <t>PathN</t>
  </si>
  <si>
    <t>PathM</t>
  </si>
  <si>
    <t>PathResponse</t>
  </si>
  <si>
    <t>%Remaining Viable Tumor</t>
  </si>
  <si>
    <t>ResponseCategory</t>
  </si>
  <si>
    <t>Oral Cavity</t>
  </si>
  <si>
    <t>T3 or T4</t>
  </si>
  <si>
    <t>N0</t>
  </si>
  <si>
    <t>M0</t>
  </si>
  <si>
    <t>N1</t>
  </si>
  <si>
    <t>N2</t>
  </si>
  <si>
    <t>T3N3bM0</t>
  </si>
  <si>
    <t>N3b</t>
  </si>
  <si>
    <t>N3</t>
  </si>
  <si>
    <t>T1 or T2</t>
  </si>
  <si>
    <t>T1N0M0</t>
  </si>
  <si>
    <t>N2a or N2b</t>
  </si>
  <si>
    <t>T4aN0MX</t>
  </si>
  <si>
    <t>Mx</t>
  </si>
  <si>
    <t>TxN3bM0</t>
  </si>
  <si>
    <t>Tx</t>
  </si>
  <si>
    <t>T1N3b</t>
  </si>
  <si>
    <t>T4aN3bM0</t>
  </si>
  <si>
    <t>N2c</t>
  </si>
  <si>
    <t>only 2mm tumor remaining</t>
  </si>
  <si>
    <t>T0N0M0</t>
  </si>
  <si>
    <t>T0</t>
  </si>
  <si>
    <t>T0N1M0</t>
  </si>
  <si>
    <t>50-60%</t>
  </si>
  <si>
    <t>T4N0M0</t>
  </si>
  <si>
    <t>T2N3bM0</t>
  </si>
  <si>
    <t>T2N0M0</t>
  </si>
  <si>
    <t>T1N2b</t>
  </si>
  <si>
    <t>pT3N0</t>
  </si>
  <si>
    <t>&gt; 95%</t>
  </si>
  <si>
    <t>T4aN0</t>
  </si>
  <si>
    <t xml:space="preserve">High </t>
  </si>
  <si>
    <t>T4aN3b</t>
  </si>
  <si>
    <t>Oropharynx</t>
  </si>
  <si>
    <t>T2N3b</t>
  </si>
  <si>
    <t>T4aN0Mx</t>
  </si>
  <si>
    <t>T4aN3</t>
  </si>
  <si>
    <t>pT4bN3</t>
  </si>
  <si>
    <t>pT4apN2b</t>
  </si>
  <si>
    <t>0-5%</t>
  </si>
  <si>
    <t>cT4N2aM0</t>
  </si>
  <si>
    <t>pT4aN2aMX</t>
  </si>
  <si>
    <t>pT4aN3</t>
  </si>
  <si>
    <t>Nx</t>
  </si>
  <si>
    <t>T4N1Mx</t>
  </si>
  <si>
    <t>pT3N3b</t>
  </si>
  <si>
    <t>pT4aN3bM0</t>
  </si>
  <si>
    <t>Larynx</t>
  </si>
  <si>
    <t>Hypopharynx</t>
  </si>
  <si>
    <t>ypt2pn2b</t>
  </si>
  <si>
    <t>T4aN2c</t>
  </si>
  <si>
    <t>T3N1</t>
  </si>
  <si>
    <t>&gt;90%</t>
  </si>
  <si>
    <t>pT4aN0M0</t>
  </si>
  <si>
    <t>pT2N3bM0</t>
  </si>
  <si>
    <t>30-40%</t>
  </si>
  <si>
    <t>T3N3bMx</t>
  </si>
  <si>
    <t>cT4aN2bM0</t>
  </si>
  <si>
    <t>pT4aN3b</t>
  </si>
  <si>
    <t>pT4aN1M0</t>
  </si>
  <si>
    <t>T4aN1</t>
  </si>
  <si>
    <t>pT4BN3b</t>
  </si>
  <si>
    <t>T2N3bMx</t>
  </si>
  <si>
    <t>85-90%</t>
  </si>
  <si>
    <t>pT3N2a</t>
  </si>
  <si>
    <t>pT3N3bMx</t>
  </si>
  <si>
    <t>T3N3M0</t>
  </si>
  <si>
    <t>T4aN2b</t>
  </si>
  <si>
    <t>T4bN3M0</t>
  </si>
  <si>
    <t>T4aN2bMo</t>
  </si>
  <si>
    <t>T4bN2b</t>
  </si>
  <si>
    <t>T4bN0</t>
  </si>
  <si>
    <t>Novogene_Order</t>
  </si>
  <si>
    <t>NovogeneID</t>
  </si>
  <si>
    <t>Original Order</t>
  </si>
  <si>
    <t>Diagnose</t>
  </si>
  <si>
    <t>batch</t>
  </si>
  <si>
    <t>Patient #</t>
  </si>
  <si>
    <t>Smoking (&gt;10pk per year)</t>
  </si>
  <si>
    <t>Alcohol (&gt;5 drinks per week)</t>
  </si>
  <si>
    <t>Date of Initial Diagnosis</t>
  </si>
  <si>
    <t>Histology Grade</t>
  </si>
  <si>
    <t>ECOG Performace Status</t>
  </si>
  <si>
    <t>% Tx Response</t>
  </si>
  <si>
    <t>cfDNA concentration (ng/uL)</t>
  </si>
  <si>
    <t>cfDNA volume (uL)</t>
  </si>
  <si>
    <t>need volume (uL)</t>
  </si>
  <si>
    <t>add low TE</t>
  </si>
  <si>
    <t>pool volume</t>
  </si>
  <si>
    <t>i5 NOVASeq</t>
  </si>
  <si>
    <t>P2B1-53</t>
  </si>
  <si>
    <t>HN1501-27</t>
  </si>
  <si>
    <t>Well Differentiated</t>
  </si>
  <si>
    <t>&lt;0.1</t>
  </si>
  <si>
    <t>UDI0201</t>
  </si>
  <si>
    <t>ACATCACC</t>
  </si>
  <si>
    <t>GTTCTGGA</t>
  </si>
  <si>
    <t>P2B2-2</t>
  </si>
  <si>
    <t>UDI0205</t>
  </si>
  <si>
    <t>ATAAGGCT</t>
  </si>
  <si>
    <t>AATGTGGC</t>
  </si>
  <si>
    <t>P2B1-54</t>
  </si>
  <si>
    <t>HN1501-37</t>
  </si>
  <si>
    <t>0- Fully active without restriction</t>
  </si>
  <si>
    <t>P2B2-23</t>
  </si>
  <si>
    <t>P2B1-14</t>
  </si>
  <si>
    <t>P2B2-8</t>
  </si>
  <si>
    <t>HN1501-49</t>
  </si>
  <si>
    <t>Moderately Differentiated</t>
  </si>
  <si>
    <t>1- Activity restricted; ambulatory; "light work only"</t>
  </si>
  <si>
    <t>P2B2-18</t>
  </si>
  <si>
    <t>P2B2-12</t>
  </si>
  <si>
    <t>P2B1-5</t>
  </si>
  <si>
    <t>HN1501-50</t>
  </si>
  <si>
    <t>P2B1-15</t>
  </si>
  <si>
    <t>P2B1-8</t>
  </si>
  <si>
    <t>P2B2-7</t>
  </si>
  <si>
    <t>HN1501-51</t>
  </si>
  <si>
    <t>P2B1-16</t>
  </si>
  <si>
    <t>P2B2-16</t>
  </si>
  <si>
    <t>HN1502-01</t>
  </si>
  <si>
    <t>Poorly Differentiated</t>
  </si>
  <si>
    <t>P2B1-26</t>
  </si>
  <si>
    <t>P2B2-53</t>
  </si>
  <si>
    <t>HN1502-06</t>
  </si>
  <si>
    <t>Other</t>
  </si>
  <si>
    <t>P2B1-40</t>
  </si>
  <si>
    <t>P2B2-24</t>
  </si>
  <si>
    <t>P2B1-30</t>
  </si>
  <si>
    <t>HN1502-07</t>
  </si>
  <si>
    <t>P2B2-38</t>
  </si>
  <si>
    <t>P2B2-35</t>
  </si>
  <si>
    <t>P2B2-55</t>
  </si>
  <si>
    <t>HN1503-01</t>
  </si>
  <si>
    <t>P2B1-50</t>
  </si>
  <si>
    <t>P2B2-54</t>
  </si>
  <si>
    <t>P2B1-31</t>
  </si>
  <si>
    <t>HN1503-03</t>
  </si>
  <si>
    <t>P2B2-45</t>
  </si>
  <si>
    <t>P2B2-37</t>
  </si>
  <si>
    <t>P2B2-42</t>
  </si>
  <si>
    <t>hypopharynx Tumor</t>
  </si>
  <si>
    <t>HN1503-04</t>
  </si>
  <si>
    <t>hypopharynx</t>
  </si>
  <si>
    <t>P2B1-41</t>
  </si>
  <si>
    <t>P2B1-36</t>
  </si>
  <si>
    <t>HN1504-01</t>
  </si>
  <si>
    <t>P2B1-20</t>
  </si>
  <si>
    <t>P2B2-9</t>
  </si>
  <si>
    <t>HN1504-06</t>
  </si>
  <si>
    <t>P2B1-45</t>
  </si>
  <si>
    <t>P2B1-37</t>
  </si>
  <si>
    <t>HN1504-08</t>
  </si>
  <si>
    <t>P2B1-28</t>
  </si>
  <si>
    <t>P2B1-51</t>
  </si>
  <si>
    <t>HN1504-09</t>
  </si>
  <si>
    <t>P2B2-11</t>
  </si>
  <si>
    <t>P2B2-27</t>
  </si>
  <si>
    <t>P2B2-33</t>
  </si>
  <si>
    <t>HN1504-10</t>
  </si>
  <si>
    <t>P2B1-27</t>
  </si>
  <si>
    <t>P2B1-22</t>
  </si>
  <si>
    <t>P2B1-44</t>
  </si>
  <si>
    <t>HN1504-11</t>
  </si>
  <si>
    <t>P2B1-38</t>
  </si>
  <si>
    <t>P2B2-19</t>
  </si>
  <si>
    <t>P2B2-17</t>
  </si>
  <si>
    <t>HN1504-14</t>
  </si>
  <si>
    <t>P2B1-17</t>
  </si>
  <si>
    <t>P2B1-18</t>
  </si>
  <si>
    <t>HN1504-16</t>
  </si>
  <si>
    <t>P2B1-24</t>
  </si>
  <si>
    <t>P2B1-19</t>
  </si>
  <si>
    <t>HN1505-03</t>
  </si>
  <si>
    <t>P2B2-34</t>
  </si>
  <si>
    <t>P2B2-46</t>
  </si>
  <si>
    <t>HN1505-05</t>
  </si>
  <si>
    <t>P2B1-32</t>
  </si>
  <si>
    <t>P2B2-40</t>
  </si>
  <si>
    <t>P2B1-11</t>
  </si>
  <si>
    <t>HN1505-06</t>
  </si>
  <si>
    <t>Moderately-Poorly Differentiated</t>
  </si>
  <si>
    <t>P2B2-31</t>
  </si>
  <si>
    <t>P2B1-49</t>
  </si>
  <si>
    <t>P2B2-28</t>
  </si>
  <si>
    <t>HN1505-09</t>
  </si>
  <si>
    <t>P2B1-25</t>
  </si>
  <si>
    <t>P2B1-9</t>
  </si>
  <si>
    <t>P2B1-21</t>
  </si>
  <si>
    <t>HN1505-11</t>
  </si>
  <si>
    <t>P2B2-21</t>
  </si>
  <si>
    <t>P2B2-5</t>
  </si>
  <si>
    <t>P2B1-48</t>
  </si>
  <si>
    <t>HN1506-01</t>
  </si>
  <si>
    <t>P2B1-52</t>
  </si>
  <si>
    <t>P2B1-47</t>
  </si>
  <si>
    <t>HN1506-02</t>
  </si>
  <si>
    <t>P2B2-52</t>
  </si>
  <si>
    <t>P2B1-46</t>
  </si>
  <si>
    <t>P2B1-35</t>
  </si>
  <si>
    <t>HN1506-04</t>
  </si>
  <si>
    <t>P2B2-36</t>
  </si>
  <si>
    <t>P2B1-43</t>
  </si>
  <si>
    <t>P2B2-20</t>
  </si>
  <si>
    <t>HN1506-05</t>
  </si>
  <si>
    <t>P2B1-39</t>
  </si>
  <si>
    <t>P2B2-50</t>
  </si>
  <si>
    <t>HN1506-06</t>
  </si>
  <si>
    <t>T4a, N2b</t>
  </si>
  <si>
    <t>P2B2-51</t>
  </si>
  <si>
    <t>P2B2-44</t>
  </si>
  <si>
    <t>HN1506-08</t>
  </si>
  <si>
    <t>P2B2-48</t>
  </si>
  <si>
    <t>P2B2-41</t>
  </si>
  <si>
    <t>P2B1-3</t>
  </si>
  <si>
    <t>HN1506-09</t>
  </si>
  <si>
    <t>P2B2-22</t>
  </si>
  <si>
    <t>P2B2-26</t>
  </si>
  <si>
    <t>HN1506-13</t>
  </si>
  <si>
    <t>P2B2-39</t>
  </si>
  <si>
    <t>P2B2-14</t>
  </si>
  <si>
    <t>HN1506-14</t>
  </si>
  <si>
    <t>P2B2-32</t>
  </si>
  <si>
    <t>P2B1-42</t>
  </si>
  <si>
    <t>HN1506-15</t>
  </si>
  <si>
    <t>T4 N2C M0</t>
  </si>
  <si>
    <t>P2B1-33</t>
  </si>
  <si>
    <t>P2B2-47</t>
  </si>
  <si>
    <t>P2B2-30</t>
  </si>
  <si>
    <t>HN1506-18</t>
  </si>
  <si>
    <t>P2B2-49</t>
  </si>
  <si>
    <t>P2B1-34</t>
  </si>
  <si>
    <t>HN1506-19</t>
  </si>
  <si>
    <t>P2B2-43</t>
  </si>
  <si>
    <t>P2B2-29</t>
  </si>
  <si>
    <t>HN1506-20</t>
  </si>
  <si>
    <t>UDI0244</t>
  </si>
  <si>
    <t>TCCAGGTA</t>
  </si>
  <si>
    <t>GCTCCAGT</t>
  </si>
  <si>
    <t>P2B1-29</t>
  </si>
  <si>
    <t>cfDNA_isolation_date</t>
  </si>
  <si>
    <t>WGS_library_prep_date</t>
  </si>
  <si>
    <t>BOLD IS INELIGIBLE DUE TO INCORRET STAGING OR NO SURGERY OR WITHDREW</t>
  </si>
  <si>
    <t>PerProtocol</t>
  </si>
  <si>
    <t>Neo Window</t>
  </si>
  <si>
    <t>Neo Win wks</t>
  </si>
  <si>
    <t>wk4 pembro</t>
  </si>
  <si>
    <t>wk7 pembro</t>
  </si>
  <si>
    <t>wk 10 pembro</t>
  </si>
  <si>
    <t>wk 13 pembro</t>
  </si>
  <si>
    <t>wk 16 pembro</t>
  </si>
  <si>
    <t>Relapse Mo</t>
  </si>
  <si>
    <t>Surv Mos</t>
  </si>
  <si>
    <t>Not given</t>
  </si>
  <si>
    <t>Missed</t>
  </si>
  <si>
    <t>*changed back to original</t>
  </si>
  <si>
    <t>Refused</t>
  </si>
  <si>
    <t>Held</t>
  </si>
  <si>
    <t>*Changed to Ben Assessment</t>
  </si>
  <si>
    <t>OLD Last Known Alive</t>
  </si>
  <si>
    <t>OLD Date of Recurrence</t>
  </si>
  <si>
    <t>OLD Date of Death</t>
  </si>
  <si>
    <t>OLD E_Relapse</t>
  </si>
  <si>
    <t>OLD E_Survival</t>
  </si>
  <si>
    <t>OLD Relapse Months (Surgery)</t>
  </si>
  <si>
    <t>OLD Survival Months (Surgery)</t>
  </si>
  <si>
    <t>OLD Relapse Months (Adjuvant)</t>
  </si>
  <si>
    <t>OLD Survival Months (Adjuvant)</t>
  </si>
  <si>
    <t>Record ID</t>
  </si>
  <si>
    <t>Event Name</t>
  </si>
  <si>
    <t>Repeat Instrument</t>
  </si>
  <si>
    <t>Repeat Instance</t>
  </si>
  <si>
    <t>Data Access Group</t>
  </si>
  <si>
    <t>Age at Study Entry</t>
  </si>
  <si>
    <t>Clinical Disease Stage at Entry  (clinical TNM)</t>
  </si>
  <si>
    <t>HPV Positive (by in situ)</t>
  </si>
  <si>
    <t>Patient meet eligibility criteria?</t>
  </si>
  <si>
    <t>Visit 2 (Screening/D-22 to -7)</t>
  </si>
  <si>
    <t>UC</t>
  </si>
  <si>
    <t>HN01-03</t>
  </si>
  <si>
    <t>2- Ambulatory; all self-care; no work activities; up &lt; 50% of waking hours</t>
  </si>
  <si>
    <t>T2N1M0</t>
  </si>
  <si>
    <t>1- Activity restricted; ambulatory; 'light work only'</t>
  </si>
  <si>
    <t>HN01-09</t>
  </si>
  <si>
    <t>T4N3M0</t>
  </si>
  <si>
    <t>in situ</t>
  </si>
  <si>
    <t>Not graded in Pathology Report</t>
  </si>
  <si>
    <t>HN01-33</t>
  </si>
  <si>
    <t>T3</t>
  </si>
  <si>
    <t>well to moderately differentiated</t>
  </si>
  <si>
    <t>Well to Moderately Differentiated</t>
  </si>
  <si>
    <t>OSU</t>
  </si>
  <si>
    <t>A. Left retromolar trigone, oral cavity biopsy: - Squamous cell carcinoma, at least in situ, see comment Comment: The proliferation is in part papillary. There is a suggestion of stromal invasion.</t>
  </si>
  <si>
    <t>MUSC</t>
  </si>
  <si>
    <t>Michigan</t>
  </si>
  <si>
    <t>T4a N0 M0</t>
  </si>
  <si>
    <t>III T4a N0 M0</t>
  </si>
  <si>
    <t>T3N1M0, stage III</t>
  </si>
  <si>
    <t>T4a N2b M0</t>
  </si>
  <si>
    <t xml:space="preserve"> T4a N2c M0. </t>
  </si>
  <si>
    <t>cT4,N2b, M0</t>
  </si>
  <si>
    <t xml:space="preserve"> T4 N0 M0</t>
  </si>
  <si>
    <t>Louisville</t>
  </si>
  <si>
    <t>MD Anderson</t>
  </si>
  <si>
    <t>Invasive squamous cell carcinoma with verrucoid features.</t>
  </si>
  <si>
    <t xml:space="preserve">T4aN2bM0 </t>
  </si>
  <si>
    <t xml:space="preserve">T4a, N2b </t>
  </si>
  <si>
    <t>HN06-11</t>
  </si>
  <si>
    <t xml:space="preserve"> L buccal mucosa </t>
  </si>
  <si>
    <t>Squamous carcinoma T2N0</t>
  </si>
  <si>
    <t xml:space="preserve">Unknown </t>
  </si>
  <si>
    <t>T4a N2cMo</t>
  </si>
  <si>
    <t>T4a N2bMo</t>
  </si>
  <si>
    <t>microscopic clusters of squamous carcinoma in background of necrotic tissue</t>
  </si>
  <si>
    <t>Squamous cell carcinoma in situ.</t>
  </si>
  <si>
    <t>ECS (Extracapular Spread)</t>
  </si>
  <si>
    <t>Positive Margins (on ink)?</t>
  </si>
  <si>
    <t>Visit Date</t>
  </si>
  <si>
    <t>Date of Tissue Submission</t>
  </si>
  <si>
    <t>Reason Sample was not collected</t>
  </si>
  <si>
    <t>If 'other' is selected for reason tissue was not collected, please explain in comments section.</t>
  </si>
  <si>
    <t>Please list in the comments if the tissue was a fresh or archival sample, and the number of slides sent.</t>
  </si>
  <si>
    <t>Comments</t>
  </si>
  <si>
    <t>Complete?</t>
  </si>
  <si>
    <t>Surgical Pathological Stage (8th edition)  (pathological TNM)</t>
  </si>
  <si>
    <t>Visit 4 (Surgery)</t>
  </si>
  <si>
    <t>fresh</t>
  </si>
  <si>
    <t>Complete</t>
  </si>
  <si>
    <t>archival tissue collected on slides from 3/31/2016 biopsy (slides requested on 5/6/2016)</t>
  </si>
  <si>
    <t>T3N3b</t>
  </si>
  <si>
    <t>per dr mark note, treatment effect present</t>
  </si>
  <si>
    <t>Block- cut into 20 slides by UC pathologist</t>
  </si>
  <si>
    <t>treatment effect per dr mark</t>
  </si>
  <si>
    <t>T1N0</t>
  </si>
  <si>
    <t>Fresh tissue</t>
  </si>
  <si>
    <t xml:space="preserve">archival   20 slides </t>
  </si>
  <si>
    <t xml:space="preserve">archival  20 slides to TWD lab  </t>
  </si>
  <si>
    <t>20 archival slides requested from UK on 8/23/17</t>
  </si>
  <si>
    <t>fresh tissue collected during surgery</t>
  </si>
  <si>
    <t>fresh RPMI</t>
  </si>
  <si>
    <t>Complete response</t>
  </si>
  <si>
    <t>T0N0</t>
  </si>
  <si>
    <t>Tissue in fresh media and given to hannah from conforti lab</t>
  </si>
  <si>
    <t>T0N1</t>
  </si>
  <si>
    <t>Tissue in fresh media and given to Hannah from Conforti lab</t>
  </si>
  <si>
    <t>Pathological staging is 8th edition</t>
  </si>
  <si>
    <t>Tumor resected in fresh media and given to hannah from conforti lab</t>
  </si>
  <si>
    <t>Fresh tissue in media to conforti lab</t>
  </si>
  <si>
    <t>Fresh tissue was collected and given to conforti lab</t>
  </si>
  <si>
    <t>fresh tumor tissue from resection</t>
  </si>
  <si>
    <t>T2N0</t>
  </si>
  <si>
    <t>fresh in RPMI</t>
  </si>
  <si>
    <t>FRESH IN RPMI</t>
  </si>
  <si>
    <t>FRESH</t>
  </si>
  <si>
    <t>fresh tissue given to Conforti lab. extra tissue taken for TIL study at TWD lab. sd</t>
  </si>
  <si>
    <t>HN01-27</t>
  </si>
  <si>
    <t xml:space="preserve">0.5 cubic cm fresh tumor tissue collected from resection today for correlative studies per protocol.  Transferred in RPMI to corresponding research lab staff.  </t>
  </si>
  <si>
    <t>fresh tumor tissue, 2x0.5cm3 chunks  TIL fresh in RPMI to TWD lab  Day 0 fresh in RPMI to Conforti lab</t>
  </si>
  <si>
    <t>14 fresh slides</t>
  </si>
  <si>
    <t>tissue slides and scrolls were given to TWD lab</t>
  </si>
  <si>
    <t>fresh 10 slides</t>
  </si>
  <si>
    <t>fresh samples 0.5cm3</t>
  </si>
  <si>
    <t>fresh tissue, 0.5cm3</t>
  </si>
  <si>
    <t>15 frozen section slides</t>
  </si>
  <si>
    <t>fresh tissue sample</t>
  </si>
  <si>
    <t xml:space="preserve">Media for fresh tumor tissue sample collection obtained from TWD lab and given to surgical pathology. Fresh tissue obtained from surgical pathology and delivered to TWD lab. See research chart for requisition. </t>
  </si>
  <si>
    <t>fresh tissue</t>
  </si>
  <si>
    <t>Tissue Availability</t>
  </si>
  <si>
    <t>not enough tissue available from surgical pathology on the day of surgery</t>
  </si>
  <si>
    <t>fresh tissue in lab-provided media given to TWD lab on same day of surgery</t>
  </si>
  <si>
    <t>archival  0 slides  baseline: archival block  surgery: archival block</t>
  </si>
  <si>
    <t xml:space="preserve"> ---Final Pathologic Diagnosis---     A.          Proximal right hypoglossal nerve margin, biopsy:  -          Negative For Carcinoma.      B.          Buccal margin, biopsy:  -          Negative For Carcinoma.      C.          Soft palate margin, biopsy:  -          Negative For Carcinoma.      D.          Pharynx margin, biopsy:  -          Negative For Carcinoma.      E.          Lingual nerve margin, biopsy:  -          Negative For Carcinoma.      F.          Base of tongue margin, biopsy:  -          Negative For Carcinoma.      G.          Dorsal tongue margin, biopsy:  -          Negative For Carcinoma.          H.          Deep tongue margin, biopsy:  -          Negative For Carcinoma.      I.          Supraglottic margin, biopsy:  -          Negative For Carcinoma.      J.          Buccal #2 margin, biopsy:  -          Negative For Carcinoma.      K.          Buccal lesion, resection:  -          Acute Mucosal Ulcer.   -          Acute Granulation Tissue.   -          Negative For Carcinoma.      L.          Deep margin, re-resection:   -          Negative For Carcinoma.      M.          Right Tongue, Floor of Mouth, Right Tonsil, Pharynx, and right  Hyoid Bone, resection:  -          Invasive Squamous Cell Carcinoma, Conventional Type, Of Right  Lateral Tongue and Floor of Mouth  see synoptic report.      N.          Right Neck Lymph Nodes, levels I through IV, resection:  -          Level I: Four Benign Lymph Nodes (0/4).   -          Level II: Squamous Cell Carcinoma Metastatic to Five of Thirteen  Lymph Nodes (5/13).   -          Level III: Six Benign Lymph Nodes (0/6).   -          Level IV: Ten Benign Lymph Nodes (0/10).   -          Extranodal Extension:  Present  -          Submandibular Gland, No Pathologic Abnormality.        O.          Low left level, resection:  -          Five Benign Lymph Nodes (0/5).      P.          Left Neck Lymph Nodes, Levels I through IV, resection:  -          Level I: One Benign Lymph Node (0/1).   -          Level II: Five Benign Lymph Nodes (0/5).   -          Level III: Four Benign Lymph Nodes (0/4).   -          Level IV:  Squamous Cell Carcinoma Metastatic to One of Six  Lymph Nodes (1/6).  -          Extranodal Extension:  Present.    -          Submandibular Gland, No Pathologic Abnormality.        Q.          Teeth, extraction:  -          Teeth [Gross Examination Only].      SYNOPTIC REPORT FOR CANCER OF THE LIP AND ORAL CAVITY:  Specimen type: Right glossectomy with floor of mouth, tonsil, pharynx, and  buccal mucosa resection; bilateral neck dissection   Tumor focality: single focus  Tumor site: right postero-lateral tongue, floor of mouth   Tumor size:   8.3 x 4.9 x 3.5 cm.  Tumor gross configuration: endophytic  Histologic type: squamous carcinoma, conventional type   Tumor grade:  3 of 3, poorly-differentiated  Depth of Invasion:  3.5 cm.   Lymphatic/vascular invasion:  absent   Perineural invasion:  present   Tumor extent:    Intramucosal lesion:  absent     Deep soft tissues: (invasion of bone, deep muscle of tongue, maxillary  sinus, skin):  positive  Margins:    Main specimen margins:   carcinoma is present at the inked lateral and  medial soft tissue edges which are not true margins.     Additional separately submitted margins (frozen sections):   negative for  carcinoma    Additional resection margins (non-frozen tissue):   negative for  carcinoma  Lymph nodes:    Total number examined: 54    Number positive: 6    Extranodal extension: present    Size of largest positive lymph node: 2.0 cm.  pTNM: T4a N2c </t>
  </si>
  <si>
    <t>baseline: archival block  surgery: archival block</t>
  </si>
  <si>
    <t xml:space="preserve"> ---Final Pathologic Diagnosis---     A.          Buccal margin, biopsy:  -          Focal high grade intraepithelial dysplasia.     B.          Anterior vestibular margin, biopsy:  -          Negative for carcinoma.     C.          Left soft palate margin, biopsy:  -          Focal high grade intraepithelial dysplasia.     D.          Left hard palate margin, biopsy:  -          Negative for carcinoma.     E.          Right hard palate margin, biopsy:  -          Negative for carcinoma.     F.          Lateral superior maxillectomy margin, biopsy:  -          Invasive squamous cell carcinoma.     G.          Buccal fat pad margin, biopsy:  -          Negative for carcinoma.     H.          Re-resection of buccal margin #2, biopsy:  -          Negative for carcinoma.     I.          Left soft palate margin #2, biopsy:  -          High grade intraepithelial dysplasia.         J.          Lateral superior maxilla margin #2, biopsy:  -          Negative for carcinoma.     K.          Floor of mouth margin, biopsy:  -          Negative for carcinoma.     L.          Eustachian tube margin, biopsy:  -          Negative for carcinoma.     M.          Right lateral nasal wall margin, biopsy:  -          Negative for carcinoma.     N.          Infratemporal fossa margin, biopsy:  -          Negative for carcinoma.     O.          Superior maxillary sinus margin, biopsy:  -          Negative for carcinoma.     P.          Lateral pterygoid margin, biopsy:  -          Negative for carcinoma.     Q.          Temporalis margin, biopsy:  -          Negative for carcinoma.     R.          Posterior pharyngeal wall margin, biopsy:  -          Negative for carcinoma.     S.          Left soft palate margin #3, biopsy:  -          Low grade intraepithelial dysplasia.     T.          Teeth, extraction:  -          Gross examination only (See gross description).     U.          Re-resection of left soft palate, biopsy:  -          Negative for carcinoma.     V.          Re-resection of lateral superior maxilla, biopsy:  -          Negative for carcinoma.     W.          Right mandible, right maxilla, hard and soft palate, floor of  mouth, and infratemporal fossa, composite resection:  -          Invasive squamous cell carcinoma (See SYNOPTIC REPORT).  -          Resection margins negative for carcinoma.  -          Closest margin: &lt;0.1cm to superior maxilla bone margin.     X.          Paranasal sinus content, excision:  -          Invasive squamous cell carcinoma.     Y.          Parapharyngeal space, excision:  -          Invasive squamous cell carcinoma.     Z.          Infratemporal fossa, excision:  -          Positive for carcinoma.     AA.          Pterygoid plate, excision:  -          Focally positive for carcinoma.     AB.     Coronoid, biopsy:  -          Negative for carcinoma.     AC.     Right level IIB lymph node, dissection:  -          Metastatic carcinoma involving two lymph nodes (2/2).  -          Extranodal extension present.  -          Size of largest metastatic lymph node: 1.9 cm by gross  description.     AD.     Right SCM, excision:  -          Negative for carcinoma.     AE.     Right level IV, excision:  -          Negative for carcinoma.  -          No lymph node identified.  -          Entirely submitted for microscopic examination.     AF.     Reexcision of buccal margin, biopsy:  -          Negative for carcinoma.     AG.      Right neck lymph nodes, levels I-IV, dissection:  -          Metastatic carcinoma involving twenty-nine of forty-one lymph  nodes (29/41).  -          Size of largest metastatic lymph node: 1.6 cm   -          Extranodal Extension: present (level I-IV)  -          Level I-II: 8/18  -          Level III: 14/15  -          Level IV: 7/8  -          Submandibular gland, negative for carcinoma.          Note:  The part site is amended due to clerical/ typographic error.   It was previously reported as "levels II-IV", and is changed to "levels  I-IV".     AH.     Right high level II, biopsy:  -          Metastatic carcinoma involving one lymph node (1/1).     AI.     Left soft palate re-resection, biopsy:  -          Focal intraepithelial low grade dysplasia.     AJ.     Left level IIB, excision:  -          Twelve lymph nodes negative for metastasis (0/12).     AK.     Left neck lymph nodes, levels I-IV, dissection:  -          Metastatic carcinoma involving one of twenty-two lymph nodes  (1/22).   -          Size of largest metastatic lymph node: 1.5 cm  -          Extranodal Extension: present  -          Level I: 0/7  -          Level II: 1/6  -          Level III: 0/8  -          Level IV: 0/1  -          Submandibular gland, negative for carcinoma.     AL.     Uvula, excision:  -          Negative for carcinoma.        SYNOPTIC REPORT FOR CANCER OF THE LIP AND ORAL CAVITY:  Specimen type: composite resection including the right floor of mouth,  marginal mandible, buccal mucosa, partial maxilla, retromolar trigone, hard  palate, soft palate, pharynx, and infratemporal fossa; bilateral neck  dissection  Tumor focality: single focus  Tumor site: right hard palate  Tumor size: 4.5 x 2.3 x 0.9 cm  Tumor gross configuration: endophytic  Histologic type: squamous cell carcinoma   Tumor grade: moderately differentiated   Depth of Invasion: invading mandible/ maxilla bone and pterygoid plate  Lymphatic/vascular invasion: present  Perineural invasion: present  Tumor extent:    Intramucosal lesion: dysplasia    Deep soft tissues: invading mandible/ maxilla bone and pterygoid plate  Margins:    Main specimen margins: negative    Additional separately submitted margins (frozens): negative    Additional resection margins (non-frozen tissue): negative    Distance of tumor to nearest margin: &lt;0.1 cm to superior maxilla bone  margin in main specimen  Lymph nodes:    Total number examined: 78    Number positive: 33    Extranodal extension: present (right level I-IV, and left level II)    Size of largest positive lymph node: 1.9 cm (right level II)  pTNM: pT4bN2c</t>
  </si>
  <si>
    <t xml:space="preserve"> ---Final Pathologic Diagnosis---     A.          Parotid duct margin, excision:  -          Negative for malignancy     B.          V3 at foramen ovale margin, excision:  -          Nerve, negative for malignancy     C.          Hard palate margin, excision  -          Negative for malignancy     D.          Alveolus margin, excision:  -          Negative for malignancy     E.          Lip margin, excision:  -          Negative for malignancy     F.          Inferior buccal margin, excision:  -          Negative for malignancy     G.          RMT margin, excision:  -          Negative for malignancy         H.          Soft palate margin, excision:  -          Negative for malignancy     I.          Lateral cheek margin, excision:  -          Negative for malignancy     J.          Lateral pterygoid margin, excision  -          Negative for malignancy     K.          Superior buccal margin, excision:  -          Negative for malignancy     L.          Medial pterygoid palatine fossa margin, excision:  -          Negative for malignancy     M.          Eustachian tube margin, excision:  -          Negative for malignancy     N.          Superior periosteum margin, excision:  -          Negative for malignancy     O.          Level IA soft tissue, excision:  -          3 benign lymph nodes (0/3)     P.          Right maxillary bone and buccal mucosa, excision:  -          Invasive keratinizing squamous cell carcinoma, see synoptic  report  -          Margins negative for carcinoma     Q.          Right maxillary sinus contents and inferior turbinate,  excision:  -          Chronic sinusitis  -          Negative for malignancy     R.          Posterior maxillary sinus wall, excision:  -          Squamous cell carcinoma involving sinus soft tissue  -          Bone with degenerative changes      S.          Pterygoid wedge, excision:  -          Squamous cell carcinoma involving bone and soft tissue     T.          Pterygoid space, excision:  -          Fibroadipose tissue, nerve, skeletal muscle, and bone, negative  for malignancy, see comment     U.          V3 nerve, resection:  -          Nerve, negative for malignancy     V.          Right neck soft tissue levels I through IV, excision:  -          Metastatic squamous cell carcinoma in 2 of 42 lymph nodes (2/42)  -          Larger metastasis measures 39 mm; negative for extranodal  extension  -               Level I:  2/7  -               Level II:  0/7  -               Level III:  0/16  -               Level IV:  0/12  -          Salivary gland, no significant pathologic changes     W.          Left neck soft tissue levels I through IV, excision:  -          24 benign lymph nodes (0/24)  -               Level I:  0/4  -               Level II:  0/7  -               Level III:  0/11  -               Level IV;  0/2  -          Salivary gland, no significant pathologic changes     X.          Additional left level II medial node, excision:  -          1 benign lymph node (0/1)        SYNOPTIC REPORT FOR CANCER OF THE LIP AND ORAL CAVITY:  Specimen type:  Right partial maxillectomy with bilateral neck lymph node  dissections  Tumor focality: (single focus/ multifocal):  Single focus   Tumor site: Right palate/maxillary alveolus  Tumor size: 3.6 cm  Tumor gross configuration: (exophytic, endophytic, diffuse,  well-circumscribed):  Endophytic  Histologic type: Invasive keratinizing squamous carcinoma  Tumor grade: 1 of 3 (well-differentiated)  Depth of Invasion: 6 mm (measurement from slide in main specimen)  Lymphatic/vascular invasion: Not identified  Perineural invasion: Not identified  Tumor extent:    Intramucosal lesion: Keratinizing dysplasia    Deep soft tissues: (invasion of bone, deep muscle of tongue, maxillary  sinus, skin):  Positive   Margins:    Main specimen margins:  Negative    Additional separately submitted margins (frozens): Negative    Additional resection margins (non-frozen tissue): Clinical correlation  required    Distance of tumor to nearest margin: 3 mm (inferior, main specimen, part  P)  Lymph nodes:    Total number examined: 67    Number positive: 2    Extranodal extension: Negative    Size of largest positive lymph node: 39 mm  Additional pathologic findings: None  Neoadjuvant therapy: (Yes: % tumor viability/No/Indeterminate): No  Ancillary Studies:  None  Comments: Immunohistochemical stain for AE1/3 (T2) is negative for evidence  of carcinoma.  MNF116 (S2) highlights carcinoma in the bone.  pTNM:  pT4a pN2b</t>
  </si>
  <si>
    <t>pT4a pN2b</t>
  </si>
  <si>
    <t>Fresh from surgery</t>
  </si>
  <si>
    <t xml:space="preserve">Specimen type: Right mandibulectomy  Tumor focality: (single focus/ multifocal) Single  Tumor site: Floor of mouth  Tumor size: 2.1 x 0.8 x 0.6 cm  Tumor gross configuration: (exophytic, endophytic, diffuse,  well-circumscribed) Exophytic  Histologic type: Squamous cell carcinoma  Tumor grade: Well differentiated  Depth of Invasion: 0.6 cm  Lymphatic/vascular invasion: Present  Perineural invasion: Present  Tumor extent:    Intramucosal lesion: Present    Deep soft tissues: (invasion of bone, deep muscle of tongue, maxillary  sinus, skin) Present  Margins:    Main specimen margins: Positive (inferior)    Additional separately submitted margins (frozens): Negative    Additional resection margins (non-frozen tissue): N/A    Distance of tumor to nearest margin: Positive for inferior margin in main  specimen, may not reflect a true margin  Lymph nodes:    Total number examined: 41    Number positive: 1    Extranodal extension: No    Size of largest positive lymph node: 4.5 cm in greatest dimension </t>
  </si>
  <si>
    <t>SYNOPTIC REPORT FOR CANCER OF THE PHARYNX:  Specimen type: total glossectomy, partial pharyngectomy, supraglottic  laryngectomy, and bilateral selective neck dissection  Tumor site: tongue with extension into pre-epiglottic space  Tumor focality: single focus  Tumor size: 7.2 x 6.3 x 4.8 cm.    Tumor gross configuration: endophytic  Histologic type:  squamous carcinoma, conventional type  Tumor grade:  2 of 3, moderately-differentiated  Lymphatic/vascular invasion:  present   Perineural invasion: present, widespread   Tumor extent:    Intramucosal lesion:  absent     Adjacent soft tissues and/or bone (primary tumor related): positive for  carcinoma         Margins:     Main specimen margins (not true margins): positive for carcinoma at the  inked anterior and right lateral soft tissue margins     Additional separately submitted margins (frozen tissue sections):   negative for carcinoma     Additional resection margins (non-frozen tissue): none     Distance of tumor to nearest margin: N/A     Final Margin Status:  negative for carcinoma   Lymph nodes:    Total number examined: 107    Number positive: eight (8)     Extranodal extension:  present     Size of largest positive lymph node: 2.0 cm.   Additional pathologic findings:  see line diagnoses   Neoadjuvant therapy: none  Ancillary Studies: p16 performed on prior biopsy specimen reported as  negative   HPV results, (if applicable): N/A  pTNM:  pT4a N2c</t>
  </si>
  <si>
    <t>pT4a N3</t>
  </si>
  <si>
    <t>pT3 N0 surgical pathological stage based on 8th edition AJCC cancer staging manual</t>
  </si>
  <si>
    <t>pT3 N0 M0</t>
  </si>
  <si>
    <t>Fresh sample; 19 slides sent</t>
  </si>
  <si>
    <t>pT4apN3bM0</t>
  </si>
  <si>
    <t>"presenting with a pT3N3b (ECS+) laryngeal cancer presenting for discussion of adjuvant therapy. He is currently on protocol CTO 102365. The patient's pathology was reported as N3a, but on review there were 2 lymph nodes on pre-surgery imaging that grew together, which is consistent with ECS as is the dense adherence to the R spinal accessory nerve described. We discussed his case in tumor board today and pathology will update the report to account for this</t>
  </si>
  <si>
    <t>25 slides and 1 scroll sent</t>
  </si>
  <si>
    <t xml:space="preserve"> T4aN2c.</t>
  </si>
  <si>
    <t>Unresectable oral cavity SCC. No tissue collected</t>
  </si>
  <si>
    <t>T3 N0 M0</t>
  </si>
  <si>
    <t>tumor unresectable</t>
  </si>
  <si>
    <t>T3 N3b  Mx</t>
  </si>
  <si>
    <t>per encounter visit on 11/19/2020 |&gt; Distance to Closest Margin ( in mm )  =  10 &lt;|</t>
  </si>
  <si>
    <t xml:space="preserve">T4aN0M0 </t>
  </si>
  <si>
    <t>Archival sample  20 slides sent</t>
  </si>
  <si>
    <t>fresh sample</t>
  </si>
  <si>
    <t xml:space="preserve">Archival, block was sent </t>
  </si>
  <si>
    <t xml:space="preserve">Fresh </t>
  </si>
  <si>
    <t>Archival tissue sent, 25 slides and 5 tissue scrolls</t>
  </si>
  <si>
    <t>fresh, HPV (-), EGFR (+), p16(-)</t>
  </si>
  <si>
    <t>fresh sample, block sent</t>
  </si>
  <si>
    <t xml:space="preserve">T4aN0 </t>
  </si>
  <si>
    <t>T4aN0 Squamous carcinoma, moderately differentiated</t>
  </si>
  <si>
    <t xml:space="preserve">T2N0M0 </t>
  </si>
  <si>
    <t>OLD Relapse Months (Neoadjuvant)</t>
  </si>
  <si>
    <t>Relapse Months (Neoadjuvant)</t>
  </si>
  <si>
    <t>OLD Survival Months (Neoadjuvant)</t>
  </si>
  <si>
    <t>Survival Months (Neoadjuvant)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</si>
</sst>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1"/>
      <color rgb="FF000000"/>
      <name val="Calibri"/>
      <family val="2"/>
    </font>
    <font>
      <sz val="11"/>
      <color rgb="FF000000"/>
      <name val="Calibri"/>
      <family val="2"/>
    </font>
    <font>
      <b/>
      <sz val="11"/>
      <name val="Calibri"/>
      <family val="2"/>
    </font>
    <font>
      <sz val="11"/>
      <name val="Calibri"/>
      <family val="2"/>
    </font>
    <font>
      <sz val="10"/>
      <color rgb="FF000000"/>
      <name val="Arial"/>
      <family val="2"/>
    </font>
    <font>
      <sz val="11"/>
      <name val="Calibri"/>
      <family val="2"/>
      <charset val="1"/>
    </font>
    <font>
      <sz val="10"/>
      <name val="Arial"/>
      <family val="2"/>
    </font>
    <font>
      <b/>
      <sz val="12"/>
      <color theme="1"/>
      <name val="Aptos Narrow"/>
      <scheme val="minor"/>
    </font>
    <font>
      <sz val="12"/>
      <color theme="1"/>
      <name val="Aptos Narrow"/>
      <scheme val="minor"/>
    </font>
    <font>
      <sz val="11"/>
      <color rgb="FF00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rgb="FF000000"/>
      </patternFill>
    </fill>
    <fill>
      <patternFill patternType="solid">
        <fgColor rgb="FF92D050"/>
        <bgColor rgb="FF000000"/>
      </patternFill>
    </fill>
    <fill>
      <patternFill patternType="solid">
        <fgColor rgb="FFFF0000"/>
        <bgColor rgb="FF000000"/>
      </patternFill>
    </fill>
    <fill>
      <patternFill patternType="solid">
        <fgColor rgb="FFFFFFFF"/>
        <bgColor rgb="FF000000"/>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14" fontId="0" fillId="0" borderId="0" xfId="0" applyNumberFormat="1"/>
    <xf numFmtId="0" fontId="18" fillId="0" borderId="0" xfId="0" applyFont="1"/>
    <xf numFmtId="49" fontId="0" fillId="0" borderId="0" xfId="0" applyNumberFormat="1"/>
    <xf numFmtId="49" fontId="18" fillId="0" borderId="0" xfId="0" applyNumberFormat="1" applyFont="1"/>
    <xf numFmtId="0" fontId="19" fillId="0" borderId="10" xfId="0" applyFont="1" applyBorder="1"/>
    <xf numFmtId="0" fontId="19" fillId="0" borderId="10" xfId="0" applyFont="1" applyBorder="1" applyAlignment="1">
      <alignment horizontal="center"/>
    </xf>
    <xf numFmtId="0" fontId="21" fillId="0" borderId="10" xfId="0" applyFont="1" applyBorder="1" applyAlignment="1">
      <alignment horizontal="center"/>
    </xf>
    <xf numFmtId="0" fontId="21" fillId="0" borderId="11" xfId="0" applyFont="1" applyBorder="1" applyAlignment="1">
      <alignment horizontal="left"/>
    </xf>
    <xf numFmtId="0" fontId="21" fillId="0" borderId="11" xfId="0" applyFont="1" applyBorder="1" applyAlignment="1">
      <alignment horizontal="center"/>
    </xf>
    <xf numFmtId="0" fontId="19" fillId="0" borderId="11" xfId="0" applyFont="1" applyBorder="1" applyAlignment="1">
      <alignment horizontal="center"/>
    </xf>
    <xf numFmtId="0" fontId="21" fillId="0" borderId="10" xfId="0" applyFont="1" applyBorder="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wrapText="1" readingOrder="1"/>
    </xf>
    <xf numFmtId="0" fontId="22" fillId="0" borderId="0" xfId="0" applyFont="1" applyAlignment="1">
      <alignment horizontal="center"/>
    </xf>
    <xf numFmtId="0" fontId="22" fillId="0" borderId="0" xfId="0" applyFont="1"/>
    <xf numFmtId="0" fontId="23" fillId="0" borderId="0" xfId="0" applyFont="1"/>
    <xf numFmtId="0" fontId="22" fillId="33" borderId="0" xfId="0" applyFont="1" applyFill="1"/>
    <xf numFmtId="0" fontId="20" fillId="0" borderId="0" xfId="0" applyFont="1" applyAlignment="1">
      <alignment horizontal="left"/>
    </xf>
    <xf numFmtId="0" fontId="20" fillId="0" borderId="0" xfId="0" applyFont="1" applyAlignment="1">
      <alignment wrapText="1"/>
    </xf>
    <xf numFmtId="9" fontId="0" fillId="0" borderId="0" xfId="0" applyNumberFormat="1"/>
    <xf numFmtId="9" fontId="20" fillId="0" borderId="0" xfId="0" applyNumberFormat="1" applyFont="1" applyAlignment="1">
      <alignment horizontal="center" wrapText="1" readingOrder="1"/>
    </xf>
    <xf numFmtId="0" fontId="22" fillId="0" borderId="0" xfId="0" applyFont="1" applyAlignment="1">
      <alignment horizontal="left"/>
    </xf>
    <xf numFmtId="0" fontId="22" fillId="34" borderId="0" xfId="0" applyFont="1" applyFill="1"/>
    <xf numFmtId="0" fontId="20" fillId="0" borderId="0" xfId="0" applyFont="1" applyAlignment="1">
      <alignment horizontal="center" wrapText="1"/>
    </xf>
    <xf numFmtId="0" fontId="22" fillId="0" borderId="0" xfId="0" applyFont="1" applyAlignment="1">
      <alignment horizontal="center" wrapText="1"/>
    </xf>
    <xf numFmtId="0" fontId="22" fillId="0" borderId="0" xfId="0" applyFont="1" applyAlignment="1">
      <alignment horizontal="left" wrapText="1"/>
    </xf>
    <xf numFmtId="0" fontId="22" fillId="0" borderId="0" xfId="0" applyFont="1" applyAlignment="1">
      <alignment wrapText="1"/>
    </xf>
    <xf numFmtId="0" fontId="20" fillId="0" borderId="0" xfId="0" applyFont="1" applyAlignment="1">
      <alignment horizontal="left" wrapText="1"/>
    </xf>
    <xf numFmtId="0" fontId="20" fillId="35" borderId="0" xfId="0" applyFont="1" applyFill="1"/>
    <xf numFmtId="0" fontId="20" fillId="35" borderId="0" xfId="0" applyFont="1" applyFill="1" applyAlignment="1">
      <alignment horizontal="center"/>
    </xf>
    <xf numFmtId="0" fontId="20" fillId="35" borderId="0" xfId="0" applyFont="1" applyFill="1" applyAlignment="1">
      <alignment horizontal="center" wrapText="1" readingOrder="1"/>
    </xf>
    <xf numFmtId="0" fontId="22" fillId="35" borderId="0" xfId="0" applyFont="1" applyFill="1" applyAlignment="1">
      <alignment horizontal="center"/>
    </xf>
    <xf numFmtId="0" fontId="22" fillId="35" borderId="0" xfId="0" applyFont="1" applyFill="1" applyAlignment="1">
      <alignment horizontal="left"/>
    </xf>
    <xf numFmtId="0" fontId="22" fillId="35" borderId="0" xfId="0" applyFont="1" applyFill="1"/>
    <xf numFmtId="0" fontId="23" fillId="35" borderId="0" xfId="0" applyFont="1" applyFill="1"/>
    <xf numFmtId="9" fontId="20" fillId="35" borderId="0" xfId="0" applyNumberFormat="1" applyFont="1" applyFill="1" applyAlignment="1">
      <alignment horizontal="center" wrapText="1" readingOrder="1"/>
    </xf>
    <xf numFmtId="9" fontId="20" fillId="0" borderId="0" xfId="0" applyNumberFormat="1" applyFont="1" applyAlignment="1">
      <alignment horizontal="center"/>
    </xf>
    <xf numFmtId="0" fontId="20" fillId="34" borderId="0" xfId="0" applyFont="1" applyFill="1"/>
    <xf numFmtId="0" fontId="22" fillId="34" borderId="0" xfId="0" applyFont="1" applyFill="1" applyAlignment="1">
      <alignment horizontal="center"/>
    </xf>
    <xf numFmtId="0" fontId="24" fillId="33" borderId="0" xfId="0" applyFont="1" applyFill="1"/>
    <xf numFmtId="0" fontId="25" fillId="0" borderId="0" xfId="0" applyFont="1"/>
    <xf numFmtId="0" fontId="20" fillId="34" borderId="0" xfId="0" applyFont="1" applyFill="1" applyAlignment="1">
      <alignment horizontal="center"/>
    </xf>
    <xf numFmtId="0" fontId="24" fillId="0" borderId="0" xfId="0" applyFont="1"/>
    <xf numFmtId="0" fontId="20" fillId="0" borderId="0" xfId="0" applyFont="1" applyAlignment="1">
      <alignment horizontal="left" wrapText="1" readingOrder="1"/>
    </xf>
    <xf numFmtId="0" fontId="26" fillId="0" borderId="0" xfId="0" applyFont="1"/>
    <xf numFmtId="0" fontId="27" fillId="0" borderId="0" xfId="0" applyFont="1"/>
    <xf numFmtId="14" fontId="27" fillId="0" borderId="0" xfId="0" applyNumberFormat="1" applyFont="1"/>
    <xf numFmtId="49" fontId="26" fillId="0" borderId="0" xfId="0" applyNumberFormat="1" applyFont="1"/>
    <xf numFmtId="164" fontId="19" fillId="0" borderId="10" xfId="0" applyNumberFormat="1" applyFont="1" applyBorder="1" applyAlignment="1">
      <alignment horizontal="center"/>
    </xf>
    <xf numFmtId="2" fontId="19" fillId="0" borderId="10" xfId="0" applyNumberFormat="1" applyFont="1" applyBorder="1" applyAlignment="1">
      <alignment horizontal="center"/>
    </xf>
    <xf numFmtId="164" fontId="20" fillId="0" borderId="0" xfId="0" applyNumberFormat="1" applyFont="1" applyAlignment="1">
      <alignment horizontal="center"/>
    </xf>
    <xf numFmtId="2" fontId="20" fillId="0" borderId="0" xfId="0" applyNumberFormat="1" applyFont="1" applyAlignment="1">
      <alignment horizontal="center"/>
    </xf>
    <xf numFmtId="164" fontId="20" fillId="36" borderId="0" xfId="0" applyNumberFormat="1" applyFont="1" applyFill="1" applyAlignment="1">
      <alignment horizontal="center"/>
    </xf>
    <xf numFmtId="164" fontId="20" fillId="33" borderId="0" xfId="0" applyNumberFormat="1" applyFont="1" applyFill="1" applyAlignment="1">
      <alignment horizontal="center"/>
    </xf>
    <xf numFmtId="164" fontId="19" fillId="36" borderId="0" xfId="0" applyNumberFormat="1" applyFont="1" applyFill="1" applyAlignment="1">
      <alignment horizontal="center"/>
    </xf>
    <xf numFmtId="0" fontId="20" fillId="33" borderId="0" xfId="0" applyFont="1" applyFill="1" applyAlignment="1">
      <alignment horizontal="center"/>
    </xf>
    <xf numFmtId="164" fontId="20" fillId="0" borderId="0" xfId="0" applyNumberFormat="1" applyFont="1" applyAlignment="1">
      <alignment horizontal="center" wrapText="1"/>
    </xf>
    <xf numFmtId="164" fontId="20" fillId="0" borderId="0" xfId="0" applyNumberFormat="1" applyFont="1" applyAlignment="1">
      <alignment horizontal="center" wrapText="1" readingOrder="1"/>
    </xf>
    <xf numFmtId="164" fontId="20" fillId="33" borderId="0" xfId="0" applyNumberFormat="1" applyFont="1" applyFill="1" applyAlignment="1">
      <alignment horizontal="center" wrapText="1" readingOrder="1"/>
    </xf>
    <xf numFmtId="2" fontId="0" fillId="0" borderId="0" xfId="0" applyNumberFormat="1"/>
    <xf numFmtId="0" fontId="28" fillId="0" borderId="0" xfId="0" applyFont="1"/>
    <xf numFmtId="14" fontId="2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A0B4-2A33-584C-B3C3-07E2FB898861}">
  <dimension ref="A1:BL190"/>
  <sheetViews>
    <sheetView tabSelected="1" topLeftCell="V34" zoomScale="75" zoomScaleNormal="94" workbookViewId="0">
      <selection activeCell="AC45" sqref="AC45"/>
    </sheetView>
  </sheetViews>
  <sheetFormatPr baseColWidth="10" defaultRowHeight="16" x14ac:dyDescent="0.2"/>
  <cols>
    <col min="1" max="1" width="10.83203125" style="3"/>
    <col min="5" max="6" width="10.83203125" style="46"/>
    <col min="14" max="14" width="10.83203125" style="1"/>
    <col min="22" max="22" width="22.1640625" customWidth="1"/>
    <col min="23" max="23" width="25.6640625" customWidth="1"/>
    <col min="24" max="24" width="24.1640625" customWidth="1"/>
    <col min="25" max="29" width="27.5" customWidth="1"/>
    <col min="30" max="30" width="22" customWidth="1"/>
    <col min="31" max="32" width="23" customWidth="1"/>
    <col min="33" max="34" width="22.6640625" customWidth="1"/>
    <col min="35" max="36" width="25.33203125" customWidth="1"/>
    <col min="37" max="37" width="26.1640625" customWidth="1"/>
    <col min="39" max="39" width="25.5" customWidth="1"/>
    <col min="52" max="52" width="18.83203125" style="46" customWidth="1"/>
    <col min="53" max="53" width="10.83203125" style="3"/>
    <col min="54" max="54" width="38.83203125" customWidth="1"/>
  </cols>
  <sheetData>
    <row r="1" spans="1:64" x14ac:dyDescent="0.2">
      <c r="A1" s="3" t="s">
        <v>0</v>
      </c>
      <c r="B1" t="s">
        <v>1</v>
      </c>
      <c r="C1" t="s">
        <v>2</v>
      </c>
      <c r="D1" t="s">
        <v>3</v>
      </c>
      <c r="E1" s="47" t="s">
        <v>4</v>
      </c>
      <c r="F1" s="47" t="s">
        <v>5</v>
      </c>
      <c r="G1" t="s">
        <v>6</v>
      </c>
      <c r="H1" t="s">
        <v>7</v>
      </c>
      <c r="I1" t="s">
        <v>8</v>
      </c>
      <c r="J1" t="s">
        <v>9</v>
      </c>
      <c r="K1" t="s">
        <v>10</v>
      </c>
      <c r="L1" t="s">
        <v>11</v>
      </c>
      <c r="M1" t="s">
        <v>12</v>
      </c>
      <c r="N1" s="1" t="s">
        <v>511</v>
      </c>
      <c r="O1" t="s">
        <v>543</v>
      </c>
      <c r="P1" t="s">
        <v>1131</v>
      </c>
      <c r="Q1" t="s">
        <v>13</v>
      </c>
      <c r="R1" t="s">
        <v>1132</v>
      </c>
      <c r="S1" t="s">
        <v>14</v>
      </c>
      <c r="T1" t="s">
        <v>1133</v>
      </c>
      <c r="U1" t="s">
        <v>15</v>
      </c>
      <c r="V1" t="s">
        <v>1134</v>
      </c>
      <c r="W1" t="s">
        <v>16</v>
      </c>
      <c r="X1" t="s">
        <v>1135</v>
      </c>
      <c r="Y1" t="s">
        <v>17</v>
      </c>
      <c r="Z1" s="2" t="s">
        <v>1275</v>
      </c>
      <c r="AA1" s="2" t="s">
        <v>1276</v>
      </c>
      <c r="AB1" s="2" t="s">
        <v>1277</v>
      </c>
      <c r="AC1" s="2" t="s">
        <v>1278</v>
      </c>
      <c r="AD1" t="s">
        <v>1136</v>
      </c>
      <c r="AE1" t="s">
        <v>506</v>
      </c>
      <c r="AF1" t="s">
        <v>1137</v>
      </c>
      <c r="AG1" t="s">
        <v>507</v>
      </c>
      <c r="AH1" t="s">
        <v>1138</v>
      </c>
      <c r="AI1" t="s">
        <v>508</v>
      </c>
      <c r="AJ1" t="s">
        <v>1139</v>
      </c>
      <c r="AK1" t="s">
        <v>509</v>
      </c>
      <c r="AL1" t="s">
        <v>18</v>
      </c>
      <c r="AM1" t="s">
        <v>19</v>
      </c>
      <c r="AN1" t="s">
        <v>20</v>
      </c>
      <c r="AO1" t="s">
        <v>21</v>
      </c>
      <c r="AP1" t="s">
        <v>22</v>
      </c>
      <c r="AQ1" t="s">
        <v>23</v>
      </c>
      <c r="AR1" t="s">
        <v>24</v>
      </c>
      <c r="AS1" t="s">
        <v>25</v>
      </c>
      <c r="AT1" t="s">
        <v>26</v>
      </c>
      <c r="AU1" t="s">
        <v>27</v>
      </c>
      <c r="AV1" t="s">
        <v>28</v>
      </c>
      <c r="AW1" t="s">
        <v>29</v>
      </c>
      <c r="AX1" t="s">
        <v>30</v>
      </c>
      <c r="AY1" t="s">
        <v>31</v>
      </c>
      <c r="AZ1" s="46" t="s">
        <v>32</v>
      </c>
      <c r="BA1" s="3" t="s">
        <v>33</v>
      </c>
      <c r="BB1" t="s">
        <v>34</v>
      </c>
      <c r="BC1" t="s">
        <v>35</v>
      </c>
      <c r="BD1" t="s">
        <v>36</v>
      </c>
      <c r="BE1" t="s">
        <v>37</v>
      </c>
      <c r="BF1" t="s">
        <v>38</v>
      </c>
      <c r="BG1" t="s">
        <v>39</v>
      </c>
      <c r="BH1" t="s">
        <v>40</v>
      </c>
      <c r="BI1" t="s">
        <v>41</v>
      </c>
      <c r="BJ1" t="s">
        <v>42</v>
      </c>
      <c r="BK1" t="s">
        <v>43</v>
      </c>
      <c r="BL1" t="s">
        <v>44</v>
      </c>
    </row>
    <row r="2" spans="1:64" x14ac:dyDescent="0.2">
      <c r="A2" s="4" t="s">
        <v>45</v>
      </c>
      <c r="B2" t="str">
        <f>VLOOKUP(A2, IDSLOOKUP!C:E, 2, FALSE)</f>
        <v>Screen</v>
      </c>
      <c r="C2" t="str">
        <f>VLOOKUP(D2, METADATALOOKUP!$A:$AI, 13, FALSE)</f>
        <v>Oral Cavity</v>
      </c>
      <c r="D2" t="str">
        <f>VLOOKUP(A2, IDSLOOKUP!C:E, 3, FALSE)</f>
        <v>HN01-37</v>
      </c>
      <c r="E2" s="48">
        <f>VLOOKUP(A2,CFDNALOOKUP!AG:AI,2,FALSE)</f>
        <v>44090</v>
      </c>
      <c r="F2" s="48">
        <f>VLOOKUP(A2,CFDNALOOKUP!AG:AI,3,FALSE)</f>
        <v>44179</v>
      </c>
      <c r="G2" s="1">
        <f>VLOOKUP(D2, SURVLOOKUP!$A:$Q, 2, FALSE)</f>
        <v>43514</v>
      </c>
      <c r="H2" s="1">
        <f>VLOOKUP(D2, SURVLOOKUP!$A:$Q, 3, FALSE)</f>
        <v>43531</v>
      </c>
      <c r="I2" s="1">
        <f>VLOOKUP(D2, SURVLOOKUP!$A:$Q, 4, FALSE)</f>
        <v>43535</v>
      </c>
      <c r="J2" s="1">
        <f>VLOOKUP(D2, SURVLOOKUP!$A:$Q, 5, FALSE)</f>
        <v>43542</v>
      </c>
      <c r="K2" s="1">
        <f>VLOOKUP(D2, SURVLOOKUP!$A:$Q, 6, FALSE)</f>
        <v>43586</v>
      </c>
      <c r="L2" s="1">
        <f>VLOOKUP(D2, SURVLOOKUP!$A:$Q, 7, FALSE)</f>
        <v>43628</v>
      </c>
      <c r="M2" s="1">
        <f>VLOOKUP(D2, SURVLOOKUP!$A:$Q, 8, FALSE)</f>
        <v>43581</v>
      </c>
      <c r="N2" s="1">
        <f>VLOOKUP(D2, SURVLOOKUP!$A:$Q, 9, FALSE)</f>
        <v>43683</v>
      </c>
      <c r="O2" s="1" t="str">
        <f>VLOOKUP(D2, SURVLOOKUP!$A:$Q, 10, FALSE)</f>
        <v>NA</v>
      </c>
      <c r="P2" s="1">
        <f>VLOOKUP(D2, OLDSURVLOOKUP!$A:$AA, 19, FALSE)</f>
        <v>44130</v>
      </c>
      <c r="Q2" s="1">
        <f>VLOOKUP(D2, SURVLOOKUP!$A:$Q, 11, FALSE)</f>
        <v>44130</v>
      </c>
      <c r="R2" s="1">
        <f>VLOOKUP(D2, OLDSURVLOOKUP!$A:$AA, 20, FALSE)</f>
        <v>43899</v>
      </c>
      <c r="S2" s="1">
        <f>VLOOKUP(D2, SURVLOOKUP!$A:$Q, 12, FALSE)</f>
        <v>43899</v>
      </c>
      <c r="T2" s="1">
        <f>VLOOKUP(D2, OLDSURVLOOKUP!$A:$AA, 21, FALSE)</f>
        <v>44131</v>
      </c>
      <c r="U2" s="1">
        <f>VLOOKUP(D2, SURVLOOKUP!$A:$Q, 13, FALSE)</f>
        <v>44131</v>
      </c>
      <c r="V2">
        <f>_xlfn.XLOOKUP(D2, OLDSURVLOOKUP!$A:$A, OLDSURVLOOKUP!V:V)</f>
        <v>1</v>
      </c>
      <c r="W2">
        <f>VLOOKUP(D2, SURVLOOKUP!$A:$Q, 14, FALSE)</f>
        <v>1</v>
      </c>
      <c r="X2">
        <f>_xlfn.XLOOKUP(D2, OLDSURVLOOKUP!$A:$A, OLDSURVLOOKUP!X:X)</f>
        <v>1</v>
      </c>
      <c r="Y2">
        <f>VLOOKUP(D2, SURVLOOKUP!$A:$Q, 15, FALSE)</f>
        <v>1</v>
      </c>
      <c r="Z2">
        <f>IF(V2=0, DATEDIF(I2,P2,"M")+DATEDIF(I2,P2,"MD")/DAY(EOMONTH(I2,0)), DATEDIF(I2,R2,"M")+DATEDIF(I2,R2,"MD")/DAY(EOMONTH(I2,0)))</f>
        <v>11.870967741935484</v>
      </c>
      <c r="AA2">
        <f>IF(W2=0, DATEDIF(I2,Q2,"M")+DATEDIF(I2,Q2,"MD")/DAY(EOMONTH(I2,0)), DATEDIF(I2,S2,"M")+DATEDIF(I2,S2,"MD")/DAY(EOMONTH(I2,0)))</f>
        <v>11.870967741935484</v>
      </c>
      <c r="AB2">
        <f>IF(X2=0, DATEDIF(I2,P2,"M")+DATEDIF(I2,P2,"MD")/DAY(EOMONTH(I2,0)), DATEDIF(I2,T2,"M")+DATEDIF(I2,T2,"MD")/DAY(EOMONTH(I2,0)))</f>
        <v>19.516129032258064</v>
      </c>
      <c r="AC2">
        <f>IF(Y2=0, DATEDIF(I2,Q2,"M")+DATEDIF(I2,Q2,"MD")/DAY(EOMONTH(I2,0)), DATEDIF(I2,U2,"M")+DATEDIF(I2,U2,"MD")/DAY(EOMONTH(I2,0)))</f>
        <v>19.516129032258064</v>
      </c>
      <c r="AD2">
        <f>IF(V2=0, DATEDIF(J2,P2,"M")+DATEDIF(J2,P2,"MD")/DAY(EOMONTH(J2,0)), DATEDIF(J2,R2,"M")+DATEDIF(J2,R2,"MD")/DAY(EOMONTH(J2,0)))</f>
        <v>11.64516129032258</v>
      </c>
      <c r="AE2">
        <f t="shared" ref="AE2:AE23" si="0">IF(W2=0, DATEDIF(J2,Q2,"M")+DATEDIF(J2,Q2,"MD")/DAY(EOMONTH(J2,0)), DATEDIF(J2,S2,"M")+DATEDIF(J2,S2,"MD")/DAY(EOMONTH(J2,0)))</f>
        <v>11.64516129032258</v>
      </c>
      <c r="AF2">
        <f t="shared" ref="AF2:AF33" si="1">IF(X2=0, DATEDIF(J2,P2,"M")+DATEDIF(J2,P2,"MD")/DAY(EOMONTH(J2,0)), DATEDIF(J2,T2,"M")+DATEDIF(J2,T2,"MD")/DAY(EOMONTH(J2,0)))</f>
        <v>19.29032258064516</v>
      </c>
      <c r="AG2">
        <f t="shared" ref="AG2:AG33" si="2">IF(Y2=0, DATEDIF(J2,Q2,"M")+DATEDIF(J2,Q2,"MD")/DAY(EOMONTH(J2,0)), DATEDIF(J2,U2,"M")+DATEDIF(J2,U2,"MD")/DAY(EOMONTH(J2,0)))</f>
        <v>19.29032258064516</v>
      </c>
      <c r="AH2">
        <f>IF(V2=0, DATEDIF(M2,P2,"M")+DATEDIF(M2,P2,"MD")/DAY(EOMONTH(M2,0)), DATEDIF(M2,R2,"M")+DATEDIF(M2,R2,"MD")/DAY(EOMONTH(M2,0)))</f>
        <v>10.4</v>
      </c>
      <c r="AI2">
        <f>IF(W2=0, DATEDIF(M2,Q2,"M")+DATEDIF(M2,Q2,"MD")/DAY(EOMONTH(M2,0)), DATEDIF(M2,S2,"M")+DATEDIF(M2,S2,"MD")/DAY(EOMONTH(M2,0)))</f>
        <v>10.4</v>
      </c>
      <c r="AJ2">
        <f>IF(X2=0, DATEDIF(M2,P2,"M")+DATEDIF(M2,P2,"MD")/DAY(EOMONTH(M2,0)), DATEDIF(M2,T2,"M")+DATEDIF(M2,T2,"MD")/DAY(EOMONTH(M2,0)))</f>
        <v>18.033333333333335</v>
      </c>
      <c r="AK2">
        <f>IF(Y2=0, DATEDIF(M2,Q2,"M")+DATEDIF(M2,Q2,"MD")/DAY(EOMONTH(M2,0)), DATEDIF(M2,U2,"M")+DATEDIF(M2,U2,"MD")/DAY(EOMONTH(M2,0)))</f>
        <v>18.033333333333335</v>
      </c>
      <c r="AL2">
        <f>IF(MID(A2,FIND("_",A2)-1,1)="2", 2, 1)</f>
        <v>2</v>
      </c>
      <c r="AM2" t="str">
        <f t="shared" ref="AM2:AM33" si="3">IFERROR(
  CHOOSE(
    VALUE(MID(D2, FIND("-", D2) - 1, 1)),
    "University of Cincinnati",
    "Ohio State University",
    "Medical University of South Carolina",
    "University of Michigan",
    "University of Louisville",
    "MD Anderson"
  ),
  "Unknown"
)</f>
        <v>University of Cincinnati</v>
      </c>
      <c r="AN2">
        <v>0</v>
      </c>
      <c r="AO2">
        <v>1</v>
      </c>
      <c r="AP2">
        <f>VLOOKUP(D2, METADATALOOKUP!$A:$AI, 7, FALSE)</f>
        <v>44</v>
      </c>
      <c r="AQ2" t="str">
        <f>VLOOKUP(D2, METADATALOOKUP!$A:$AI, 8, FALSE)</f>
        <v>Female</v>
      </c>
      <c r="AR2" t="str">
        <f>VLOOKUP(D2, METADATALOOKUP!$A:$AI, 9, FALSE)</f>
        <v>White</v>
      </c>
      <c r="AS2" t="str">
        <f>VLOOKUP(D2, METADATALOOKUP!$A:$AI, 11, FALSE)</f>
        <v>Yes</v>
      </c>
      <c r="AT2" t="str">
        <f>VLOOKUP(D2, METADATALOOKUP!$A:$AI, 10, FALSE)</f>
        <v>Non-Hispanic</v>
      </c>
      <c r="AU2" t="str">
        <f>VLOOKUP(D2, METADATALOOKUP!$A:$AI, 12, FALSE)</f>
        <v>No</v>
      </c>
      <c r="AV2" t="str">
        <f>VLOOKUP(D2, METADATALOOKUP!$A:$AI, 14, FALSE)</f>
        <v>T3N2cM0</v>
      </c>
      <c r="AW2" t="str">
        <f>VLOOKUP(D2, METADATALOOKUP!$A:$AI, 6, FALSE)</f>
        <v>High</v>
      </c>
      <c r="AX2" t="str">
        <f>VLOOKUP(D2, METADATALOOKUP!$A:$AI, 19, FALSE)</f>
        <v>Unknown</v>
      </c>
      <c r="AY2">
        <f>LOOKUP(D2, SURVLOOKUP!$A:$A, SURVLOOKUP!$P:$P)</f>
        <v>1</v>
      </c>
      <c r="AZ2" s="46">
        <v>0</v>
      </c>
      <c r="BA2" t="str">
        <f>TEXT(VLOOKUP(D2, METADATALOOKUP!$A:$AI, 34, FALSE), "@")</f>
        <v>&lt;10%</v>
      </c>
      <c r="BB2" s="47" t="str">
        <f>IF(AZ2=0, "Non-Responder", "Responder")</f>
        <v>Non-Responder</v>
      </c>
      <c r="BC2">
        <v>0.05</v>
      </c>
      <c r="BE2">
        <v>24</v>
      </c>
      <c r="BF2">
        <v>15</v>
      </c>
      <c r="BG2">
        <v>35</v>
      </c>
      <c r="BH2">
        <v>16.600000000000001</v>
      </c>
      <c r="BI2">
        <v>1.506024</v>
      </c>
      <c r="BJ2" t="s">
        <v>58</v>
      </c>
      <c r="BK2" t="s">
        <v>59</v>
      </c>
      <c r="BL2" t="s">
        <v>60</v>
      </c>
    </row>
    <row r="3" spans="1:64" x14ac:dyDescent="0.2">
      <c r="A3" s="4" t="s">
        <v>61</v>
      </c>
      <c r="B3" t="str">
        <f>VLOOKUP(A3, IDSLOOKUP!C:E, 2, FALSE)</f>
        <v>Day 0</v>
      </c>
      <c r="C3" t="str">
        <f>VLOOKUP(D3, METADATALOOKUP!$A:$AI, 13, FALSE)</f>
        <v>Oral Cavity</v>
      </c>
      <c r="D3" t="str">
        <f>VLOOKUP(A3, IDSLOOKUP!C:E, 3, FALSE)</f>
        <v>HN01-37</v>
      </c>
      <c r="E3" s="48">
        <f>VLOOKUP(A3,CFDNALOOKUP!AG:AI,2,FALSE)</f>
        <v>44090</v>
      </c>
      <c r="F3" s="48">
        <f>VLOOKUP(A3,CFDNALOOKUP!AG:AI,3,FALSE)</f>
        <v>44180</v>
      </c>
      <c r="G3" s="1">
        <f>VLOOKUP(D3, SURVLOOKUP!$A:$Q, 2, FALSE)</f>
        <v>43514</v>
      </c>
      <c r="H3" s="1">
        <f>VLOOKUP(D3, SURVLOOKUP!$A:$Q, 3, FALSE)</f>
        <v>43531</v>
      </c>
      <c r="I3" s="1">
        <f>VLOOKUP(D3, SURVLOOKUP!$A:$Q, 4, FALSE)</f>
        <v>43535</v>
      </c>
      <c r="J3" s="1">
        <f>VLOOKUP(D3, SURVLOOKUP!$A:$Q, 5, FALSE)</f>
        <v>43542</v>
      </c>
      <c r="K3" s="1">
        <f>VLOOKUP(D3, SURVLOOKUP!$A:$Q, 6, FALSE)</f>
        <v>43586</v>
      </c>
      <c r="L3" s="1">
        <f>VLOOKUP(D3, SURVLOOKUP!$A:$Q, 7, FALSE)</f>
        <v>43628</v>
      </c>
      <c r="M3" s="1">
        <f>VLOOKUP(D3, SURVLOOKUP!$A:$Q, 8, FALSE)</f>
        <v>43581</v>
      </c>
      <c r="N3" s="1">
        <f>VLOOKUP(D3, SURVLOOKUP!$A:$Q, 9, FALSE)</f>
        <v>43683</v>
      </c>
      <c r="O3" s="1" t="str">
        <f>VLOOKUP(D3, SURVLOOKUP!$A:$Q, 10, FALSE)</f>
        <v>NA</v>
      </c>
      <c r="P3" s="1">
        <f>VLOOKUP(D3, OLDSURVLOOKUP!$A:$AA, 19, FALSE)</f>
        <v>44130</v>
      </c>
      <c r="Q3" s="1">
        <f>VLOOKUP(D3, SURVLOOKUP!$A:$Q, 11, FALSE)</f>
        <v>44130</v>
      </c>
      <c r="R3" s="1">
        <f>VLOOKUP(D3, OLDSURVLOOKUP!$A:$AA, 20, FALSE)</f>
        <v>43899</v>
      </c>
      <c r="S3" s="1">
        <f>VLOOKUP(D3, SURVLOOKUP!$A:$Q, 12, FALSE)</f>
        <v>43899</v>
      </c>
      <c r="T3" s="1">
        <f>VLOOKUP(D3, OLDSURVLOOKUP!$A:$AA, 21, FALSE)</f>
        <v>44131</v>
      </c>
      <c r="U3" s="1">
        <f>VLOOKUP(D3, SURVLOOKUP!$A:$Q, 13, FALSE)</f>
        <v>44131</v>
      </c>
      <c r="V3">
        <f>_xlfn.XLOOKUP(D3, OLDSURVLOOKUP!$A:$A, OLDSURVLOOKUP!V:V)</f>
        <v>1</v>
      </c>
      <c r="W3">
        <f>VLOOKUP(D3, SURVLOOKUP!$A:$Q, 14, FALSE)</f>
        <v>1</v>
      </c>
      <c r="X3">
        <f>_xlfn.XLOOKUP(D3, OLDSURVLOOKUP!$A:$A, OLDSURVLOOKUP!X:X)</f>
        <v>1</v>
      </c>
      <c r="Y3">
        <f>VLOOKUP(D3, SURVLOOKUP!$A:$Q, 15, FALSE)</f>
        <v>1</v>
      </c>
      <c r="Z3">
        <f t="shared" ref="Z3:Z66" si="4">IF(V3=0, DATEDIF(I3,P3,"M")+DATEDIF(I3,P3,"MD")/DAY(EOMONTH(I3,0)), DATEDIF(I3,R3,"M")+DATEDIF(I3,R3,"MD")/DAY(EOMONTH(I3,0)))</f>
        <v>11.870967741935484</v>
      </c>
      <c r="AA3">
        <f t="shared" ref="AA3:AA66" si="5">IF(W3=0, DATEDIF(I3,Q3,"M")+DATEDIF(I3,Q3,"MD")/DAY(EOMONTH(I3,0)), DATEDIF(I3,S3,"M")+DATEDIF(I3,S3,"MD")/DAY(EOMONTH(I3,0)))</f>
        <v>11.870967741935484</v>
      </c>
      <c r="AB3">
        <f t="shared" ref="AB3:AB66" si="6">IF(X3=0, DATEDIF(I3,P3,"M")+DATEDIF(I3,P3,"MD")/DAY(EOMONTH(I3,0)), DATEDIF(I3,T3,"M")+DATEDIF(I3,T3,"MD")/DAY(EOMONTH(I3,0)))</f>
        <v>19.516129032258064</v>
      </c>
      <c r="AC3">
        <f t="shared" ref="AC3:AC66" si="7">IF(Y3=0, DATEDIF(I3,Q3,"M")+DATEDIF(I3,Q3,"MD")/DAY(EOMONTH(I3,0)), DATEDIF(I3,U3,"M")+DATEDIF(I3,U3,"MD")/DAY(EOMONTH(I3,0)))</f>
        <v>19.516129032258064</v>
      </c>
      <c r="AD3">
        <f t="shared" ref="AD3:AD66" si="8">IF(V3=0, DATEDIF(J3,P3,"M")+DATEDIF(J3,P3,"MD")/DAY(EOMONTH(J3,0)), DATEDIF(J3,R3,"M")+DATEDIF(J3,R3,"MD")/DAY(EOMONTH(J3,0)))</f>
        <v>11.64516129032258</v>
      </c>
      <c r="AE3">
        <f t="shared" si="0"/>
        <v>11.64516129032258</v>
      </c>
      <c r="AF3">
        <f t="shared" si="1"/>
        <v>19.29032258064516</v>
      </c>
      <c r="AG3">
        <f t="shared" si="2"/>
        <v>19.29032258064516</v>
      </c>
      <c r="AH3">
        <f t="shared" ref="AH3:AH66" si="9">IF(V3=0, DATEDIF(M3,P3,"M")+DATEDIF(M3,P3,"MD")/DAY(EOMONTH(M3,0)), DATEDIF(M3,R3,"M")+DATEDIF(M3,R3,"MD")/DAY(EOMONTH(M3,0)))</f>
        <v>10.4</v>
      </c>
      <c r="AI3">
        <f t="shared" ref="AI3:AI66" si="10">IF(W3=0, DATEDIF(M3,Q3,"M")+DATEDIF(M3,Q3,"MD")/DAY(EOMONTH(M3,0)), DATEDIF(M3,S3,"M")+DATEDIF(M3,S3,"MD")/DAY(EOMONTH(M3,0)))</f>
        <v>10.4</v>
      </c>
      <c r="AJ3">
        <f t="shared" ref="AJ3:AJ66" si="11">IF(X3=0, DATEDIF(M3,P3,"M")+DATEDIF(M3,P3,"MD")/DAY(EOMONTH(M3,0)), DATEDIF(M3,T3,"M")+DATEDIF(M3,T3,"MD")/DAY(EOMONTH(M3,0)))</f>
        <v>18.033333333333335</v>
      </c>
      <c r="AK3">
        <f t="shared" ref="AK3:AK66" si="12">IF(Y3=0, DATEDIF(M3,Q3,"M")+DATEDIF(M3,Q3,"MD")/DAY(EOMONTH(M3,0)), DATEDIF(M3,U3,"M")+DATEDIF(M3,U3,"MD")/DAY(EOMONTH(M3,0)))</f>
        <v>18.033333333333335</v>
      </c>
      <c r="AL3">
        <f t="shared" ref="AL3:AL67" si="13">IF(MID(A3,FIND("_",A3)-1,1)="2", 2, 1)</f>
        <v>2</v>
      </c>
      <c r="AM3" t="str">
        <f t="shared" si="3"/>
        <v>University of Cincinnati</v>
      </c>
      <c r="AN3">
        <v>0</v>
      </c>
      <c r="AO3">
        <v>1</v>
      </c>
      <c r="AP3">
        <f>VLOOKUP(D3, METADATALOOKUP!$A:$AI, 7, FALSE)</f>
        <v>44</v>
      </c>
      <c r="AQ3" t="str">
        <f>VLOOKUP(D3, METADATALOOKUP!$A:$AI, 8, FALSE)</f>
        <v>Female</v>
      </c>
      <c r="AR3" t="str">
        <f>VLOOKUP(D3, METADATALOOKUP!$A:$AI, 9, FALSE)</f>
        <v>White</v>
      </c>
      <c r="AS3" t="str">
        <f>VLOOKUP(D3, METADATALOOKUP!$A:$AI, 11, FALSE)</f>
        <v>Yes</v>
      </c>
      <c r="AT3" t="str">
        <f>VLOOKUP(D3, METADATALOOKUP!$A:$AI, 10, FALSE)</f>
        <v>Non-Hispanic</v>
      </c>
      <c r="AU3" t="str">
        <f>VLOOKUP(D3, METADATALOOKUP!$A:$AI, 12, FALSE)</f>
        <v>No</v>
      </c>
      <c r="AV3" t="str">
        <f>VLOOKUP(D3, METADATALOOKUP!$A:$AI, 14, FALSE)</f>
        <v>T3N2cM0</v>
      </c>
      <c r="AW3" t="str">
        <f>VLOOKUP(D3, METADATALOOKUP!$A:$AI, 6, FALSE)</f>
        <v>High</v>
      </c>
      <c r="AX3" t="str">
        <f>VLOOKUP(D3, METADATALOOKUP!$A:$AI, 19, FALSE)</f>
        <v>Unknown</v>
      </c>
      <c r="AY3">
        <f>LOOKUP(D3, SURVLOOKUP!$A:$A, SURVLOOKUP!$P:$P)</f>
        <v>1</v>
      </c>
      <c r="AZ3" s="46">
        <v>0</v>
      </c>
      <c r="BA3" t="str">
        <f>TEXT(VLOOKUP(D3, METADATALOOKUP!$A:$AI, 34, FALSE), "@")</f>
        <v>&lt;10%</v>
      </c>
      <c r="BB3" s="47" t="str">
        <f t="shared" ref="BB3:BB66" si="14">IF(AZ3=0, "Non-Responder", "Responder")</f>
        <v>Non-Responder</v>
      </c>
      <c r="BC3">
        <v>0.46400000000000002</v>
      </c>
      <c r="BE3">
        <v>24</v>
      </c>
      <c r="BF3">
        <v>2.1551719999999999</v>
      </c>
      <c r="BG3">
        <v>47.844830000000002</v>
      </c>
      <c r="BH3">
        <v>11</v>
      </c>
      <c r="BI3">
        <v>2.2727270000000002</v>
      </c>
      <c r="BJ3" t="s">
        <v>62</v>
      </c>
      <c r="BK3" t="s">
        <v>63</v>
      </c>
      <c r="BL3" t="s">
        <v>64</v>
      </c>
    </row>
    <row r="4" spans="1:64" x14ac:dyDescent="0.2">
      <c r="A4" s="4" t="s">
        <v>65</v>
      </c>
      <c r="B4" t="str">
        <f>VLOOKUP(A4, IDSLOOKUP!C:E, 2, FALSE)</f>
        <v>Adj Wk 1</v>
      </c>
      <c r="C4" t="str">
        <f>VLOOKUP(D4, METADATALOOKUP!$A:$AI, 13, FALSE)</f>
        <v>Oral Cavity</v>
      </c>
      <c r="D4" t="str">
        <f>VLOOKUP(A4, IDSLOOKUP!C:E, 3, FALSE)</f>
        <v>HN01-37</v>
      </c>
      <c r="E4" s="48">
        <f>VLOOKUP(A4,CFDNALOOKUP!AG:AI,2,FALSE)</f>
        <v>44090</v>
      </c>
      <c r="F4" s="48">
        <f>VLOOKUP(A4,CFDNALOOKUP!AG:AI,3,FALSE)</f>
        <v>44179</v>
      </c>
      <c r="G4" s="1">
        <f>VLOOKUP(D4, SURVLOOKUP!$A:$Q, 2, FALSE)</f>
        <v>43514</v>
      </c>
      <c r="H4" s="1">
        <f>VLOOKUP(D4, SURVLOOKUP!$A:$Q, 3, FALSE)</f>
        <v>43531</v>
      </c>
      <c r="I4" s="1">
        <f>VLOOKUP(D4, SURVLOOKUP!$A:$Q, 4, FALSE)</f>
        <v>43535</v>
      </c>
      <c r="J4" s="1">
        <f>VLOOKUP(D4, SURVLOOKUP!$A:$Q, 5, FALSE)</f>
        <v>43542</v>
      </c>
      <c r="K4" s="1">
        <f>VLOOKUP(D4, SURVLOOKUP!$A:$Q, 6, FALSE)</f>
        <v>43586</v>
      </c>
      <c r="L4" s="1">
        <f>VLOOKUP(D4, SURVLOOKUP!$A:$Q, 7, FALSE)</f>
        <v>43628</v>
      </c>
      <c r="M4" s="1">
        <f>VLOOKUP(D4, SURVLOOKUP!$A:$Q, 8, FALSE)</f>
        <v>43581</v>
      </c>
      <c r="N4" s="1">
        <f>VLOOKUP(D4, SURVLOOKUP!$A:$Q, 9, FALSE)</f>
        <v>43683</v>
      </c>
      <c r="O4" s="1" t="str">
        <f>VLOOKUP(D4, SURVLOOKUP!$A:$Q, 10, FALSE)</f>
        <v>NA</v>
      </c>
      <c r="P4" s="1">
        <f>VLOOKUP(D4, OLDSURVLOOKUP!$A:$AA, 19, FALSE)</f>
        <v>44130</v>
      </c>
      <c r="Q4" s="1">
        <f>VLOOKUP(D4, SURVLOOKUP!$A:$Q, 11, FALSE)</f>
        <v>44130</v>
      </c>
      <c r="R4" s="1">
        <f>VLOOKUP(D4, OLDSURVLOOKUP!$A:$AA, 20, FALSE)</f>
        <v>43899</v>
      </c>
      <c r="S4" s="1">
        <f>VLOOKUP(D4, SURVLOOKUP!$A:$Q, 12, FALSE)</f>
        <v>43899</v>
      </c>
      <c r="T4" s="1">
        <f>VLOOKUP(D4, OLDSURVLOOKUP!$A:$AA, 21, FALSE)</f>
        <v>44131</v>
      </c>
      <c r="U4" s="1">
        <f>VLOOKUP(D4, SURVLOOKUP!$A:$Q, 13, FALSE)</f>
        <v>44131</v>
      </c>
      <c r="V4">
        <f>_xlfn.XLOOKUP(D4, OLDSURVLOOKUP!$A:$A, OLDSURVLOOKUP!V:V)</f>
        <v>1</v>
      </c>
      <c r="W4">
        <f>VLOOKUP(D4, SURVLOOKUP!$A:$Q, 14, FALSE)</f>
        <v>1</v>
      </c>
      <c r="X4">
        <f>_xlfn.XLOOKUP(D4, OLDSURVLOOKUP!$A:$A, OLDSURVLOOKUP!X:X)</f>
        <v>1</v>
      </c>
      <c r="Y4">
        <f>VLOOKUP(D4, SURVLOOKUP!$A:$Q, 15, FALSE)</f>
        <v>1</v>
      </c>
      <c r="Z4">
        <f t="shared" si="4"/>
        <v>11.870967741935484</v>
      </c>
      <c r="AA4">
        <f t="shared" si="5"/>
        <v>11.870967741935484</v>
      </c>
      <c r="AB4">
        <f t="shared" si="6"/>
        <v>19.516129032258064</v>
      </c>
      <c r="AC4">
        <f t="shared" si="7"/>
        <v>19.516129032258064</v>
      </c>
      <c r="AD4">
        <f t="shared" si="8"/>
        <v>11.64516129032258</v>
      </c>
      <c r="AE4">
        <f t="shared" si="0"/>
        <v>11.64516129032258</v>
      </c>
      <c r="AF4">
        <f t="shared" si="1"/>
        <v>19.29032258064516</v>
      </c>
      <c r="AG4">
        <f t="shared" si="2"/>
        <v>19.29032258064516</v>
      </c>
      <c r="AH4">
        <f t="shared" si="9"/>
        <v>10.4</v>
      </c>
      <c r="AI4">
        <f t="shared" si="10"/>
        <v>10.4</v>
      </c>
      <c r="AJ4">
        <f t="shared" si="11"/>
        <v>18.033333333333335</v>
      </c>
      <c r="AK4">
        <f t="shared" si="12"/>
        <v>18.033333333333335</v>
      </c>
      <c r="AL4">
        <f t="shared" si="13"/>
        <v>2</v>
      </c>
      <c r="AM4" t="str">
        <f t="shared" si="3"/>
        <v>University of Cincinnati</v>
      </c>
      <c r="AN4">
        <v>0</v>
      </c>
      <c r="AO4">
        <v>1</v>
      </c>
      <c r="AP4">
        <f>VLOOKUP(D4, METADATALOOKUP!$A:$AI, 7, FALSE)</f>
        <v>44</v>
      </c>
      <c r="AQ4" t="str">
        <f>VLOOKUP(D4, METADATALOOKUP!$A:$AI, 8, FALSE)</f>
        <v>Female</v>
      </c>
      <c r="AR4" t="str">
        <f>VLOOKUP(D4, METADATALOOKUP!$A:$AI, 9, FALSE)</f>
        <v>White</v>
      </c>
      <c r="AS4" t="str">
        <f>VLOOKUP(D4, METADATALOOKUP!$A:$AI, 11, FALSE)</f>
        <v>Yes</v>
      </c>
      <c r="AT4" t="str">
        <f>VLOOKUP(D4, METADATALOOKUP!$A:$AI, 10, FALSE)</f>
        <v>Non-Hispanic</v>
      </c>
      <c r="AU4" t="str">
        <f>VLOOKUP(D4, METADATALOOKUP!$A:$AI, 12, FALSE)</f>
        <v>No</v>
      </c>
      <c r="AV4" t="str">
        <f>VLOOKUP(D4, METADATALOOKUP!$A:$AI, 14, FALSE)</f>
        <v>T3N2cM0</v>
      </c>
      <c r="AW4" t="str">
        <f>VLOOKUP(D4, METADATALOOKUP!$A:$AI, 6, FALSE)</f>
        <v>High</v>
      </c>
      <c r="AX4" t="str">
        <f>VLOOKUP(D4, METADATALOOKUP!$A:$AI, 19, FALSE)</f>
        <v>Unknown</v>
      </c>
      <c r="AY4">
        <f>LOOKUP(D4, SURVLOOKUP!$A:$A, SURVLOOKUP!$P:$P)</f>
        <v>1</v>
      </c>
      <c r="AZ4" s="46">
        <v>0</v>
      </c>
      <c r="BA4" t="str">
        <f>TEXT(VLOOKUP(D4, METADATALOOKUP!$A:$AI, 34, FALSE), "@")</f>
        <v>&lt;10%</v>
      </c>
      <c r="BB4" s="47" t="str">
        <f t="shared" si="14"/>
        <v>Non-Responder</v>
      </c>
      <c r="BC4">
        <v>0.2</v>
      </c>
      <c r="BE4">
        <v>24</v>
      </c>
      <c r="BF4">
        <v>5</v>
      </c>
      <c r="BG4">
        <v>45</v>
      </c>
      <c r="BH4">
        <v>12.2</v>
      </c>
      <c r="BI4">
        <v>2.0491799999999998</v>
      </c>
      <c r="BJ4" t="s">
        <v>66</v>
      </c>
      <c r="BK4" t="s">
        <v>67</v>
      </c>
      <c r="BL4" t="s">
        <v>68</v>
      </c>
    </row>
    <row r="5" spans="1:64" x14ac:dyDescent="0.2">
      <c r="A5" s="3" t="s">
        <v>69</v>
      </c>
      <c r="B5" t="str">
        <f>VLOOKUP(A5, IDSLOOKUP!C:E, 2, FALSE)</f>
        <v>Screen</v>
      </c>
      <c r="C5" t="str">
        <f>VLOOKUP(D5, METADATALOOKUP!$A:$AI, 13, FALSE)</f>
        <v>Oral Cavity</v>
      </c>
      <c r="D5" t="str">
        <f>VLOOKUP(A5, IDSLOOKUP!C:E, 3, FALSE)</f>
        <v>HN01-49</v>
      </c>
      <c r="E5" s="48">
        <f>VLOOKUP(A5,CFDNALOOKUP!AG:AI,2,FALSE)</f>
        <v>44090</v>
      </c>
      <c r="F5" s="48">
        <f>VLOOKUP(A5,CFDNALOOKUP!AG:AI,3,FALSE)</f>
        <v>44180</v>
      </c>
      <c r="G5" s="1">
        <f>VLOOKUP(D5, SURVLOOKUP!$A:$Q, 2, FALSE)</f>
        <v>43656</v>
      </c>
      <c r="H5" s="1">
        <f>VLOOKUP(D5, SURVLOOKUP!$A:$Q, 3, FALSE)</f>
        <v>43977</v>
      </c>
      <c r="I5" s="1">
        <f>VLOOKUP(D5, SURVLOOKUP!$A:$Q, 4, FALSE)</f>
        <v>43994</v>
      </c>
      <c r="J5" s="1">
        <f>VLOOKUP(D5, SURVLOOKUP!$A:$Q, 5, FALSE)</f>
        <v>44012</v>
      </c>
      <c r="K5" s="1" t="str">
        <f>VLOOKUP(D5, SURVLOOKUP!$A:$Q, 6, FALSE)</f>
        <v>NA</v>
      </c>
      <c r="L5" s="1" t="str">
        <f>VLOOKUP(D5, SURVLOOKUP!$A:$Q, 7, FALSE)</f>
        <v>NA</v>
      </c>
      <c r="M5" s="1">
        <f>VLOOKUP(D5, SURVLOOKUP!$A:$Q, 8, FALSE)</f>
        <v>44061</v>
      </c>
      <c r="N5" s="1">
        <f>VLOOKUP(D5, SURVLOOKUP!$A:$Q, 9, FALSE)</f>
        <v>44105</v>
      </c>
      <c r="O5" s="1" t="str">
        <f>VLOOKUP(D5, SURVLOOKUP!$A:$Q, 10, FALSE)</f>
        <v>NA</v>
      </c>
      <c r="P5" s="1">
        <f>VLOOKUP(D5, OLDSURVLOOKUP!$A:$AA, 19, FALSE)</f>
        <v>44159</v>
      </c>
      <c r="Q5" s="1">
        <f>VLOOKUP(D5, SURVLOOKUP!$A:$Q, 11, FALSE)</f>
        <v>44159</v>
      </c>
      <c r="R5" s="1">
        <f>VLOOKUP(D5, OLDSURVLOOKUP!$A:$AA, 20, FALSE)</f>
        <v>44106</v>
      </c>
      <c r="S5" s="1">
        <f>VLOOKUP(D5, SURVLOOKUP!$A:$Q, 12, FALSE)</f>
        <v>44106</v>
      </c>
      <c r="T5" s="1">
        <f>VLOOKUP(D5, OLDSURVLOOKUP!$A:$AA, 21, FALSE)</f>
        <v>44160</v>
      </c>
      <c r="U5" s="1">
        <f>VLOOKUP(D5, SURVLOOKUP!$A:$Q, 13, FALSE)</f>
        <v>44160</v>
      </c>
      <c r="V5">
        <f>_xlfn.XLOOKUP(D5, OLDSURVLOOKUP!$A:$A, OLDSURVLOOKUP!V:V)</f>
        <v>1</v>
      </c>
      <c r="W5">
        <f>VLOOKUP(D5, SURVLOOKUP!$A:$Q, 14, FALSE)</f>
        <v>1</v>
      </c>
      <c r="X5">
        <f>_xlfn.XLOOKUP(D5, OLDSURVLOOKUP!$A:$A, OLDSURVLOOKUP!X:X)</f>
        <v>1</v>
      </c>
      <c r="Y5">
        <f>VLOOKUP(D5, SURVLOOKUP!$A:$Q, 15, FALSE)</f>
        <v>1</v>
      </c>
      <c r="Z5">
        <f t="shared" si="4"/>
        <v>3.6666666666666665</v>
      </c>
      <c r="AA5">
        <f t="shared" si="5"/>
        <v>3.6666666666666665</v>
      </c>
      <c r="AB5">
        <f t="shared" si="6"/>
        <v>5.4333333333333336</v>
      </c>
      <c r="AC5">
        <f t="shared" si="7"/>
        <v>5.4333333333333336</v>
      </c>
      <c r="AD5">
        <f t="shared" si="8"/>
        <v>3.0666666666666669</v>
      </c>
      <c r="AE5">
        <f t="shared" si="0"/>
        <v>3.0666666666666669</v>
      </c>
      <c r="AF5">
        <f t="shared" si="1"/>
        <v>4.8666666666666671</v>
      </c>
      <c r="AG5">
        <f t="shared" si="2"/>
        <v>4.8666666666666671</v>
      </c>
      <c r="AH5">
        <f t="shared" si="9"/>
        <v>1.4516129032258065</v>
      </c>
      <c r="AI5">
        <f t="shared" si="10"/>
        <v>1.4516129032258065</v>
      </c>
      <c r="AJ5">
        <f t="shared" si="11"/>
        <v>3.225806451612903</v>
      </c>
      <c r="AK5">
        <f t="shared" si="12"/>
        <v>3.225806451612903</v>
      </c>
      <c r="AL5">
        <f t="shared" si="13"/>
        <v>2</v>
      </c>
      <c r="AM5" t="str">
        <f t="shared" si="3"/>
        <v>University of Cincinnati</v>
      </c>
      <c r="AN5">
        <v>0</v>
      </c>
      <c r="AO5">
        <v>2</v>
      </c>
      <c r="AP5">
        <f>VLOOKUP(D5, METADATALOOKUP!$A:$AI, 7, FALSE)</f>
        <v>51</v>
      </c>
      <c r="AQ5" t="str">
        <f>VLOOKUP(D5, METADATALOOKUP!$A:$AI, 8, FALSE)</f>
        <v>Male</v>
      </c>
      <c r="AR5" t="str">
        <f>VLOOKUP(D5, METADATALOOKUP!$A:$AI, 9, FALSE)</f>
        <v>White</v>
      </c>
      <c r="AS5" t="str">
        <f>VLOOKUP(D5, METADATALOOKUP!$A:$AI, 11, FALSE)</f>
        <v>No</v>
      </c>
      <c r="AT5" t="str">
        <f>VLOOKUP(D5, METADATALOOKUP!$A:$AI, 10, FALSE)</f>
        <v>Non-Hispanic</v>
      </c>
      <c r="AU5" t="str">
        <f>VLOOKUP(D5, METADATALOOKUP!$A:$AI, 12, FALSE)</f>
        <v>No</v>
      </c>
      <c r="AV5" t="str">
        <f>VLOOKUP(D5, METADATALOOKUP!$A:$AI, 14, FALSE)</f>
        <v>T4aN2cM0</v>
      </c>
      <c r="AW5" t="str">
        <f>VLOOKUP(D5, METADATALOOKUP!$A:$AI, 6, FALSE)</f>
        <v xml:space="preserve">High </v>
      </c>
      <c r="AX5" t="str">
        <f>VLOOKUP(D5, METADATALOOKUP!$A:$AI, 19, FALSE)</f>
        <v>Unknown</v>
      </c>
      <c r="AY5">
        <f>LOOKUP(D5, SURVLOOKUP!$A:$A, SURVLOOKUP!$P:$P)</f>
        <v>1</v>
      </c>
      <c r="AZ5" s="46">
        <v>1</v>
      </c>
      <c r="BA5" t="str">
        <f>TEXT(VLOOKUP(D5, METADATALOOKUP!$A:$AI, 34, FALSE), "@")</f>
        <v>10-20%</v>
      </c>
      <c r="BB5" s="47" t="str">
        <f t="shared" si="14"/>
        <v>Responder</v>
      </c>
      <c r="BC5">
        <v>0.16</v>
      </c>
      <c r="BE5">
        <v>24</v>
      </c>
      <c r="BF5">
        <v>6.25</v>
      </c>
      <c r="BG5">
        <v>43.75</v>
      </c>
      <c r="BH5">
        <v>21.6</v>
      </c>
      <c r="BI5">
        <v>1.1574070000000001</v>
      </c>
      <c r="BJ5" t="s">
        <v>74</v>
      </c>
      <c r="BK5" t="s">
        <v>75</v>
      </c>
      <c r="BL5" t="s">
        <v>76</v>
      </c>
    </row>
    <row r="6" spans="1:64" x14ac:dyDescent="0.2">
      <c r="A6" s="3" t="s">
        <v>77</v>
      </c>
      <c r="B6" t="str">
        <f>VLOOKUP(A6, IDSLOOKUP!C:E, 2, FALSE)</f>
        <v>Day 0</v>
      </c>
      <c r="C6" t="str">
        <f>VLOOKUP(D6, METADATALOOKUP!$A:$AI, 13, FALSE)</f>
        <v>Oral Cavity</v>
      </c>
      <c r="D6" t="str">
        <f>VLOOKUP(A6, IDSLOOKUP!C:E, 3, FALSE)</f>
        <v>HN01-49</v>
      </c>
      <c r="E6" s="48">
        <f>VLOOKUP(A6,CFDNALOOKUP!AG:AI,2,FALSE)</f>
        <v>44090</v>
      </c>
      <c r="F6" s="48">
        <f>VLOOKUP(A6,CFDNALOOKUP!AG:AI,3,FALSE)</f>
        <v>44180</v>
      </c>
      <c r="G6" s="1">
        <f>VLOOKUP(D6, SURVLOOKUP!$A:$Q, 2, FALSE)</f>
        <v>43656</v>
      </c>
      <c r="H6" s="1">
        <f>VLOOKUP(D6, SURVLOOKUP!$A:$Q, 3, FALSE)</f>
        <v>43977</v>
      </c>
      <c r="I6" s="1">
        <f>VLOOKUP(D6, SURVLOOKUP!$A:$Q, 4, FALSE)</f>
        <v>43994</v>
      </c>
      <c r="J6" s="1">
        <f>VLOOKUP(D6, SURVLOOKUP!$A:$Q, 5, FALSE)</f>
        <v>44012</v>
      </c>
      <c r="K6" s="1" t="str">
        <f>VLOOKUP(D6, SURVLOOKUP!$A:$Q, 6, FALSE)</f>
        <v>NA</v>
      </c>
      <c r="L6" s="1" t="str">
        <f>VLOOKUP(D6, SURVLOOKUP!$A:$Q, 7, FALSE)</f>
        <v>NA</v>
      </c>
      <c r="M6" s="1">
        <f>VLOOKUP(D6, SURVLOOKUP!$A:$Q, 8, FALSE)</f>
        <v>44061</v>
      </c>
      <c r="N6" s="1">
        <f>VLOOKUP(D6, SURVLOOKUP!$A:$Q, 9, FALSE)</f>
        <v>44105</v>
      </c>
      <c r="O6" s="1" t="str">
        <f>VLOOKUP(D6, SURVLOOKUP!$A:$Q, 10, FALSE)</f>
        <v>NA</v>
      </c>
      <c r="P6" s="1">
        <f>VLOOKUP(D6, OLDSURVLOOKUP!$A:$AA, 19, FALSE)</f>
        <v>44159</v>
      </c>
      <c r="Q6" s="1">
        <f>VLOOKUP(D6, SURVLOOKUP!$A:$Q, 11, FALSE)</f>
        <v>44159</v>
      </c>
      <c r="R6" s="1">
        <f>VLOOKUP(D6, OLDSURVLOOKUP!$A:$AA, 20, FALSE)</f>
        <v>44106</v>
      </c>
      <c r="S6" s="1">
        <f>VLOOKUP(D6, SURVLOOKUP!$A:$Q, 12, FALSE)</f>
        <v>44106</v>
      </c>
      <c r="T6" s="1">
        <f>VLOOKUP(D6, OLDSURVLOOKUP!$A:$AA, 21, FALSE)</f>
        <v>44160</v>
      </c>
      <c r="U6" s="1">
        <f>VLOOKUP(D6, SURVLOOKUP!$A:$Q, 13, FALSE)</f>
        <v>44160</v>
      </c>
      <c r="V6">
        <f>_xlfn.XLOOKUP(D6, OLDSURVLOOKUP!$A:$A, OLDSURVLOOKUP!V:V)</f>
        <v>1</v>
      </c>
      <c r="W6">
        <f>VLOOKUP(D6, SURVLOOKUP!$A:$Q, 14, FALSE)</f>
        <v>1</v>
      </c>
      <c r="X6">
        <f>_xlfn.XLOOKUP(D6, OLDSURVLOOKUP!$A:$A, OLDSURVLOOKUP!X:X)</f>
        <v>1</v>
      </c>
      <c r="Y6">
        <f>VLOOKUP(D6, SURVLOOKUP!$A:$Q, 15, FALSE)</f>
        <v>1</v>
      </c>
      <c r="Z6">
        <f t="shared" si="4"/>
        <v>3.6666666666666665</v>
      </c>
      <c r="AA6">
        <f t="shared" si="5"/>
        <v>3.6666666666666665</v>
      </c>
      <c r="AB6">
        <f t="shared" si="6"/>
        <v>5.4333333333333336</v>
      </c>
      <c r="AC6">
        <f t="shared" si="7"/>
        <v>5.4333333333333336</v>
      </c>
      <c r="AD6">
        <f t="shared" si="8"/>
        <v>3.0666666666666669</v>
      </c>
      <c r="AE6">
        <f t="shared" si="0"/>
        <v>3.0666666666666669</v>
      </c>
      <c r="AF6">
        <f t="shared" si="1"/>
        <v>4.8666666666666671</v>
      </c>
      <c r="AG6">
        <f t="shared" si="2"/>
        <v>4.8666666666666671</v>
      </c>
      <c r="AH6">
        <f t="shared" si="9"/>
        <v>1.4516129032258065</v>
      </c>
      <c r="AI6">
        <f t="shared" si="10"/>
        <v>1.4516129032258065</v>
      </c>
      <c r="AJ6">
        <f t="shared" si="11"/>
        <v>3.225806451612903</v>
      </c>
      <c r="AK6">
        <f t="shared" si="12"/>
        <v>3.225806451612903</v>
      </c>
      <c r="AL6">
        <f t="shared" si="13"/>
        <v>2</v>
      </c>
      <c r="AM6" t="str">
        <f t="shared" si="3"/>
        <v>University of Cincinnati</v>
      </c>
      <c r="AN6">
        <v>0</v>
      </c>
      <c r="AO6">
        <v>2</v>
      </c>
      <c r="AP6">
        <f>VLOOKUP(D6, METADATALOOKUP!$A:$AI, 7, FALSE)</f>
        <v>51</v>
      </c>
      <c r="AQ6" t="str">
        <f>VLOOKUP(D6, METADATALOOKUP!$A:$AI, 8, FALSE)</f>
        <v>Male</v>
      </c>
      <c r="AR6" t="str">
        <f>VLOOKUP(D6, METADATALOOKUP!$A:$AI, 9, FALSE)</f>
        <v>White</v>
      </c>
      <c r="AS6" t="str">
        <f>VLOOKUP(D6, METADATALOOKUP!$A:$AI, 11, FALSE)</f>
        <v>No</v>
      </c>
      <c r="AT6" t="str">
        <f>VLOOKUP(D6, METADATALOOKUP!$A:$AI, 10, FALSE)</f>
        <v>Non-Hispanic</v>
      </c>
      <c r="AU6" t="str">
        <f>VLOOKUP(D6, METADATALOOKUP!$A:$AI, 12, FALSE)</f>
        <v>No</v>
      </c>
      <c r="AV6" t="str">
        <f>VLOOKUP(D6, METADATALOOKUP!$A:$AI, 14, FALSE)</f>
        <v>T4aN2cM0</v>
      </c>
      <c r="AW6" t="str">
        <f>VLOOKUP(D6, METADATALOOKUP!$A:$AI, 6, FALSE)</f>
        <v xml:space="preserve">High </v>
      </c>
      <c r="AX6" t="str">
        <f>VLOOKUP(D6, METADATALOOKUP!$A:$AI, 19, FALSE)</f>
        <v>Unknown</v>
      </c>
      <c r="AY6">
        <f>LOOKUP(D6, SURVLOOKUP!$A:$A, SURVLOOKUP!$P:$P)</f>
        <v>1</v>
      </c>
      <c r="AZ6" s="46">
        <v>1</v>
      </c>
      <c r="BA6" t="str">
        <f>TEXT(VLOOKUP(D6, METADATALOOKUP!$A:$AI, 34, FALSE), "@")</f>
        <v>10-20%</v>
      </c>
      <c r="BB6" s="47" t="str">
        <f t="shared" si="14"/>
        <v>Responder</v>
      </c>
      <c r="BC6">
        <v>0.316</v>
      </c>
      <c r="BE6">
        <v>24</v>
      </c>
      <c r="BF6">
        <v>3.1645569999999998</v>
      </c>
      <c r="BG6">
        <v>46.835439999999998</v>
      </c>
      <c r="BH6">
        <v>20.2</v>
      </c>
      <c r="BI6">
        <v>1.2376240000000001</v>
      </c>
      <c r="BJ6" t="s">
        <v>78</v>
      </c>
      <c r="BK6" t="s">
        <v>79</v>
      </c>
      <c r="BL6" t="s">
        <v>80</v>
      </c>
    </row>
    <row r="7" spans="1:64" x14ac:dyDescent="0.2">
      <c r="A7" s="3" t="s">
        <v>81</v>
      </c>
      <c r="B7" t="str">
        <f>VLOOKUP(A7, IDSLOOKUP!C:E, 2, FALSE)</f>
        <v>Adj Wk 1</v>
      </c>
      <c r="C7" t="str">
        <f>VLOOKUP(D7, METADATALOOKUP!$A:$AI, 13, FALSE)</f>
        <v>Oral Cavity</v>
      </c>
      <c r="D7" t="str">
        <f>VLOOKUP(A7, IDSLOOKUP!C:E, 3, FALSE)</f>
        <v>HN01-49</v>
      </c>
      <c r="E7" s="48">
        <f>VLOOKUP(A7,CFDNALOOKUP!AG:AI,2,FALSE)</f>
        <v>44090</v>
      </c>
      <c r="F7" s="48">
        <f>VLOOKUP(A7,CFDNALOOKUP!AG:AI,3,FALSE)</f>
        <v>44180</v>
      </c>
      <c r="G7" s="1">
        <f>VLOOKUP(D7, SURVLOOKUP!$A:$Q, 2, FALSE)</f>
        <v>43656</v>
      </c>
      <c r="H7" s="1">
        <f>VLOOKUP(D7, SURVLOOKUP!$A:$Q, 3, FALSE)</f>
        <v>43977</v>
      </c>
      <c r="I7" s="1">
        <f>VLOOKUP(D7, SURVLOOKUP!$A:$Q, 4, FALSE)</f>
        <v>43994</v>
      </c>
      <c r="J7" s="1">
        <f>VLOOKUP(D7, SURVLOOKUP!$A:$Q, 5, FALSE)</f>
        <v>44012</v>
      </c>
      <c r="K7" s="1" t="str">
        <f>VLOOKUP(D7, SURVLOOKUP!$A:$Q, 6, FALSE)</f>
        <v>NA</v>
      </c>
      <c r="L7" s="1" t="str">
        <f>VLOOKUP(D7, SURVLOOKUP!$A:$Q, 7, FALSE)</f>
        <v>NA</v>
      </c>
      <c r="M7" s="1">
        <f>VLOOKUP(D7, SURVLOOKUP!$A:$Q, 8, FALSE)</f>
        <v>44061</v>
      </c>
      <c r="N7" s="1">
        <f>VLOOKUP(D7, SURVLOOKUP!$A:$Q, 9, FALSE)</f>
        <v>44105</v>
      </c>
      <c r="O7" s="1" t="str">
        <f>VLOOKUP(D7, SURVLOOKUP!$A:$Q, 10, FALSE)</f>
        <v>NA</v>
      </c>
      <c r="P7" s="1">
        <f>VLOOKUP(D7, OLDSURVLOOKUP!$A:$AA, 19, FALSE)</f>
        <v>44159</v>
      </c>
      <c r="Q7" s="1">
        <f>VLOOKUP(D7, SURVLOOKUP!$A:$Q, 11, FALSE)</f>
        <v>44159</v>
      </c>
      <c r="R7" s="1">
        <f>VLOOKUP(D7, OLDSURVLOOKUP!$A:$AA, 20, FALSE)</f>
        <v>44106</v>
      </c>
      <c r="S7" s="1">
        <f>VLOOKUP(D7, SURVLOOKUP!$A:$Q, 12, FALSE)</f>
        <v>44106</v>
      </c>
      <c r="T7" s="1">
        <f>VLOOKUP(D7, OLDSURVLOOKUP!$A:$AA, 21, FALSE)</f>
        <v>44160</v>
      </c>
      <c r="U7" s="1">
        <f>VLOOKUP(D7, SURVLOOKUP!$A:$Q, 13, FALSE)</f>
        <v>44160</v>
      </c>
      <c r="V7">
        <f>_xlfn.XLOOKUP(D7, OLDSURVLOOKUP!$A:$A, OLDSURVLOOKUP!V:V)</f>
        <v>1</v>
      </c>
      <c r="W7">
        <f>VLOOKUP(D7, SURVLOOKUP!$A:$Q, 14, FALSE)</f>
        <v>1</v>
      </c>
      <c r="X7">
        <f>_xlfn.XLOOKUP(D7, OLDSURVLOOKUP!$A:$A, OLDSURVLOOKUP!X:X)</f>
        <v>1</v>
      </c>
      <c r="Y7">
        <f>VLOOKUP(D7, SURVLOOKUP!$A:$Q, 15, FALSE)</f>
        <v>1</v>
      </c>
      <c r="Z7">
        <f t="shared" si="4"/>
        <v>3.6666666666666665</v>
      </c>
      <c r="AA7">
        <f t="shared" si="5"/>
        <v>3.6666666666666665</v>
      </c>
      <c r="AB7">
        <f t="shared" si="6"/>
        <v>5.4333333333333336</v>
      </c>
      <c r="AC7">
        <f t="shared" si="7"/>
        <v>5.4333333333333336</v>
      </c>
      <c r="AD7">
        <f t="shared" si="8"/>
        <v>3.0666666666666669</v>
      </c>
      <c r="AE7">
        <f t="shared" si="0"/>
        <v>3.0666666666666669</v>
      </c>
      <c r="AF7">
        <f t="shared" si="1"/>
        <v>4.8666666666666671</v>
      </c>
      <c r="AG7">
        <f t="shared" si="2"/>
        <v>4.8666666666666671</v>
      </c>
      <c r="AH7">
        <f t="shared" si="9"/>
        <v>1.4516129032258065</v>
      </c>
      <c r="AI7">
        <f t="shared" si="10"/>
        <v>1.4516129032258065</v>
      </c>
      <c r="AJ7">
        <f t="shared" si="11"/>
        <v>3.225806451612903</v>
      </c>
      <c r="AK7">
        <f t="shared" si="12"/>
        <v>3.225806451612903</v>
      </c>
      <c r="AL7">
        <f t="shared" si="13"/>
        <v>2</v>
      </c>
      <c r="AM7" t="str">
        <f t="shared" si="3"/>
        <v>University of Cincinnati</v>
      </c>
      <c r="AN7">
        <v>0</v>
      </c>
      <c r="AO7">
        <v>2</v>
      </c>
      <c r="AP7">
        <f>VLOOKUP(D7, METADATALOOKUP!$A:$AI, 7, FALSE)</f>
        <v>51</v>
      </c>
      <c r="AQ7" t="str">
        <f>VLOOKUP(D7, METADATALOOKUP!$A:$AI, 8, FALSE)</f>
        <v>Male</v>
      </c>
      <c r="AR7" t="str">
        <f>VLOOKUP(D7, METADATALOOKUP!$A:$AI, 9, FALSE)</f>
        <v>White</v>
      </c>
      <c r="AS7" t="str">
        <f>VLOOKUP(D7, METADATALOOKUP!$A:$AI, 11, FALSE)</f>
        <v>No</v>
      </c>
      <c r="AT7" t="str">
        <f>VLOOKUP(D7, METADATALOOKUP!$A:$AI, 10, FALSE)</f>
        <v>Non-Hispanic</v>
      </c>
      <c r="AU7" t="str">
        <f>VLOOKUP(D7, METADATALOOKUP!$A:$AI, 12, FALSE)</f>
        <v>No</v>
      </c>
      <c r="AV7" t="str">
        <f>VLOOKUP(D7, METADATALOOKUP!$A:$AI, 14, FALSE)</f>
        <v>T4aN2cM0</v>
      </c>
      <c r="AW7" t="str">
        <f>VLOOKUP(D7, METADATALOOKUP!$A:$AI, 6, FALSE)</f>
        <v xml:space="preserve">High </v>
      </c>
      <c r="AX7" t="str">
        <f>VLOOKUP(D7, METADATALOOKUP!$A:$AI, 19, FALSE)</f>
        <v>Unknown</v>
      </c>
      <c r="AY7">
        <f>LOOKUP(D7, SURVLOOKUP!$A:$A, SURVLOOKUP!$P:$P)</f>
        <v>1</v>
      </c>
      <c r="AZ7" s="46">
        <v>1</v>
      </c>
      <c r="BA7" t="str">
        <f>TEXT(VLOOKUP(D7, METADATALOOKUP!$A:$AI, 34, FALSE), "@")</f>
        <v>10-20%</v>
      </c>
      <c r="BB7" s="47" t="str">
        <f t="shared" si="14"/>
        <v>Responder</v>
      </c>
      <c r="BC7">
        <v>0.188</v>
      </c>
      <c r="BE7">
        <v>24</v>
      </c>
      <c r="BF7">
        <v>5.3191490000000003</v>
      </c>
      <c r="BG7">
        <v>44.68085</v>
      </c>
      <c r="BH7">
        <v>16.8</v>
      </c>
      <c r="BI7">
        <v>1.4880949999999999</v>
      </c>
      <c r="BJ7" t="s">
        <v>82</v>
      </c>
      <c r="BK7" t="s">
        <v>83</v>
      </c>
      <c r="BL7" t="s">
        <v>84</v>
      </c>
    </row>
    <row r="8" spans="1:64" x14ac:dyDescent="0.2">
      <c r="A8" s="3" t="s">
        <v>85</v>
      </c>
      <c r="B8" t="str">
        <f>VLOOKUP(A8, IDSLOOKUP!C:E, 2, FALSE)</f>
        <v>Screen</v>
      </c>
      <c r="C8" t="str">
        <f>VLOOKUP(D8, METADATALOOKUP!$A:$AI, 13, FALSE)</f>
        <v>Oral Cavity</v>
      </c>
      <c r="D8" t="str">
        <f>VLOOKUP(A8, IDSLOOKUP!C:E, 3, FALSE)</f>
        <v>HN01-50</v>
      </c>
      <c r="E8" s="48">
        <f>VLOOKUP(A8,CFDNALOOKUP!AG:AI,2,FALSE)</f>
        <v>44090</v>
      </c>
      <c r="F8" s="48">
        <f>VLOOKUP(A8,CFDNALOOKUP!AG:AI,3,FALSE)</f>
        <v>44179</v>
      </c>
      <c r="G8" s="1">
        <f>VLOOKUP(D8, SURVLOOKUP!$A:$Q, 2, FALSE)</f>
        <v>43972</v>
      </c>
      <c r="H8" s="1">
        <f>VLOOKUP(D8, SURVLOOKUP!$A:$Q, 3, FALSE)</f>
        <v>43990</v>
      </c>
      <c r="I8" s="1">
        <f>VLOOKUP(D8, SURVLOOKUP!$A:$Q, 4, FALSE)</f>
        <v>43994</v>
      </c>
      <c r="J8" s="1">
        <f>VLOOKUP(D8, SURVLOOKUP!$A:$Q, 5, FALSE)</f>
        <v>44001</v>
      </c>
      <c r="K8" s="1">
        <f>VLOOKUP(D8, SURVLOOKUP!$A:$Q, 6, FALSE)</f>
        <v>44039</v>
      </c>
      <c r="L8" s="1">
        <f>VLOOKUP(D8, SURVLOOKUP!$A:$Q, 7, FALSE)</f>
        <v>44078</v>
      </c>
      <c r="M8" s="1">
        <f>VLOOKUP(D8, SURVLOOKUP!$A:$Q, 8, FALSE)</f>
        <v>44033</v>
      </c>
      <c r="N8" s="1">
        <f>VLOOKUP(D8, SURVLOOKUP!$A:$Q, 9, FALSE)</f>
        <v>44159</v>
      </c>
      <c r="O8" s="1" t="str">
        <f>VLOOKUP(D8, SURVLOOKUP!$A:$Q, 10, FALSE)</f>
        <v>NA</v>
      </c>
      <c r="P8" s="1">
        <f>VLOOKUP(D8, OLDSURVLOOKUP!$A:$AA, 19, FALSE)</f>
        <v>44341</v>
      </c>
      <c r="Q8" s="1">
        <f>VLOOKUP(D8, SURVLOOKUP!$A:$Q, 11, FALSE)</f>
        <v>45678</v>
      </c>
      <c r="R8" s="1"/>
      <c r="S8" s="1"/>
      <c r="T8" s="1"/>
      <c r="U8" s="1"/>
      <c r="V8">
        <f>_xlfn.XLOOKUP(D8, OLDSURVLOOKUP!$A:$A, OLDSURVLOOKUP!V:V)</f>
        <v>0</v>
      </c>
      <c r="W8">
        <f>VLOOKUP(D8, SURVLOOKUP!$A:$Q, 14, FALSE)</f>
        <v>0</v>
      </c>
      <c r="X8">
        <f>_xlfn.XLOOKUP(D8, OLDSURVLOOKUP!$A:$A, OLDSURVLOOKUP!X:X)</f>
        <v>0</v>
      </c>
      <c r="Y8">
        <f>VLOOKUP(D8, SURVLOOKUP!$A:$Q, 15, FALSE)</f>
        <v>0</v>
      </c>
      <c r="Z8">
        <f t="shared" si="4"/>
        <v>11.433333333333334</v>
      </c>
      <c r="AA8">
        <f t="shared" si="5"/>
        <v>55.3</v>
      </c>
      <c r="AB8">
        <f t="shared" si="6"/>
        <v>11.433333333333334</v>
      </c>
      <c r="AC8">
        <f t="shared" si="7"/>
        <v>55.3</v>
      </c>
      <c r="AD8">
        <f t="shared" si="8"/>
        <v>11.2</v>
      </c>
      <c r="AE8">
        <f t="shared" si="0"/>
        <v>55.06666666666667</v>
      </c>
      <c r="AF8">
        <f t="shared" si="1"/>
        <v>11.2</v>
      </c>
      <c r="AG8">
        <f t="shared" si="2"/>
        <v>55.06666666666667</v>
      </c>
      <c r="AH8">
        <f t="shared" si="9"/>
        <v>10.129032258064516</v>
      </c>
      <c r="AI8">
        <f t="shared" si="10"/>
        <v>54</v>
      </c>
      <c r="AJ8">
        <f t="shared" si="11"/>
        <v>10.129032258064516</v>
      </c>
      <c r="AK8">
        <f t="shared" si="12"/>
        <v>54</v>
      </c>
      <c r="AL8">
        <f t="shared" si="13"/>
        <v>2</v>
      </c>
      <c r="AM8" t="str">
        <f t="shared" si="3"/>
        <v>University of Cincinnati</v>
      </c>
      <c r="AN8">
        <v>0</v>
      </c>
      <c r="AO8">
        <v>3</v>
      </c>
      <c r="AP8">
        <f>VLOOKUP(D8, METADATALOOKUP!$A:$AI, 7, FALSE)</f>
        <v>71</v>
      </c>
      <c r="AQ8" t="str">
        <f>VLOOKUP(D8, METADATALOOKUP!$A:$AI, 8, FALSE)</f>
        <v>Female</v>
      </c>
      <c r="AR8" t="str">
        <f>VLOOKUP(D8, METADATALOOKUP!$A:$AI, 9, FALSE)</f>
        <v>White</v>
      </c>
      <c r="AS8" t="str">
        <f>VLOOKUP(D8, METADATALOOKUP!$A:$AI, 11, FALSE)</f>
        <v>Yes</v>
      </c>
      <c r="AT8" t="str">
        <f>VLOOKUP(D8, METADATALOOKUP!$A:$AI, 10, FALSE)</f>
        <v>Non-Hispanic</v>
      </c>
      <c r="AU8" t="str">
        <f>VLOOKUP(D8, METADATALOOKUP!$A:$AI, 12, FALSE)</f>
        <v>No</v>
      </c>
      <c r="AV8" t="str">
        <f>VLOOKUP(D8, METADATALOOKUP!$A:$AI, 14, FALSE)</f>
        <v>T4aN2bM0</v>
      </c>
      <c r="AW8" t="str">
        <f>VLOOKUP(D8, METADATALOOKUP!$A:$AI, 6, FALSE)</f>
        <v xml:space="preserve">High </v>
      </c>
      <c r="AX8" t="str">
        <f>VLOOKUP(D8, METADATALOOKUP!$A:$AI, 19, FALSE)</f>
        <v>Unknown</v>
      </c>
      <c r="AY8">
        <f>LOOKUP(D8, SURVLOOKUP!$A:$A, SURVLOOKUP!$P:$P)</f>
        <v>1</v>
      </c>
      <c r="AZ8" s="46">
        <v>1</v>
      </c>
      <c r="BA8" t="str">
        <f>TEXT(VLOOKUP(D8, METADATALOOKUP!$A:$AI, 34, FALSE), "@")</f>
        <v>10-20%</v>
      </c>
      <c r="BB8" s="47" t="str">
        <f t="shared" si="14"/>
        <v>Responder</v>
      </c>
      <c r="BC8">
        <v>0.16</v>
      </c>
      <c r="BE8">
        <v>24</v>
      </c>
      <c r="BF8">
        <v>6.25</v>
      </c>
      <c r="BG8">
        <v>43.75</v>
      </c>
      <c r="BH8">
        <v>19.8</v>
      </c>
      <c r="BI8">
        <v>1.262626</v>
      </c>
      <c r="BJ8" t="s">
        <v>88</v>
      </c>
      <c r="BK8" t="s">
        <v>89</v>
      </c>
      <c r="BL8" t="s">
        <v>90</v>
      </c>
    </row>
    <row r="9" spans="1:64" x14ac:dyDescent="0.2">
      <c r="A9" s="3" t="s">
        <v>91</v>
      </c>
      <c r="B9" t="str">
        <f>VLOOKUP(A9, IDSLOOKUP!C:E, 2, FALSE)</f>
        <v>Day 0</v>
      </c>
      <c r="C9" t="str">
        <f>VLOOKUP(D9, METADATALOOKUP!$A:$AI, 13, FALSE)</f>
        <v>Oral Cavity</v>
      </c>
      <c r="D9" t="str">
        <f>VLOOKUP(A9, IDSLOOKUP!C:E, 3, FALSE)</f>
        <v>HN01-50</v>
      </c>
      <c r="E9" s="48">
        <f>VLOOKUP(A9,CFDNALOOKUP!AG:AI,2,FALSE)</f>
        <v>44090</v>
      </c>
      <c r="F9" s="48">
        <f>VLOOKUP(A9,CFDNALOOKUP!AG:AI,3,FALSE)</f>
        <v>44179</v>
      </c>
      <c r="G9" s="1">
        <f>VLOOKUP(D9, SURVLOOKUP!$A:$Q, 2, FALSE)</f>
        <v>43972</v>
      </c>
      <c r="H9" s="1">
        <f>VLOOKUP(D9, SURVLOOKUP!$A:$Q, 3, FALSE)</f>
        <v>43990</v>
      </c>
      <c r="I9" s="1">
        <f>VLOOKUP(D9, SURVLOOKUP!$A:$Q, 4, FALSE)</f>
        <v>43994</v>
      </c>
      <c r="J9" s="1">
        <f>VLOOKUP(D9, SURVLOOKUP!$A:$Q, 5, FALSE)</f>
        <v>44001</v>
      </c>
      <c r="K9" s="1">
        <f>VLOOKUP(D9, SURVLOOKUP!$A:$Q, 6, FALSE)</f>
        <v>44039</v>
      </c>
      <c r="L9" s="1">
        <f>VLOOKUP(D9, SURVLOOKUP!$A:$Q, 7, FALSE)</f>
        <v>44078</v>
      </c>
      <c r="M9" s="1">
        <f>VLOOKUP(D9, SURVLOOKUP!$A:$Q, 8, FALSE)</f>
        <v>44033</v>
      </c>
      <c r="N9" s="1">
        <f>VLOOKUP(D9, SURVLOOKUP!$A:$Q, 9, FALSE)</f>
        <v>44159</v>
      </c>
      <c r="O9" s="1" t="str">
        <f>VLOOKUP(D9, SURVLOOKUP!$A:$Q, 10, FALSE)</f>
        <v>NA</v>
      </c>
      <c r="P9" s="1">
        <f>VLOOKUP(D9, OLDSURVLOOKUP!$A:$AA, 19, FALSE)</f>
        <v>44341</v>
      </c>
      <c r="Q9" s="1">
        <f>VLOOKUP(D9, SURVLOOKUP!$A:$Q, 11, FALSE)</f>
        <v>45678</v>
      </c>
      <c r="R9" s="1"/>
      <c r="S9" s="1"/>
      <c r="T9" s="1"/>
      <c r="U9" s="1"/>
      <c r="V9">
        <f>_xlfn.XLOOKUP(D9, OLDSURVLOOKUP!$A:$A, OLDSURVLOOKUP!V:V)</f>
        <v>0</v>
      </c>
      <c r="W9">
        <f>VLOOKUP(D9, SURVLOOKUP!$A:$Q, 14, FALSE)</f>
        <v>0</v>
      </c>
      <c r="X9">
        <f>_xlfn.XLOOKUP(D9, OLDSURVLOOKUP!$A:$A, OLDSURVLOOKUP!X:X)</f>
        <v>0</v>
      </c>
      <c r="Y9">
        <f>VLOOKUP(D9, SURVLOOKUP!$A:$Q, 15, FALSE)</f>
        <v>0</v>
      </c>
      <c r="Z9">
        <f t="shared" si="4"/>
        <v>11.433333333333334</v>
      </c>
      <c r="AA9">
        <f t="shared" si="5"/>
        <v>55.3</v>
      </c>
      <c r="AB9">
        <f t="shared" si="6"/>
        <v>11.433333333333334</v>
      </c>
      <c r="AC9">
        <f t="shared" si="7"/>
        <v>55.3</v>
      </c>
      <c r="AD9">
        <f t="shared" si="8"/>
        <v>11.2</v>
      </c>
      <c r="AE9">
        <f t="shared" si="0"/>
        <v>55.06666666666667</v>
      </c>
      <c r="AF9">
        <f t="shared" si="1"/>
        <v>11.2</v>
      </c>
      <c r="AG9">
        <f t="shared" si="2"/>
        <v>55.06666666666667</v>
      </c>
      <c r="AH9">
        <f t="shared" si="9"/>
        <v>10.129032258064516</v>
      </c>
      <c r="AI9">
        <f t="shared" si="10"/>
        <v>54</v>
      </c>
      <c r="AJ9">
        <f t="shared" si="11"/>
        <v>10.129032258064516</v>
      </c>
      <c r="AK9">
        <f t="shared" si="12"/>
        <v>54</v>
      </c>
      <c r="AL9">
        <f t="shared" si="13"/>
        <v>2</v>
      </c>
      <c r="AM9" t="str">
        <f t="shared" si="3"/>
        <v>University of Cincinnati</v>
      </c>
      <c r="AN9">
        <v>0</v>
      </c>
      <c r="AO9">
        <v>3</v>
      </c>
      <c r="AP9">
        <f>VLOOKUP(D9, METADATALOOKUP!$A:$AI, 7, FALSE)</f>
        <v>71</v>
      </c>
      <c r="AQ9" t="str">
        <f>VLOOKUP(D9, METADATALOOKUP!$A:$AI, 8, FALSE)</f>
        <v>Female</v>
      </c>
      <c r="AR9" t="str">
        <f>VLOOKUP(D9, METADATALOOKUP!$A:$AI, 9, FALSE)</f>
        <v>White</v>
      </c>
      <c r="AS9" t="str">
        <f>VLOOKUP(D9, METADATALOOKUP!$A:$AI, 11, FALSE)</f>
        <v>Yes</v>
      </c>
      <c r="AT9" t="str">
        <f>VLOOKUP(D9, METADATALOOKUP!$A:$AI, 10, FALSE)</f>
        <v>Non-Hispanic</v>
      </c>
      <c r="AU9" t="str">
        <f>VLOOKUP(D9, METADATALOOKUP!$A:$AI, 12, FALSE)</f>
        <v>No</v>
      </c>
      <c r="AV9" t="str">
        <f>VLOOKUP(D9, METADATALOOKUP!$A:$AI, 14, FALSE)</f>
        <v>T4aN2bM0</v>
      </c>
      <c r="AW9" t="str">
        <f>VLOOKUP(D9, METADATALOOKUP!$A:$AI, 6, FALSE)</f>
        <v xml:space="preserve">High </v>
      </c>
      <c r="AX9" t="str">
        <f>VLOOKUP(D9, METADATALOOKUP!$A:$AI, 19, FALSE)</f>
        <v>Unknown</v>
      </c>
      <c r="AY9">
        <f>LOOKUP(D9, SURVLOOKUP!$A:$A, SURVLOOKUP!$P:$P)</f>
        <v>1</v>
      </c>
      <c r="AZ9" s="46">
        <v>1</v>
      </c>
      <c r="BA9" t="str">
        <f>TEXT(VLOOKUP(D9, METADATALOOKUP!$A:$AI, 34, FALSE), "@")</f>
        <v>10-20%</v>
      </c>
      <c r="BB9" s="47" t="str">
        <f t="shared" si="14"/>
        <v>Responder</v>
      </c>
      <c r="BC9">
        <v>0.2</v>
      </c>
      <c r="BE9">
        <v>24</v>
      </c>
      <c r="BF9">
        <v>5</v>
      </c>
      <c r="BG9">
        <v>45</v>
      </c>
      <c r="BH9">
        <v>19.8</v>
      </c>
      <c r="BI9">
        <v>1.262626</v>
      </c>
      <c r="BJ9" t="s">
        <v>92</v>
      </c>
      <c r="BK9" t="s">
        <v>93</v>
      </c>
      <c r="BL9" t="s">
        <v>94</v>
      </c>
    </row>
    <row r="10" spans="1:64" x14ac:dyDescent="0.2">
      <c r="A10" s="3" t="s">
        <v>95</v>
      </c>
      <c r="B10" t="str">
        <f>VLOOKUP(A10, IDSLOOKUP!C:E, 2, FALSE)</f>
        <v>Adj Wk 1</v>
      </c>
      <c r="C10" t="str">
        <f>VLOOKUP(D10, METADATALOOKUP!$A:$AI, 13, FALSE)</f>
        <v>Oral Cavity</v>
      </c>
      <c r="D10" t="str">
        <f>VLOOKUP(A10, IDSLOOKUP!C:E, 3, FALSE)</f>
        <v>HN01-50</v>
      </c>
      <c r="E10" s="48">
        <f>VLOOKUP(A10,CFDNALOOKUP!AG:AI,2,FALSE)</f>
        <v>44090</v>
      </c>
      <c r="F10" s="48">
        <f>VLOOKUP(A10,CFDNALOOKUP!AG:AI,3,FALSE)</f>
        <v>44179</v>
      </c>
      <c r="G10" s="1">
        <f>VLOOKUP(D10, SURVLOOKUP!$A:$Q, 2, FALSE)</f>
        <v>43972</v>
      </c>
      <c r="H10" s="1">
        <f>VLOOKUP(D10, SURVLOOKUP!$A:$Q, 3, FALSE)</f>
        <v>43990</v>
      </c>
      <c r="I10" s="1">
        <f>VLOOKUP(D10, SURVLOOKUP!$A:$Q, 4, FALSE)</f>
        <v>43994</v>
      </c>
      <c r="J10" s="1">
        <f>VLOOKUP(D10, SURVLOOKUP!$A:$Q, 5, FALSE)</f>
        <v>44001</v>
      </c>
      <c r="K10" s="1">
        <f>VLOOKUP(D10, SURVLOOKUP!$A:$Q, 6, FALSE)</f>
        <v>44039</v>
      </c>
      <c r="L10" s="1">
        <f>VLOOKUP(D10, SURVLOOKUP!$A:$Q, 7, FALSE)</f>
        <v>44078</v>
      </c>
      <c r="M10" s="1">
        <f>VLOOKUP(D10, SURVLOOKUP!$A:$Q, 8, FALSE)</f>
        <v>44033</v>
      </c>
      <c r="N10" s="1">
        <f>VLOOKUP(D10, SURVLOOKUP!$A:$Q, 9, FALSE)</f>
        <v>44159</v>
      </c>
      <c r="O10" s="1" t="str">
        <f>VLOOKUP(D10, SURVLOOKUP!$A:$Q, 10, FALSE)</f>
        <v>NA</v>
      </c>
      <c r="P10" s="1">
        <f>VLOOKUP(D10, OLDSURVLOOKUP!$A:$AA, 19, FALSE)</f>
        <v>44341</v>
      </c>
      <c r="Q10" s="1">
        <f>VLOOKUP(D10, SURVLOOKUP!$A:$Q, 11, FALSE)</f>
        <v>45678</v>
      </c>
      <c r="R10" s="1"/>
      <c r="S10" s="1"/>
      <c r="T10" s="1"/>
      <c r="U10" s="1"/>
      <c r="V10">
        <f>_xlfn.XLOOKUP(D10, OLDSURVLOOKUP!$A:$A, OLDSURVLOOKUP!V:V)</f>
        <v>0</v>
      </c>
      <c r="W10">
        <f>VLOOKUP(D10, SURVLOOKUP!$A:$Q, 14, FALSE)</f>
        <v>0</v>
      </c>
      <c r="X10">
        <f>_xlfn.XLOOKUP(D10, OLDSURVLOOKUP!$A:$A, OLDSURVLOOKUP!X:X)</f>
        <v>0</v>
      </c>
      <c r="Y10">
        <f>VLOOKUP(D10, SURVLOOKUP!$A:$Q, 15, FALSE)</f>
        <v>0</v>
      </c>
      <c r="Z10">
        <f t="shared" si="4"/>
        <v>11.433333333333334</v>
      </c>
      <c r="AA10">
        <f t="shared" si="5"/>
        <v>55.3</v>
      </c>
      <c r="AB10">
        <f t="shared" si="6"/>
        <v>11.433333333333334</v>
      </c>
      <c r="AC10">
        <f t="shared" si="7"/>
        <v>55.3</v>
      </c>
      <c r="AD10">
        <f t="shared" si="8"/>
        <v>11.2</v>
      </c>
      <c r="AE10">
        <f t="shared" si="0"/>
        <v>55.06666666666667</v>
      </c>
      <c r="AF10">
        <f t="shared" si="1"/>
        <v>11.2</v>
      </c>
      <c r="AG10">
        <f t="shared" si="2"/>
        <v>55.06666666666667</v>
      </c>
      <c r="AH10">
        <f t="shared" si="9"/>
        <v>10.129032258064516</v>
      </c>
      <c r="AI10">
        <f t="shared" si="10"/>
        <v>54</v>
      </c>
      <c r="AJ10">
        <f t="shared" si="11"/>
        <v>10.129032258064516</v>
      </c>
      <c r="AK10">
        <f t="shared" si="12"/>
        <v>54</v>
      </c>
      <c r="AL10">
        <f t="shared" si="13"/>
        <v>2</v>
      </c>
      <c r="AM10" t="str">
        <f t="shared" si="3"/>
        <v>University of Cincinnati</v>
      </c>
      <c r="AN10">
        <v>0</v>
      </c>
      <c r="AO10">
        <v>3</v>
      </c>
      <c r="AP10">
        <f>VLOOKUP(D10, METADATALOOKUP!$A:$AI, 7, FALSE)</f>
        <v>71</v>
      </c>
      <c r="AQ10" t="str">
        <f>VLOOKUP(D10, METADATALOOKUP!$A:$AI, 8, FALSE)</f>
        <v>Female</v>
      </c>
      <c r="AR10" t="str">
        <f>VLOOKUP(D10, METADATALOOKUP!$A:$AI, 9, FALSE)</f>
        <v>White</v>
      </c>
      <c r="AS10" t="str">
        <f>VLOOKUP(D10, METADATALOOKUP!$A:$AI, 11, FALSE)</f>
        <v>Yes</v>
      </c>
      <c r="AT10" t="str">
        <f>VLOOKUP(D10, METADATALOOKUP!$A:$AI, 10, FALSE)</f>
        <v>Non-Hispanic</v>
      </c>
      <c r="AU10" t="str">
        <f>VLOOKUP(D10, METADATALOOKUP!$A:$AI, 12, FALSE)</f>
        <v>No</v>
      </c>
      <c r="AV10" t="str">
        <f>VLOOKUP(D10, METADATALOOKUP!$A:$AI, 14, FALSE)</f>
        <v>T4aN2bM0</v>
      </c>
      <c r="AW10" t="str">
        <f>VLOOKUP(D10, METADATALOOKUP!$A:$AI, 6, FALSE)</f>
        <v xml:space="preserve">High </v>
      </c>
      <c r="AX10" t="str">
        <f>VLOOKUP(D10, METADATALOOKUP!$A:$AI, 19, FALSE)</f>
        <v>Unknown</v>
      </c>
      <c r="AY10">
        <f>LOOKUP(D10, SURVLOOKUP!$A:$A, SURVLOOKUP!$P:$P)</f>
        <v>1</v>
      </c>
      <c r="AZ10" s="46">
        <v>1</v>
      </c>
      <c r="BA10" t="str">
        <f>TEXT(VLOOKUP(D10, METADATALOOKUP!$A:$AI, 34, FALSE), "@")</f>
        <v>10-20%</v>
      </c>
      <c r="BB10" s="47" t="str">
        <f t="shared" si="14"/>
        <v>Responder</v>
      </c>
      <c r="BC10">
        <v>0.16600000000000001</v>
      </c>
      <c r="BE10">
        <v>24</v>
      </c>
      <c r="BF10">
        <v>6.0240960000000001</v>
      </c>
      <c r="BG10">
        <v>43.975900000000003</v>
      </c>
      <c r="BH10">
        <v>25.4</v>
      </c>
      <c r="BI10">
        <v>0.98425200000000002</v>
      </c>
      <c r="BJ10" t="s">
        <v>74</v>
      </c>
      <c r="BK10" t="s">
        <v>75</v>
      </c>
      <c r="BL10" t="s">
        <v>76</v>
      </c>
    </row>
    <row r="11" spans="1:64" x14ac:dyDescent="0.2">
      <c r="A11" s="3" t="s">
        <v>96</v>
      </c>
      <c r="B11" t="str">
        <f>VLOOKUP(A11, IDSLOOKUP!C:E, 2, FALSE)</f>
        <v>Screen</v>
      </c>
      <c r="C11" t="str">
        <f>(_xlfn.XLOOKUP(D11,RAWMETADATALOOKUP_P1!A:A,RAWMETADATALOOKUP_P1!M:M))</f>
        <v>Larynx</v>
      </c>
      <c r="D11" t="str">
        <f>VLOOKUP(A11, IDSLOOKUP!C:E, 3, FALSE)</f>
        <v>HN01-51</v>
      </c>
      <c r="E11" s="48">
        <f>VLOOKUP(A11,CFDNALOOKUP!AG:AI,2,FALSE)</f>
        <v>44090</v>
      </c>
      <c r="F11" s="48">
        <f>VLOOKUP(A11,CFDNALOOKUP!AG:AI,3,FALSE)</f>
        <v>44180</v>
      </c>
      <c r="G11" s="1">
        <f>VLOOKUP(D11, SURVLOOKUP!$A:$Q, 2, FALSE)</f>
        <v>43974</v>
      </c>
      <c r="H11" s="1">
        <f>VLOOKUP(D11, SURVLOOKUP!$A:$Q, 3, FALSE)</f>
        <v>43997</v>
      </c>
      <c r="I11" s="1">
        <f>VLOOKUP(D11, SURVLOOKUP!$A:$Q, 4, FALSE)</f>
        <v>44000</v>
      </c>
      <c r="J11" s="1">
        <f>VLOOKUP(D11, SURVLOOKUP!$A:$Q, 5, FALSE)</f>
        <v>44008</v>
      </c>
      <c r="K11" s="1" t="str">
        <f>VLOOKUP(D11, SURVLOOKUP!$A:$Q, 6, FALSE)</f>
        <v>NA</v>
      </c>
      <c r="L11" s="1" t="str">
        <f>VLOOKUP(D11, SURVLOOKUP!$A:$Q, 7, FALSE)</f>
        <v>NA</v>
      </c>
      <c r="M11" s="1" t="str">
        <f>VLOOKUP(D11, SURVLOOKUP!$A:$Q, 8, FALSE)</f>
        <v>NA</v>
      </c>
      <c r="N11" s="1" t="str">
        <f>VLOOKUP(D11, SURVLOOKUP!$A:$Q, 9, FALSE)</f>
        <v>NA</v>
      </c>
      <c r="O11" s="1" t="str">
        <f>VLOOKUP(D11, SURVLOOKUP!$A:$Q, 10, FALSE)</f>
        <v>NA</v>
      </c>
      <c r="P11" s="1">
        <f>VLOOKUP(D11, OLDSURVLOOKUP!$A:$AA, 19, FALSE)</f>
        <v>44333</v>
      </c>
      <c r="Q11" s="1">
        <f>VLOOKUP(D11, SURVLOOKUP!$A:$Q, 11, FALSE)</f>
        <v>45064</v>
      </c>
      <c r="R11" s="1"/>
      <c r="S11" s="1"/>
      <c r="T11" s="1"/>
      <c r="U11" s="1"/>
      <c r="V11">
        <f>_xlfn.XLOOKUP(D11, OLDSURVLOOKUP!$A:$A, OLDSURVLOOKUP!V:V)</f>
        <v>0</v>
      </c>
      <c r="W11">
        <f>VLOOKUP(D11, SURVLOOKUP!$A:$Q, 14, FALSE)</f>
        <v>0</v>
      </c>
      <c r="X11">
        <f>_xlfn.XLOOKUP(D11, OLDSURVLOOKUP!$A:$A, OLDSURVLOOKUP!X:X)</f>
        <v>0</v>
      </c>
      <c r="Y11">
        <f>VLOOKUP(D11, SURVLOOKUP!$A:$Q, 15, FALSE)</f>
        <v>0</v>
      </c>
      <c r="Z11">
        <f t="shared" si="4"/>
        <v>10.966666666666667</v>
      </c>
      <c r="AA11">
        <f t="shared" si="5"/>
        <v>35</v>
      </c>
      <c r="AB11">
        <f t="shared" si="6"/>
        <v>10.966666666666667</v>
      </c>
      <c r="AC11">
        <f t="shared" si="7"/>
        <v>35</v>
      </c>
      <c r="AD11">
        <f t="shared" si="8"/>
        <v>10.7</v>
      </c>
      <c r="AE11">
        <f t="shared" si="0"/>
        <v>34.733333333333334</v>
      </c>
      <c r="AF11">
        <f t="shared" si="1"/>
        <v>10.7</v>
      </c>
      <c r="AG11">
        <f t="shared" si="2"/>
        <v>34.733333333333334</v>
      </c>
      <c r="AL11">
        <f t="shared" si="13"/>
        <v>2</v>
      </c>
      <c r="AM11" t="str">
        <f t="shared" si="3"/>
        <v>University of Cincinnati</v>
      </c>
      <c r="AN11">
        <v>0</v>
      </c>
      <c r="AO11">
        <v>4</v>
      </c>
      <c r="AP11">
        <f>(_xlfn.XLOOKUP($D11,RAWMETADATALOOKUP_P1!$A:$A,RAWMETADATALOOKUP_P1!F:F))</f>
        <v>75</v>
      </c>
      <c r="AQ11" t="str">
        <f>(_xlfn.XLOOKUP($D11,RAWMETADATALOOKUP_P1!$A:$A,RAWMETADATALOOKUP_P1!G:G))</f>
        <v>Male</v>
      </c>
      <c r="AR11" t="str">
        <f>(_xlfn.XLOOKUP($D11,RAWMETADATALOOKUP_P1!$A:$A,RAWMETADATALOOKUP_P1!H:H))</f>
        <v>White</v>
      </c>
      <c r="AS11" t="str">
        <f>(_xlfn.XLOOKUP($D11,RAWMETADATALOOKUP_P1!$A:$A,RAWMETADATALOOKUP_P1!I:I))</f>
        <v>Yes</v>
      </c>
      <c r="AT11" t="str">
        <f>(_xlfn.XLOOKUP($D11,RAWMETADATALOOKUP_P1!$A:$A,RAWMETADATALOOKUP_P1!J:J))</f>
        <v>Non-Hispanic</v>
      </c>
      <c r="AU11" t="str">
        <f>(_xlfn.XLOOKUP($D11,RAWMETADATALOOKUP_P1!$A:$A,RAWMETADATALOOKUP_P1!K:K))</f>
        <v>No</v>
      </c>
      <c r="AV11" t="str">
        <f>(_xlfn.XLOOKUP($D11,RAWMETADATALOOKUP_P1!$A:$A,RAWMETADATALOOKUP_P1!Q:Q))</f>
        <v>T4aN0M0</v>
      </c>
      <c r="AW11" t="str">
        <f>LEFT(_xlfn.XLOOKUP(D11, RAWMETADATALOOKUP_P2!A:A,RAWMETADATALOOKUP_P2!G:G), FIND(" ", _xlfn.XLOOKUP(D11, RAWMETADATALOOKUP_P2!A:A,RAWMETADATALOOKUP_P2!G:G)&amp;" ")-1)</f>
        <v>Intermediate</v>
      </c>
      <c r="AX11" t="str">
        <f>(_xlfn.XLOOKUP($D11,RAWMETADATALOOKUP_P1!$A:$A,RAWMETADATALOOKUP_P1!R:R))</f>
        <v>Unknown</v>
      </c>
      <c r="AY11">
        <f>LOOKUP(D11, SURVLOOKUP!$A:$A, SURVLOOKUP!$P:$P)</f>
        <v>1</v>
      </c>
      <c r="AZ11" s="46">
        <v>3</v>
      </c>
      <c r="BA11" s="21">
        <v>0.3</v>
      </c>
      <c r="BB11" s="47" t="str">
        <f t="shared" si="14"/>
        <v>Responder</v>
      </c>
      <c r="BC11">
        <v>0.154</v>
      </c>
      <c r="BE11">
        <v>24</v>
      </c>
      <c r="BF11">
        <v>6.493506</v>
      </c>
      <c r="BG11">
        <v>43.506489999999999</v>
      </c>
      <c r="BH11">
        <v>21</v>
      </c>
      <c r="BI11">
        <v>1.1904760000000001</v>
      </c>
      <c r="BJ11" t="s">
        <v>101</v>
      </c>
      <c r="BK11" t="s">
        <v>102</v>
      </c>
      <c r="BL11" t="s">
        <v>103</v>
      </c>
    </row>
    <row r="12" spans="1:64" x14ac:dyDescent="0.2">
      <c r="A12" s="3" t="s">
        <v>104</v>
      </c>
      <c r="B12" t="str">
        <f>VLOOKUP(A12, IDSLOOKUP!C:E, 2, FALSE)</f>
        <v>Day 0</v>
      </c>
      <c r="C12" t="str">
        <f>(_xlfn.XLOOKUP(D12,RAWMETADATALOOKUP_P1!A:A,RAWMETADATALOOKUP_P1!M:M))</f>
        <v>Larynx</v>
      </c>
      <c r="D12" t="str">
        <f>VLOOKUP(A12, IDSLOOKUP!C:E, 3, FALSE)</f>
        <v>HN01-51</v>
      </c>
      <c r="E12" s="48">
        <f>VLOOKUP(A12,CFDNALOOKUP!AG:AI,2,FALSE)</f>
        <v>44090</v>
      </c>
      <c r="F12" s="48">
        <f>VLOOKUP(A12,CFDNALOOKUP!AG:AI,3,FALSE)</f>
        <v>44179</v>
      </c>
      <c r="G12" s="1">
        <f>VLOOKUP(D12, SURVLOOKUP!$A:$Q, 2, FALSE)</f>
        <v>43974</v>
      </c>
      <c r="H12" s="1">
        <f>VLOOKUP(D12, SURVLOOKUP!$A:$Q, 3, FALSE)</f>
        <v>43997</v>
      </c>
      <c r="I12" s="1">
        <f>VLOOKUP(D12, SURVLOOKUP!$A:$Q, 4, FALSE)</f>
        <v>44000</v>
      </c>
      <c r="J12" s="1">
        <f>VLOOKUP(D12, SURVLOOKUP!$A:$Q, 5, FALSE)</f>
        <v>44008</v>
      </c>
      <c r="K12" s="1" t="str">
        <f>VLOOKUP(D12, SURVLOOKUP!$A:$Q, 6, FALSE)</f>
        <v>NA</v>
      </c>
      <c r="L12" s="1" t="str">
        <f>VLOOKUP(D12, SURVLOOKUP!$A:$Q, 7, FALSE)</f>
        <v>NA</v>
      </c>
      <c r="M12" s="1" t="str">
        <f>VLOOKUP(D12, SURVLOOKUP!$A:$Q, 8, FALSE)</f>
        <v>NA</v>
      </c>
      <c r="N12" s="1" t="str">
        <f>VLOOKUP(D12, SURVLOOKUP!$A:$Q, 9, FALSE)</f>
        <v>NA</v>
      </c>
      <c r="O12" s="1" t="str">
        <f>VLOOKUP(D12, SURVLOOKUP!$A:$Q, 10, FALSE)</f>
        <v>NA</v>
      </c>
      <c r="P12" s="1">
        <f>VLOOKUP(D12, OLDSURVLOOKUP!$A:$AA, 19, FALSE)</f>
        <v>44333</v>
      </c>
      <c r="Q12" s="1">
        <f>VLOOKUP(D12, SURVLOOKUP!$A:$Q, 11, FALSE)</f>
        <v>45064</v>
      </c>
      <c r="R12" s="1"/>
      <c r="S12" s="1"/>
      <c r="T12" s="1"/>
      <c r="U12" s="1"/>
      <c r="V12">
        <f>_xlfn.XLOOKUP(D12, OLDSURVLOOKUP!$A:$A, OLDSURVLOOKUP!V:V)</f>
        <v>0</v>
      </c>
      <c r="W12">
        <f>VLOOKUP(D12, SURVLOOKUP!$A:$Q, 14, FALSE)</f>
        <v>0</v>
      </c>
      <c r="X12">
        <f>_xlfn.XLOOKUP(D12, OLDSURVLOOKUP!$A:$A, OLDSURVLOOKUP!X:X)</f>
        <v>0</v>
      </c>
      <c r="Y12">
        <f>VLOOKUP(D12, SURVLOOKUP!$A:$Q, 15, FALSE)</f>
        <v>0</v>
      </c>
      <c r="Z12">
        <f t="shared" si="4"/>
        <v>10.966666666666667</v>
      </c>
      <c r="AA12">
        <f t="shared" si="5"/>
        <v>35</v>
      </c>
      <c r="AB12">
        <f t="shared" si="6"/>
        <v>10.966666666666667</v>
      </c>
      <c r="AC12">
        <f t="shared" si="7"/>
        <v>35</v>
      </c>
      <c r="AD12">
        <f t="shared" si="8"/>
        <v>10.7</v>
      </c>
      <c r="AE12">
        <f t="shared" si="0"/>
        <v>34.733333333333334</v>
      </c>
      <c r="AF12">
        <f t="shared" si="1"/>
        <v>10.7</v>
      </c>
      <c r="AG12">
        <f t="shared" si="2"/>
        <v>34.733333333333334</v>
      </c>
      <c r="AL12">
        <f t="shared" si="13"/>
        <v>2</v>
      </c>
      <c r="AM12" t="str">
        <f t="shared" si="3"/>
        <v>University of Cincinnati</v>
      </c>
      <c r="AN12">
        <v>0</v>
      </c>
      <c r="AO12">
        <v>4</v>
      </c>
      <c r="AP12">
        <f>(_xlfn.XLOOKUP($D12,RAWMETADATALOOKUP_P1!$A:$A,RAWMETADATALOOKUP_P1!F:F))</f>
        <v>75</v>
      </c>
      <c r="AQ12" t="str">
        <f>(_xlfn.XLOOKUP($D12,RAWMETADATALOOKUP_P1!$A:$A,RAWMETADATALOOKUP_P1!G:G))</f>
        <v>Male</v>
      </c>
      <c r="AR12" t="str">
        <f>(_xlfn.XLOOKUP($D12,RAWMETADATALOOKUP_P1!$A:$A,RAWMETADATALOOKUP_P1!H:H))</f>
        <v>White</v>
      </c>
      <c r="AS12" t="str">
        <f>(_xlfn.XLOOKUP($D12,RAWMETADATALOOKUP_P1!$A:$A,RAWMETADATALOOKUP_P1!I:I))</f>
        <v>Yes</v>
      </c>
      <c r="AT12" t="str">
        <f>(_xlfn.XLOOKUP($D12,RAWMETADATALOOKUP_P1!$A:$A,RAWMETADATALOOKUP_P1!J:J))</f>
        <v>Non-Hispanic</v>
      </c>
      <c r="AU12" t="str">
        <f>(_xlfn.XLOOKUP($D12,RAWMETADATALOOKUP_P1!$A:$A,RAWMETADATALOOKUP_P1!K:K))</f>
        <v>No</v>
      </c>
      <c r="AV12" t="str">
        <f>(_xlfn.XLOOKUP($D12,RAWMETADATALOOKUP_P1!$A:$A,RAWMETADATALOOKUP_P1!Q:Q))</f>
        <v>T4aN0M0</v>
      </c>
      <c r="AW12" t="str">
        <f>LEFT(_xlfn.XLOOKUP(D12, RAWMETADATALOOKUP_P2!A:A,RAWMETADATALOOKUP_P2!G:G), FIND(" ", _xlfn.XLOOKUP(D12, RAWMETADATALOOKUP_P2!A:A,RAWMETADATALOOKUP_P2!G:G)&amp;" ")-1)</f>
        <v>Intermediate</v>
      </c>
      <c r="AX12" t="str">
        <f>(_xlfn.XLOOKUP($D12,RAWMETADATALOOKUP_P1!$A:$A,RAWMETADATALOOKUP_P1!R:R))</f>
        <v>Unknown</v>
      </c>
      <c r="AY12">
        <f>LOOKUP(D12, SURVLOOKUP!$A:$A, SURVLOOKUP!$P:$P)</f>
        <v>1</v>
      </c>
      <c r="AZ12" s="46">
        <v>3</v>
      </c>
      <c r="BA12" s="21">
        <v>0.3</v>
      </c>
      <c r="BB12" s="47" t="str">
        <f t="shared" si="14"/>
        <v>Responder</v>
      </c>
      <c r="BC12">
        <v>0.21199999999999999</v>
      </c>
      <c r="BE12">
        <v>24</v>
      </c>
      <c r="BF12">
        <v>4.7169809999999996</v>
      </c>
      <c r="BG12">
        <v>45.28302</v>
      </c>
      <c r="BH12">
        <v>18.5</v>
      </c>
      <c r="BI12">
        <v>1.351351</v>
      </c>
      <c r="BJ12" t="s">
        <v>105</v>
      </c>
      <c r="BK12" t="s">
        <v>106</v>
      </c>
      <c r="BL12" t="s">
        <v>107</v>
      </c>
    </row>
    <row r="13" spans="1:64" x14ac:dyDescent="0.2">
      <c r="A13" s="3" t="s">
        <v>108</v>
      </c>
      <c r="B13" t="str">
        <f>VLOOKUP(A13, IDSLOOKUP!C:E, 2, FALSE)</f>
        <v>Screen</v>
      </c>
      <c r="C13" t="str">
        <f>VLOOKUP(D13, METADATALOOKUP!$A:$AI, 13, FALSE)</f>
        <v>Oral Cavity</v>
      </c>
      <c r="D13" t="str">
        <f>VLOOKUP(A13, IDSLOOKUP!C:E, 3, FALSE)</f>
        <v>HN02-01</v>
      </c>
      <c r="E13" s="48">
        <f>VLOOKUP(A13,CFDNALOOKUP!AG:AI,2,FALSE)</f>
        <v>44090</v>
      </c>
      <c r="F13" s="48">
        <f>VLOOKUP(A13,CFDNALOOKUP!AG:AI,3,FALSE)</f>
        <v>44180</v>
      </c>
      <c r="G13" s="1">
        <f>VLOOKUP(D13, SURVLOOKUP!$A:$Q, 2, FALSE)</f>
        <v>42774</v>
      </c>
      <c r="H13" s="1">
        <f>VLOOKUP(D13, SURVLOOKUP!$A:$Q, 3, FALSE)</f>
        <v>42900</v>
      </c>
      <c r="I13" s="1">
        <f>VLOOKUP(D13, SURVLOOKUP!$A:$Q, 4, FALSE)</f>
        <v>42908</v>
      </c>
      <c r="J13" s="1">
        <f>VLOOKUP(D13, SURVLOOKUP!$A:$Q, 5, FALSE)</f>
        <v>42921</v>
      </c>
      <c r="K13" s="1">
        <f>VLOOKUP(D13, SURVLOOKUP!$A:$Q, 6, FALSE)</f>
        <v>42962</v>
      </c>
      <c r="L13" s="1">
        <f>VLOOKUP(D13, SURVLOOKUP!$A:$Q, 7, FALSE)</f>
        <v>43004</v>
      </c>
      <c r="M13" s="1">
        <f>VLOOKUP(D13, SURVLOOKUP!$A:$Q, 8, FALSE)</f>
        <v>42955</v>
      </c>
      <c r="N13" s="1">
        <f>VLOOKUP(D13, SURVLOOKUP!$A:$Q, 9, FALSE)</f>
        <v>43060</v>
      </c>
      <c r="O13" s="1" t="str">
        <f>VLOOKUP(D13, SURVLOOKUP!$A:$Q, 10, FALSE)</f>
        <v>NA</v>
      </c>
      <c r="P13" s="1">
        <f>VLOOKUP(D13, OLDSURVLOOKUP!$A:$AA, 19, FALSE)</f>
        <v>43625</v>
      </c>
      <c r="Q13" s="1">
        <f>VLOOKUP(D13, SURVLOOKUP!$A:$Q, 11, FALSE)</f>
        <v>43625</v>
      </c>
      <c r="R13" s="1">
        <f>VLOOKUP(D13, OLDSURVLOOKUP!$A:$AA, 20, FALSE)</f>
        <v>43220</v>
      </c>
      <c r="S13" s="1">
        <f>VLOOKUP(D13, SURVLOOKUP!$A:$Q, 12, FALSE)</f>
        <v>43220</v>
      </c>
      <c r="T13" s="1">
        <f>VLOOKUP(D13, OLDSURVLOOKUP!$A:$AA, 21, FALSE)</f>
        <v>43626</v>
      </c>
      <c r="U13" s="1">
        <f>VLOOKUP(D13, SURVLOOKUP!$A:$Q, 13, FALSE)</f>
        <v>43626</v>
      </c>
      <c r="V13">
        <f>_xlfn.XLOOKUP(D13, OLDSURVLOOKUP!$A:$A, OLDSURVLOOKUP!V:V)</f>
        <v>1</v>
      </c>
      <c r="W13">
        <f>VLOOKUP(D13, SURVLOOKUP!$A:$Q, 14, FALSE)</f>
        <v>1</v>
      </c>
      <c r="X13">
        <f>_xlfn.XLOOKUP(D13, OLDSURVLOOKUP!$A:$A, OLDSURVLOOKUP!X:X)</f>
        <v>1</v>
      </c>
      <c r="Y13">
        <f>VLOOKUP(D13, SURVLOOKUP!$A:$Q, 15, FALSE)</f>
        <v>1</v>
      </c>
      <c r="Z13">
        <f t="shared" si="4"/>
        <v>10.266666666666667</v>
      </c>
      <c r="AA13">
        <f t="shared" si="5"/>
        <v>10.266666666666667</v>
      </c>
      <c r="AB13">
        <f t="shared" si="6"/>
        <v>23.633333333333333</v>
      </c>
      <c r="AC13">
        <f t="shared" si="7"/>
        <v>23.633333333333333</v>
      </c>
      <c r="AD13">
        <f t="shared" si="8"/>
        <v>9.806451612903226</v>
      </c>
      <c r="AE13">
        <f t="shared" si="0"/>
        <v>9.806451612903226</v>
      </c>
      <c r="AF13">
        <f t="shared" si="1"/>
        <v>23.161290322580644</v>
      </c>
      <c r="AG13">
        <f t="shared" si="2"/>
        <v>23.161290322580644</v>
      </c>
      <c r="AH13">
        <f t="shared" si="9"/>
        <v>8.7096774193548381</v>
      </c>
      <c r="AI13">
        <f t="shared" si="10"/>
        <v>8.7096774193548381</v>
      </c>
      <c r="AJ13">
        <f t="shared" si="11"/>
        <v>22.06451612903226</v>
      </c>
      <c r="AK13">
        <f t="shared" si="12"/>
        <v>22.06451612903226</v>
      </c>
      <c r="AL13">
        <f t="shared" si="13"/>
        <v>2</v>
      </c>
      <c r="AM13" t="str">
        <f t="shared" si="3"/>
        <v>Ohio State University</v>
      </c>
      <c r="AN13">
        <v>0</v>
      </c>
      <c r="AO13">
        <v>5</v>
      </c>
      <c r="AP13">
        <f>VLOOKUP(D13, METADATALOOKUP!$A:$AI, 7, FALSE)</f>
        <v>70</v>
      </c>
      <c r="AQ13" t="str">
        <f>VLOOKUP(D13, METADATALOOKUP!$A:$AI, 8, FALSE)</f>
        <v>Female</v>
      </c>
      <c r="AR13" t="str">
        <f>VLOOKUP(D13, METADATALOOKUP!$A:$AI, 9, FALSE)</f>
        <v>White</v>
      </c>
      <c r="AS13" t="str">
        <f>VLOOKUP(D13, METADATALOOKUP!$A:$AI, 11, FALSE)</f>
        <v>No</v>
      </c>
      <c r="AT13" t="str">
        <f>VLOOKUP(D13, METADATALOOKUP!$A:$AI, 10, FALSE)</f>
        <v>Non-Hispanic</v>
      </c>
      <c r="AU13" t="str">
        <f>VLOOKUP(D13, METADATALOOKUP!$A:$AI, 12, FALSE)</f>
        <v>No</v>
      </c>
      <c r="AV13" t="str">
        <f>VLOOKUP(D13, METADATALOOKUP!$A:$AI, 14, FALSE)</f>
        <v>cT4N2bM0</v>
      </c>
      <c r="AW13" t="str">
        <f>VLOOKUP(D13, METADATALOOKUP!$A:$AI, 6, FALSE)</f>
        <v>High</v>
      </c>
      <c r="AX13" t="str">
        <f>VLOOKUP(D13, METADATALOOKUP!$A:$AI, 19, FALSE)</f>
        <v>Unknown</v>
      </c>
      <c r="AY13">
        <f>LOOKUP(D13, SURVLOOKUP!$A:$A, SURVLOOKUP!$P:$P)</f>
        <v>1</v>
      </c>
      <c r="AZ13" s="46">
        <v>0</v>
      </c>
      <c r="BA13" t="str">
        <f>TEXT(VLOOKUP(D13, METADATALOOKUP!$A:$AI, 34, FALSE), "@")</f>
        <v>&lt;10%</v>
      </c>
      <c r="BB13" s="47" t="str">
        <f t="shared" si="14"/>
        <v>Non-Responder</v>
      </c>
      <c r="BC13">
        <v>0.21</v>
      </c>
      <c r="BE13">
        <v>24</v>
      </c>
      <c r="BF13">
        <v>4.7619049999999996</v>
      </c>
      <c r="BG13">
        <v>45.238100000000003</v>
      </c>
      <c r="BH13">
        <v>14</v>
      </c>
      <c r="BI13">
        <v>1.785714</v>
      </c>
      <c r="BJ13" t="s">
        <v>105</v>
      </c>
      <c r="BK13" t="s">
        <v>106</v>
      </c>
      <c r="BL13" t="s">
        <v>107</v>
      </c>
    </row>
    <row r="14" spans="1:64" x14ac:dyDescent="0.2">
      <c r="A14" s="3" t="s">
        <v>111</v>
      </c>
      <c r="B14" t="str">
        <f>VLOOKUP(A14, IDSLOOKUP!C:E, 2, FALSE)</f>
        <v>Day 0</v>
      </c>
      <c r="C14" t="str">
        <f>VLOOKUP(D14, METADATALOOKUP!$A:$AI, 13, FALSE)</f>
        <v>Oral Cavity</v>
      </c>
      <c r="D14" t="str">
        <f>VLOOKUP(A14, IDSLOOKUP!C:E, 3, FALSE)</f>
        <v>HN02-01</v>
      </c>
      <c r="E14" s="48">
        <f>VLOOKUP(A14,CFDNALOOKUP!AG:AI,2,FALSE)</f>
        <v>44090</v>
      </c>
      <c r="F14" s="48">
        <f>VLOOKUP(A14,CFDNALOOKUP!AG:AI,3,FALSE)</f>
        <v>44179</v>
      </c>
      <c r="G14" s="1">
        <f>VLOOKUP(D14, SURVLOOKUP!$A:$Q, 2, FALSE)</f>
        <v>42774</v>
      </c>
      <c r="H14" s="1">
        <f>VLOOKUP(D14, SURVLOOKUP!$A:$Q, 3, FALSE)</f>
        <v>42900</v>
      </c>
      <c r="I14" s="1">
        <f>VLOOKUP(D14, SURVLOOKUP!$A:$Q, 4, FALSE)</f>
        <v>42908</v>
      </c>
      <c r="J14" s="1">
        <f>VLOOKUP(D14, SURVLOOKUP!$A:$Q, 5, FALSE)</f>
        <v>42921</v>
      </c>
      <c r="K14" s="1">
        <f>VLOOKUP(D14, SURVLOOKUP!$A:$Q, 6, FALSE)</f>
        <v>42962</v>
      </c>
      <c r="L14" s="1">
        <f>VLOOKUP(D14, SURVLOOKUP!$A:$Q, 7, FALSE)</f>
        <v>43004</v>
      </c>
      <c r="M14" s="1">
        <f>VLOOKUP(D14, SURVLOOKUP!$A:$Q, 8, FALSE)</f>
        <v>42955</v>
      </c>
      <c r="N14" s="1">
        <f>VLOOKUP(D14, SURVLOOKUP!$A:$Q, 9, FALSE)</f>
        <v>43060</v>
      </c>
      <c r="O14" s="1" t="str">
        <f>VLOOKUP(D14, SURVLOOKUP!$A:$Q, 10, FALSE)</f>
        <v>NA</v>
      </c>
      <c r="P14" s="1">
        <f>VLOOKUP(D14, OLDSURVLOOKUP!$A:$AA, 19, FALSE)</f>
        <v>43625</v>
      </c>
      <c r="Q14" s="1">
        <f>VLOOKUP(D14, SURVLOOKUP!$A:$Q, 11, FALSE)</f>
        <v>43625</v>
      </c>
      <c r="R14" s="1">
        <f>VLOOKUP(D14, OLDSURVLOOKUP!$A:$AA, 20, FALSE)</f>
        <v>43220</v>
      </c>
      <c r="S14" s="1">
        <f>VLOOKUP(D14, SURVLOOKUP!$A:$Q, 12, FALSE)</f>
        <v>43220</v>
      </c>
      <c r="T14" s="1">
        <f>VLOOKUP(D14, OLDSURVLOOKUP!$A:$AA, 21, FALSE)</f>
        <v>43626</v>
      </c>
      <c r="U14" s="1">
        <f>VLOOKUP(D14, SURVLOOKUP!$A:$Q, 13, FALSE)</f>
        <v>43626</v>
      </c>
      <c r="V14">
        <f>_xlfn.XLOOKUP(D14, OLDSURVLOOKUP!$A:$A, OLDSURVLOOKUP!V:V)</f>
        <v>1</v>
      </c>
      <c r="W14">
        <f>VLOOKUP(D14, SURVLOOKUP!$A:$Q, 14, FALSE)</f>
        <v>1</v>
      </c>
      <c r="X14">
        <f>_xlfn.XLOOKUP(D14, OLDSURVLOOKUP!$A:$A, OLDSURVLOOKUP!X:X)</f>
        <v>1</v>
      </c>
      <c r="Y14">
        <f>VLOOKUP(D14, SURVLOOKUP!$A:$Q, 15, FALSE)</f>
        <v>1</v>
      </c>
      <c r="Z14">
        <f t="shared" si="4"/>
        <v>10.266666666666667</v>
      </c>
      <c r="AA14">
        <f t="shared" si="5"/>
        <v>10.266666666666667</v>
      </c>
      <c r="AB14">
        <f t="shared" si="6"/>
        <v>23.633333333333333</v>
      </c>
      <c r="AC14">
        <f t="shared" si="7"/>
        <v>23.633333333333333</v>
      </c>
      <c r="AD14">
        <f t="shared" si="8"/>
        <v>9.806451612903226</v>
      </c>
      <c r="AE14">
        <f t="shared" si="0"/>
        <v>9.806451612903226</v>
      </c>
      <c r="AF14">
        <f t="shared" si="1"/>
        <v>23.161290322580644</v>
      </c>
      <c r="AG14">
        <f t="shared" si="2"/>
        <v>23.161290322580644</v>
      </c>
      <c r="AH14">
        <f t="shared" si="9"/>
        <v>8.7096774193548381</v>
      </c>
      <c r="AI14">
        <f t="shared" si="10"/>
        <v>8.7096774193548381</v>
      </c>
      <c r="AJ14">
        <f t="shared" si="11"/>
        <v>22.06451612903226</v>
      </c>
      <c r="AK14">
        <f t="shared" si="12"/>
        <v>22.06451612903226</v>
      </c>
      <c r="AL14">
        <f t="shared" si="13"/>
        <v>2</v>
      </c>
      <c r="AM14" t="str">
        <f t="shared" si="3"/>
        <v>Ohio State University</v>
      </c>
      <c r="AN14">
        <v>0</v>
      </c>
      <c r="AO14">
        <v>5</v>
      </c>
      <c r="AP14">
        <f>VLOOKUP(D14, METADATALOOKUP!$A:$AI, 7, FALSE)</f>
        <v>70</v>
      </c>
      <c r="AQ14" t="str">
        <f>VLOOKUP(D14, METADATALOOKUP!$A:$AI, 8, FALSE)</f>
        <v>Female</v>
      </c>
      <c r="AR14" t="str">
        <f>VLOOKUP(D14, METADATALOOKUP!$A:$AI, 9, FALSE)</f>
        <v>White</v>
      </c>
      <c r="AS14" t="str">
        <f>VLOOKUP(D14, METADATALOOKUP!$A:$AI, 11, FALSE)</f>
        <v>No</v>
      </c>
      <c r="AT14" t="str">
        <f>VLOOKUP(D14, METADATALOOKUP!$A:$AI, 10, FALSE)</f>
        <v>Non-Hispanic</v>
      </c>
      <c r="AU14" t="str">
        <f>VLOOKUP(D14, METADATALOOKUP!$A:$AI, 12, FALSE)</f>
        <v>No</v>
      </c>
      <c r="AV14" t="str">
        <f>VLOOKUP(D14, METADATALOOKUP!$A:$AI, 14, FALSE)</f>
        <v>cT4N2bM0</v>
      </c>
      <c r="AW14" t="str">
        <f>VLOOKUP(D14, METADATALOOKUP!$A:$AI, 6, FALSE)</f>
        <v>High</v>
      </c>
      <c r="AX14" t="str">
        <f>VLOOKUP(D14, METADATALOOKUP!$A:$AI, 19, FALSE)</f>
        <v>Unknown</v>
      </c>
      <c r="AY14">
        <f>LOOKUP(D14, SURVLOOKUP!$A:$A, SURVLOOKUP!$P:$P)</f>
        <v>1</v>
      </c>
      <c r="AZ14" s="46">
        <v>0</v>
      </c>
      <c r="BA14" t="str">
        <f>TEXT(VLOOKUP(D14, METADATALOOKUP!$A:$AI, 34, FALSE), "@")</f>
        <v>&lt;10%</v>
      </c>
      <c r="BB14" s="47" t="str">
        <f t="shared" si="14"/>
        <v>Non-Responder</v>
      </c>
      <c r="BC14">
        <v>0.41599999999999998</v>
      </c>
      <c r="BE14">
        <v>24</v>
      </c>
      <c r="BF14">
        <v>2.4038460000000001</v>
      </c>
      <c r="BG14">
        <v>47.596150000000002</v>
      </c>
      <c r="BH14">
        <v>14.9</v>
      </c>
      <c r="BI14">
        <v>1.6778519999999999</v>
      </c>
      <c r="BJ14" t="s">
        <v>112</v>
      </c>
      <c r="BK14" t="s">
        <v>113</v>
      </c>
      <c r="BL14" t="s">
        <v>114</v>
      </c>
    </row>
    <row r="15" spans="1:64" x14ac:dyDescent="0.2">
      <c r="A15" s="3" t="s">
        <v>115</v>
      </c>
      <c r="B15" t="str">
        <f>VLOOKUP(A15, IDSLOOKUP!C:E, 2, FALSE)</f>
        <v>Screen</v>
      </c>
      <c r="C15" t="str">
        <f>VLOOKUP(D15, METADATALOOKUP!$A:$AI, 13, FALSE)</f>
        <v>Oral Cavity</v>
      </c>
      <c r="D15" t="str">
        <f>VLOOKUP(A15, IDSLOOKUP!C:E, 3, FALSE)</f>
        <v>HN02-06</v>
      </c>
      <c r="E15" s="48">
        <f>VLOOKUP(A15,CFDNALOOKUP!AG:AI,2,FALSE)</f>
        <v>44090</v>
      </c>
      <c r="F15" s="48">
        <f>VLOOKUP(A15,CFDNALOOKUP!AG:AI,3,FALSE)</f>
        <v>44180</v>
      </c>
      <c r="G15" s="1">
        <f>VLOOKUP(D15, SURVLOOKUP!$A:$Q, 2, FALSE)</f>
        <v>43362</v>
      </c>
      <c r="H15" s="1">
        <f>VLOOKUP(D15, SURVLOOKUP!$A:$Q, 3, FALSE)</f>
        <v>43374</v>
      </c>
      <c r="I15" s="1">
        <f>VLOOKUP(D15, SURVLOOKUP!$A:$Q, 4, FALSE)</f>
        <v>43377</v>
      </c>
      <c r="J15" s="1">
        <f>VLOOKUP(D15, SURVLOOKUP!$A:$Q, 5, FALSE)</f>
        <v>43388</v>
      </c>
      <c r="K15" s="1">
        <f>VLOOKUP(D15, SURVLOOKUP!$A:$Q, 6, FALSE)</f>
        <v>43438</v>
      </c>
      <c r="L15" s="1">
        <f>VLOOKUP(D15, SURVLOOKUP!$A:$Q, 7, FALSE)</f>
        <v>43479</v>
      </c>
      <c r="M15" s="1">
        <f>VLOOKUP(D15, SURVLOOKUP!$A:$Q, 8, FALSE)</f>
        <v>43430</v>
      </c>
      <c r="N15" s="1">
        <f>VLOOKUP(D15, SURVLOOKUP!$A:$Q, 9, FALSE)</f>
        <v>43536</v>
      </c>
      <c r="O15" s="1" t="str">
        <f>VLOOKUP(D15, SURVLOOKUP!$A:$Q, 10, FALSE)</f>
        <v>NA</v>
      </c>
      <c r="P15" s="1">
        <f>VLOOKUP(D15, OLDSURVLOOKUP!$A:$AA, 19, FALSE)</f>
        <v>44323</v>
      </c>
      <c r="Q15" s="1">
        <f>VLOOKUP(D15, SURVLOOKUP!$A:$Q, 11, FALSE)</f>
        <v>44323</v>
      </c>
      <c r="R15" s="1">
        <f>VLOOKUP(D15, OLDSURVLOOKUP!$A:$AA, 20, FALSE)</f>
        <v>43756</v>
      </c>
      <c r="S15" s="1">
        <f>VLOOKUP(D15, SURVLOOKUP!$A:$Q, 12, FALSE)</f>
        <v>43756</v>
      </c>
      <c r="T15" s="1"/>
      <c r="U15" s="1"/>
      <c r="V15">
        <f>_xlfn.XLOOKUP(D15, OLDSURVLOOKUP!$A:$A, OLDSURVLOOKUP!V:V)</f>
        <v>1</v>
      </c>
      <c r="W15">
        <f>VLOOKUP(D15, SURVLOOKUP!$A:$Q, 14, FALSE)</f>
        <v>1</v>
      </c>
      <c r="X15">
        <f>_xlfn.XLOOKUP(D15, OLDSURVLOOKUP!$A:$A, OLDSURVLOOKUP!X:X)</f>
        <v>0</v>
      </c>
      <c r="Y15">
        <f>VLOOKUP(D15, SURVLOOKUP!$A:$Q, 15, FALSE)</f>
        <v>0</v>
      </c>
      <c r="Z15">
        <f t="shared" si="4"/>
        <v>12.451612903225806</v>
      </c>
      <c r="AA15">
        <f t="shared" si="5"/>
        <v>12.451612903225806</v>
      </c>
      <c r="AB15">
        <f t="shared" si="6"/>
        <v>31.096774193548388</v>
      </c>
      <c r="AC15">
        <f t="shared" si="7"/>
        <v>31.096774193548388</v>
      </c>
      <c r="AD15">
        <f t="shared" si="8"/>
        <v>12.096774193548388</v>
      </c>
      <c r="AE15">
        <f t="shared" si="0"/>
        <v>12.096774193548388</v>
      </c>
      <c r="AF15">
        <f t="shared" si="1"/>
        <v>30.70967741935484</v>
      </c>
      <c r="AG15">
        <f t="shared" si="2"/>
        <v>30.70967741935484</v>
      </c>
      <c r="AH15">
        <f t="shared" si="9"/>
        <v>10.733333333333333</v>
      </c>
      <c r="AI15">
        <f t="shared" si="10"/>
        <v>10.733333333333333</v>
      </c>
      <c r="AJ15">
        <f t="shared" si="11"/>
        <v>29.366666666666667</v>
      </c>
      <c r="AK15">
        <f t="shared" si="12"/>
        <v>29.366666666666667</v>
      </c>
      <c r="AL15">
        <f t="shared" si="13"/>
        <v>2</v>
      </c>
      <c r="AM15" t="str">
        <f t="shared" si="3"/>
        <v>Ohio State University</v>
      </c>
      <c r="AN15">
        <v>0</v>
      </c>
      <c r="AO15">
        <v>6</v>
      </c>
      <c r="AP15">
        <f>VLOOKUP(D15, METADATALOOKUP!$A:$AI, 7, FALSE)</f>
        <v>55</v>
      </c>
      <c r="AQ15" t="str">
        <f>VLOOKUP(D15, METADATALOOKUP!$A:$AI, 8, FALSE)</f>
        <v>Male</v>
      </c>
      <c r="AR15" t="str">
        <f>VLOOKUP(D15, METADATALOOKUP!$A:$AI, 9, FALSE)</f>
        <v>White</v>
      </c>
      <c r="AS15" t="str">
        <f>VLOOKUP(D15, METADATALOOKUP!$A:$AI, 11, FALSE)</f>
        <v>Yes</v>
      </c>
      <c r="AT15" t="str">
        <f>VLOOKUP(D15, METADATALOOKUP!$A:$AI, 10, FALSE)</f>
        <v>Non-Hispanic</v>
      </c>
      <c r="AU15" t="str">
        <f>VLOOKUP(D15, METADATALOOKUP!$A:$AI, 12, FALSE)</f>
        <v>Yes</v>
      </c>
      <c r="AV15" t="str">
        <f>VLOOKUP(D15, METADATALOOKUP!$A:$AI, 14, FALSE)</f>
        <v>T3NxMx</v>
      </c>
      <c r="AW15" t="str">
        <f>VLOOKUP(D15, METADATALOOKUP!$A:$AI, 6, FALSE)</f>
        <v>Intermediate</v>
      </c>
      <c r="AX15" t="str">
        <f>VLOOKUP(D15, METADATALOOKUP!$A:$AI, 19, FALSE)</f>
        <v>Unknown</v>
      </c>
      <c r="AY15">
        <f>LOOKUP(D15, SURVLOOKUP!$A:$A, SURVLOOKUP!$P:$P)</f>
        <v>0</v>
      </c>
      <c r="AZ15" s="46">
        <v>0</v>
      </c>
      <c r="BA15" t="str">
        <f>TEXT(VLOOKUP(D15, METADATALOOKUP!$A:$AI, 34, FALSE), "@")</f>
        <v>&lt;10%</v>
      </c>
      <c r="BB15" s="47" t="str">
        <f t="shared" si="14"/>
        <v>Non-Responder</v>
      </c>
      <c r="BC15">
        <v>3.8</v>
      </c>
      <c r="BE15">
        <v>24</v>
      </c>
      <c r="BF15">
        <v>0.263158</v>
      </c>
      <c r="BG15">
        <v>49.736840000000001</v>
      </c>
      <c r="BH15">
        <v>7.08</v>
      </c>
      <c r="BI15">
        <v>3.5310730000000001</v>
      </c>
      <c r="BJ15" t="s">
        <v>118</v>
      </c>
      <c r="BK15" t="s">
        <v>119</v>
      </c>
      <c r="BL15" t="s">
        <v>120</v>
      </c>
    </row>
    <row r="16" spans="1:64" x14ac:dyDescent="0.2">
      <c r="A16" s="3" t="s">
        <v>121</v>
      </c>
      <c r="B16" t="str">
        <f>VLOOKUP(A16, IDSLOOKUP!C:E, 2, FALSE)</f>
        <v>Day 0</v>
      </c>
      <c r="C16" t="str">
        <f>VLOOKUP(D16, METADATALOOKUP!$A:$AI, 13, FALSE)</f>
        <v>Oral Cavity</v>
      </c>
      <c r="D16" t="str">
        <f>VLOOKUP(A16, IDSLOOKUP!C:E, 3, FALSE)</f>
        <v>HN02-06</v>
      </c>
      <c r="E16" s="48">
        <f>VLOOKUP(A16,CFDNALOOKUP!AG:AI,2,FALSE)</f>
        <v>44090</v>
      </c>
      <c r="F16" s="48">
        <f>VLOOKUP(A16,CFDNALOOKUP!AG:AI,3,FALSE)</f>
        <v>44179</v>
      </c>
      <c r="G16" s="1">
        <f>VLOOKUP(D16, SURVLOOKUP!$A:$Q, 2, FALSE)</f>
        <v>43362</v>
      </c>
      <c r="H16" s="1">
        <f>VLOOKUP(D16, SURVLOOKUP!$A:$Q, 3, FALSE)</f>
        <v>43374</v>
      </c>
      <c r="I16" s="1">
        <f>VLOOKUP(D16, SURVLOOKUP!$A:$Q, 4, FALSE)</f>
        <v>43377</v>
      </c>
      <c r="J16" s="1">
        <f>VLOOKUP(D16, SURVLOOKUP!$A:$Q, 5, FALSE)</f>
        <v>43388</v>
      </c>
      <c r="K16" s="1">
        <f>VLOOKUP(D16, SURVLOOKUP!$A:$Q, 6, FALSE)</f>
        <v>43438</v>
      </c>
      <c r="L16" s="1">
        <f>VLOOKUP(D16, SURVLOOKUP!$A:$Q, 7, FALSE)</f>
        <v>43479</v>
      </c>
      <c r="M16" s="1">
        <f>VLOOKUP(D16, SURVLOOKUP!$A:$Q, 8, FALSE)</f>
        <v>43430</v>
      </c>
      <c r="N16" s="1">
        <f>VLOOKUP(D16, SURVLOOKUP!$A:$Q, 9, FALSE)</f>
        <v>43536</v>
      </c>
      <c r="O16" s="1" t="str">
        <f>VLOOKUP(D16, SURVLOOKUP!$A:$Q, 10, FALSE)</f>
        <v>NA</v>
      </c>
      <c r="P16" s="1">
        <f>VLOOKUP(D16, OLDSURVLOOKUP!$A:$AA, 19, FALSE)</f>
        <v>44323</v>
      </c>
      <c r="Q16" s="1">
        <f>VLOOKUP(D16, SURVLOOKUP!$A:$Q, 11, FALSE)</f>
        <v>44323</v>
      </c>
      <c r="R16" s="1">
        <f>VLOOKUP(D16, OLDSURVLOOKUP!$A:$AA, 20, FALSE)</f>
        <v>43756</v>
      </c>
      <c r="S16" s="1">
        <f>VLOOKUP(D16, SURVLOOKUP!$A:$Q, 12, FALSE)</f>
        <v>43756</v>
      </c>
      <c r="T16" s="1"/>
      <c r="U16" s="1"/>
      <c r="V16">
        <f>_xlfn.XLOOKUP(D16, OLDSURVLOOKUP!$A:$A, OLDSURVLOOKUP!V:V)</f>
        <v>1</v>
      </c>
      <c r="W16">
        <f>VLOOKUP(D16, SURVLOOKUP!$A:$Q, 14, FALSE)</f>
        <v>1</v>
      </c>
      <c r="X16">
        <f>_xlfn.XLOOKUP(D16, OLDSURVLOOKUP!$A:$A, OLDSURVLOOKUP!X:X)</f>
        <v>0</v>
      </c>
      <c r="Y16">
        <f>VLOOKUP(D16, SURVLOOKUP!$A:$Q, 15, FALSE)</f>
        <v>0</v>
      </c>
      <c r="Z16">
        <f t="shared" si="4"/>
        <v>12.451612903225806</v>
      </c>
      <c r="AA16">
        <f t="shared" si="5"/>
        <v>12.451612903225806</v>
      </c>
      <c r="AB16">
        <f t="shared" si="6"/>
        <v>31.096774193548388</v>
      </c>
      <c r="AC16">
        <f t="shared" si="7"/>
        <v>31.096774193548388</v>
      </c>
      <c r="AD16">
        <f t="shared" si="8"/>
        <v>12.096774193548388</v>
      </c>
      <c r="AE16">
        <f t="shared" si="0"/>
        <v>12.096774193548388</v>
      </c>
      <c r="AF16">
        <f t="shared" si="1"/>
        <v>30.70967741935484</v>
      </c>
      <c r="AG16">
        <f t="shared" si="2"/>
        <v>30.70967741935484</v>
      </c>
      <c r="AH16">
        <f t="shared" si="9"/>
        <v>10.733333333333333</v>
      </c>
      <c r="AI16">
        <f t="shared" si="10"/>
        <v>10.733333333333333</v>
      </c>
      <c r="AJ16">
        <f t="shared" si="11"/>
        <v>29.366666666666667</v>
      </c>
      <c r="AK16">
        <f t="shared" si="12"/>
        <v>29.366666666666667</v>
      </c>
      <c r="AL16">
        <f t="shared" si="13"/>
        <v>2</v>
      </c>
      <c r="AM16" t="str">
        <f t="shared" si="3"/>
        <v>Ohio State University</v>
      </c>
      <c r="AN16">
        <v>0</v>
      </c>
      <c r="AO16">
        <v>6</v>
      </c>
      <c r="AP16">
        <f>VLOOKUP(D16, METADATALOOKUP!$A:$AI, 7, FALSE)</f>
        <v>55</v>
      </c>
      <c r="AQ16" t="str">
        <f>VLOOKUP(D16, METADATALOOKUP!$A:$AI, 8, FALSE)</f>
        <v>Male</v>
      </c>
      <c r="AR16" t="str">
        <f>VLOOKUP(D16, METADATALOOKUP!$A:$AI, 9, FALSE)</f>
        <v>White</v>
      </c>
      <c r="AS16" t="str">
        <f>VLOOKUP(D16, METADATALOOKUP!$A:$AI, 11, FALSE)</f>
        <v>Yes</v>
      </c>
      <c r="AT16" t="str">
        <f>VLOOKUP(D16, METADATALOOKUP!$A:$AI, 10, FALSE)</f>
        <v>Non-Hispanic</v>
      </c>
      <c r="AU16" t="str">
        <f>VLOOKUP(D16, METADATALOOKUP!$A:$AI, 12, FALSE)</f>
        <v>Yes</v>
      </c>
      <c r="AV16" t="str">
        <f>VLOOKUP(D16, METADATALOOKUP!$A:$AI, 14, FALSE)</f>
        <v>T3NxMx</v>
      </c>
      <c r="AW16" t="str">
        <f>VLOOKUP(D16, METADATALOOKUP!$A:$AI, 6, FALSE)</f>
        <v>Intermediate</v>
      </c>
      <c r="AX16" t="str">
        <f>VLOOKUP(D16, METADATALOOKUP!$A:$AI, 19, FALSE)</f>
        <v>Unknown</v>
      </c>
      <c r="AY16">
        <f>LOOKUP(D16, SURVLOOKUP!$A:$A, SURVLOOKUP!$P:$P)</f>
        <v>0</v>
      </c>
      <c r="AZ16" s="46">
        <v>0</v>
      </c>
      <c r="BA16" t="str">
        <f>TEXT(VLOOKUP(D16, METADATALOOKUP!$A:$AI, 34, FALSE), "@")</f>
        <v>&lt;10%</v>
      </c>
      <c r="BB16" s="47" t="str">
        <f t="shared" si="14"/>
        <v>Non-Responder</v>
      </c>
      <c r="BC16">
        <v>1.05</v>
      </c>
      <c r="BE16">
        <v>24</v>
      </c>
      <c r="BF16">
        <v>0.95238100000000003</v>
      </c>
      <c r="BG16">
        <v>49.047620000000002</v>
      </c>
      <c r="BH16">
        <v>8.9</v>
      </c>
      <c r="BI16">
        <v>2.808989</v>
      </c>
      <c r="BJ16" t="s">
        <v>122</v>
      </c>
      <c r="BK16" t="s">
        <v>123</v>
      </c>
      <c r="BL16" t="s">
        <v>124</v>
      </c>
    </row>
    <row r="17" spans="1:64" x14ac:dyDescent="0.2">
      <c r="A17" s="3" t="s">
        <v>125</v>
      </c>
      <c r="B17" t="str">
        <f>VLOOKUP(A17, IDSLOOKUP!C:E, 2, FALSE)</f>
        <v>Adj Wk 1</v>
      </c>
      <c r="C17" t="str">
        <f>VLOOKUP(D17, METADATALOOKUP!$A:$AI, 13, FALSE)</f>
        <v>Oral Cavity</v>
      </c>
      <c r="D17" t="str">
        <f>VLOOKUP(A17, IDSLOOKUP!C:E, 3, FALSE)</f>
        <v>HN02-06</v>
      </c>
      <c r="E17" s="48">
        <f>VLOOKUP(A17,CFDNALOOKUP!AG:AI,2,FALSE)</f>
        <v>44090</v>
      </c>
      <c r="F17" s="48">
        <f>VLOOKUP(A17,CFDNALOOKUP!AG:AI,3,FALSE)</f>
        <v>44180</v>
      </c>
      <c r="G17" s="1">
        <f>VLOOKUP(D17, SURVLOOKUP!$A:$Q, 2, FALSE)</f>
        <v>43362</v>
      </c>
      <c r="H17" s="1">
        <f>VLOOKUP(D17, SURVLOOKUP!$A:$Q, 3, FALSE)</f>
        <v>43374</v>
      </c>
      <c r="I17" s="1">
        <f>VLOOKUP(D17, SURVLOOKUP!$A:$Q, 4, FALSE)</f>
        <v>43377</v>
      </c>
      <c r="J17" s="1">
        <f>VLOOKUP(D17, SURVLOOKUP!$A:$Q, 5, FALSE)</f>
        <v>43388</v>
      </c>
      <c r="K17" s="1">
        <f>VLOOKUP(D17, SURVLOOKUP!$A:$Q, 6, FALSE)</f>
        <v>43438</v>
      </c>
      <c r="L17" s="1">
        <f>VLOOKUP(D17, SURVLOOKUP!$A:$Q, 7, FALSE)</f>
        <v>43479</v>
      </c>
      <c r="M17" s="1">
        <f>VLOOKUP(D17, SURVLOOKUP!$A:$Q, 8, FALSE)</f>
        <v>43430</v>
      </c>
      <c r="N17" s="1">
        <f>VLOOKUP(D17, SURVLOOKUP!$A:$Q, 9, FALSE)</f>
        <v>43536</v>
      </c>
      <c r="O17" s="1" t="str">
        <f>VLOOKUP(D17, SURVLOOKUP!$A:$Q, 10, FALSE)</f>
        <v>NA</v>
      </c>
      <c r="P17" s="1">
        <f>VLOOKUP(D17, OLDSURVLOOKUP!$A:$AA, 19, FALSE)</f>
        <v>44323</v>
      </c>
      <c r="Q17" s="1">
        <f>VLOOKUP(D17, SURVLOOKUP!$A:$Q, 11, FALSE)</f>
        <v>44323</v>
      </c>
      <c r="R17" s="1">
        <f>VLOOKUP(D17, OLDSURVLOOKUP!$A:$AA, 20, FALSE)</f>
        <v>43756</v>
      </c>
      <c r="S17" s="1">
        <f>VLOOKUP(D17, SURVLOOKUP!$A:$Q, 12, FALSE)</f>
        <v>43756</v>
      </c>
      <c r="T17" s="1"/>
      <c r="U17" s="1"/>
      <c r="V17">
        <f>_xlfn.XLOOKUP(D17, OLDSURVLOOKUP!$A:$A, OLDSURVLOOKUP!V:V)</f>
        <v>1</v>
      </c>
      <c r="W17">
        <f>VLOOKUP(D17, SURVLOOKUP!$A:$Q, 14, FALSE)</f>
        <v>1</v>
      </c>
      <c r="X17">
        <f>_xlfn.XLOOKUP(D17, OLDSURVLOOKUP!$A:$A, OLDSURVLOOKUP!X:X)</f>
        <v>0</v>
      </c>
      <c r="Y17">
        <f>VLOOKUP(D17, SURVLOOKUP!$A:$Q, 15, FALSE)</f>
        <v>0</v>
      </c>
      <c r="Z17">
        <f t="shared" si="4"/>
        <v>12.451612903225806</v>
      </c>
      <c r="AA17">
        <f t="shared" si="5"/>
        <v>12.451612903225806</v>
      </c>
      <c r="AB17">
        <f t="shared" si="6"/>
        <v>31.096774193548388</v>
      </c>
      <c r="AC17">
        <f t="shared" si="7"/>
        <v>31.096774193548388</v>
      </c>
      <c r="AD17">
        <f t="shared" si="8"/>
        <v>12.096774193548388</v>
      </c>
      <c r="AE17">
        <f t="shared" si="0"/>
        <v>12.096774193548388</v>
      </c>
      <c r="AF17">
        <f t="shared" si="1"/>
        <v>30.70967741935484</v>
      </c>
      <c r="AG17">
        <f t="shared" si="2"/>
        <v>30.70967741935484</v>
      </c>
      <c r="AH17">
        <f t="shared" si="9"/>
        <v>10.733333333333333</v>
      </c>
      <c r="AI17">
        <f t="shared" si="10"/>
        <v>10.733333333333333</v>
      </c>
      <c r="AJ17">
        <f t="shared" si="11"/>
        <v>29.366666666666667</v>
      </c>
      <c r="AK17">
        <f t="shared" si="12"/>
        <v>29.366666666666667</v>
      </c>
      <c r="AL17">
        <f t="shared" si="13"/>
        <v>2</v>
      </c>
      <c r="AM17" t="str">
        <f t="shared" si="3"/>
        <v>Ohio State University</v>
      </c>
      <c r="AN17">
        <v>0</v>
      </c>
      <c r="AO17">
        <v>6</v>
      </c>
      <c r="AP17">
        <f>VLOOKUP(D17, METADATALOOKUP!$A:$AI, 7, FALSE)</f>
        <v>55</v>
      </c>
      <c r="AQ17" t="str">
        <f>VLOOKUP(D17, METADATALOOKUP!$A:$AI, 8, FALSE)</f>
        <v>Male</v>
      </c>
      <c r="AR17" t="str">
        <f>VLOOKUP(D17, METADATALOOKUP!$A:$AI, 9, FALSE)</f>
        <v>White</v>
      </c>
      <c r="AS17" t="str">
        <f>VLOOKUP(D17, METADATALOOKUP!$A:$AI, 11, FALSE)</f>
        <v>Yes</v>
      </c>
      <c r="AT17" t="str">
        <f>VLOOKUP(D17, METADATALOOKUP!$A:$AI, 10, FALSE)</f>
        <v>Non-Hispanic</v>
      </c>
      <c r="AU17" t="str">
        <f>VLOOKUP(D17, METADATALOOKUP!$A:$AI, 12, FALSE)</f>
        <v>Yes</v>
      </c>
      <c r="AV17" t="str">
        <f>VLOOKUP(D17, METADATALOOKUP!$A:$AI, 14, FALSE)</f>
        <v>T3NxMx</v>
      </c>
      <c r="AW17" t="str">
        <f>VLOOKUP(D17, METADATALOOKUP!$A:$AI, 6, FALSE)</f>
        <v>Intermediate</v>
      </c>
      <c r="AX17" t="str">
        <f>VLOOKUP(D17, METADATALOOKUP!$A:$AI, 19, FALSE)</f>
        <v>Unknown</v>
      </c>
      <c r="AY17">
        <f>LOOKUP(D17, SURVLOOKUP!$A:$A, SURVLOOKUP!$P:$P)</f>
        <v>0</v>
      </c>
      <c r="AZ17" s="46">
        <v>0</v>
      </c>
      <c r="BA17" t="str">
        <f>TEXT(VLOOKUP(D17, METADATALOOKUP!$A:$AI, 34, FALSE), "@")</f>
        <v>&lt;10%</v>
      </c>
      <c r="BB17" s="47" t="str">
        <f t="shared" si="14"/>
        <v>Non-Responder</v>
      </c>
      <c r="BC17">
        <v>0.47799999999999998</v>
      </c>
      <c r="BE17">
        <v>24</v>
      </c>
      <c r="BF17">
        <v>2.09205</v>
      </c>
      <c r="BG17">
        <v>47.90795</v>
      </c>
      <c r="BH17">
        <v>8.3000000000000007</v>
      </c>
      <c r="BI17">
        <v>3.0120480000000001</v>
      </c>
      <c r="BJ17" t="s">
        <v>126</v>
      </c>
      <c r="BK17" t="s">
        <v>127</v>
      </c>
      <c r="BL17" t="s">
        <v>128</v>
      </c>
    </row>
    <row r="18" spans="1:64" x14ac:dyDescent="0.2">
      <c r="A18" s="3" t="s">
        <v>129</v>
      </c>
      <c r="B18" t="str">
        <f>VLOOKUP(A18, IDSLOOKUP!C:E, 2, FALSE)</f>
        <v>Screen</v>
      </c>
      <c r="C18" t="str">
        <f>VLOOKUP(D18, METADATALOOKUP!$A:$AI, 13, FALSE)</f>
        <v>Oral Cavity</v>
      </c>
      <c r="D18" t="str">
        <f>VLOOKUP(A18, IDSLOOKUP!C:E, 3, FALSE)</f>
        <v>HN02-07</v>
      </c>
      <c r="E18" s="48">
        <f>VLOOKUP(A18,CFDNALOOKUP!AG:AI,2,FALSE)</f>
        <v>44090</v>
      </c>
      <c r="F18" s="48">
        <f>VLOOKUP(A18,CFDNALOOKUP!AG:AI,3,FALSE)</f>
        <v>44179</v>
      </c>
      <c r="G18" s="1">
        <f>VLOOKUP(D18, SURVLOOKUP!$A:$Q, 2, FALSE)</f>
        <v>43385</v>
      </c>
      <c r="H18" s="1">
        <f>VLOOKUP(D18, SURVLOOKUP!$A:$Q, 3, FALSE)</f>
        <v>43433</v>
      </c>
      <c r="I18" s="1">
        <f>VLOOKUP(D18, SURVLOOKUP!$A:$Q, 4, FALSE)</f>
        <v>43440</v>
      </c>
      <c r="J18" s="1">
        <f>VLOOKUP(D18, SURVLOOKUP!$A:$Q, 5, FALSE)</f>
        <v>43454</v>
      </c>
      <c r="K18" s="1">
        <f>VLOOKUP(D18, SURVLOOKUP!$A:$Q, 6, FALSE)</f>
        <v>43494</v>
      </c>
      <c r="L18" s="1">
        <f>VLOOKUP(D18, SURVLOOKUP!$A:$Q, 7, FALSE)</f>
        <v>43538</v>
      </c>
      <c r="M18" s="1">
        <f>VLOOKUP(D18, SURVLOOKUP!$A:$Q, 8, FALSE)</f>
        <v>43487</v>
      </c>
      <c r="N18" s="1">
        <f>VLOOKUP(D18, SURVLOOKUP!$A:$Q, 9, FALSE)</f>
        <v>43592</v>
      </c>
      <c r="O18" s="1" t="str">
        <f>VLOOKUP(D18, SURVLOOKUP!$A:$Q, 10, FALSE)</f>
        <v>NA</v>
      </c>
      <c r="P18" s="1">
        <f>VLOOKUP(D18, OLDSURVLOOKUP!$A:$AA, 19, FALSE)</f>
        <v>43822</v>
      </c>
      <c r="Q18" s="1">
        <f>VLOOKUP(D18, SURVLOOKUP!$A:$Q, 11, FALSE)</f>
        <v>43822</v>
      </c>
      <c r="R18" s="1">
        <f>VLOOKUP(D18, OLDSURVLOOKUP!$A:$AA, 20, FALSE)</f>
        <v>43803</v>
      </c>
      <c r="S18" s="1">
        <f>VLOOKUP(D18, SURVLOOKUP!$A:$Q, 12, FALSE)</f>
        <v>43803</v>
      </c>
      <c r="T18" s="1">
        <f>VLOOKUP(D18, OLDSURVLOOKUP!$A:$AA, 21, FALSE)</f>
        <v>43823</v>
      </c>
      <c r="U18" s="1">
        <f>VLOOKUP(D18, SURVLOOKUP!$A:$Q, 13, FALSE)</f>
        <v>43823</v>
      </c>
      <c r="V18">
        <f>_xlfn.XLOOKUP(D18, OLDSURVLOOKUP!$A:$A, OLDSURVLOOKUP!V:V)</f>
        <v>1</v>
      </c>
      <c r="W18">
        <f>VLOOKUP(D18, SURVLOOKUP!$A:$Q, 14, FALSE)</f>
        <v>1</v>
      </c>
      <c r="X18">
        <f>_xlfn.XLOOKUP(D18, OLDSURVLOOKUP!$A:$A, OLDSURVLOOKUP!X:X)</f>
        <v>1</v>
      </c>
      <c r="Y18">
        <f>VLOOKUP(D18, SURVLOOKUP!$A:$Q, 15, FALSE)</f>
        <v>1</v>
      </c>
      <c r="Z18">
        <f t="shared" si="4"/>
        <v>11.903225806451612</v>
      </c>
      <c r="AA18">
        <f t="shared" si="5"/>
        <v>11.903225806451612</v>
      </c>
      <c r="AB18">
        <f t="shared" si="6"/>
        <v>12.580645161290322</v>
      </c>
      <c r="AC18">
        <f t="shared" si="7"/>
        <v>12.580645161290322</v>
      </c>
      <c r="AD18">
        <f t="shared" si="8"/>
        <v>11.451612903225806</v>
      </c>
      <c r="AE18">
        <f t="shared" si="0"/>
        <v>11.451612903225806</v>
      </c>
      <c r="AF18">
        <f t="shared" si="1"/>
        <v>12.129032258064516</v>
      </c>
      <c r="AG18">
        <f t="shared" si="2"/>
        <v>12.129032258064516</v>
      </c>
      <c r="AH18">
        <f t="shared" si="9"/>
        <v>10.387096774193548</v>
      </c>
      <c r="AI18">
        <f t="shared" si="10"/>
        <v>10.387096774193548</v>
      </c>
      <c r="AJ18">
        <f t="shared" si="11"/>
        <v>11.064516129032258</v>
      </c>
      <c r="AK18">
        <f t="shared" si="12"/>
        <v>11.064516129032258</v>
      </c>
      <c r="AL18">
        <f t="shared" si="13"/>
        <v>2</v>
      </c>
      <c r="AM18" t="str">
        <f t="shared" si="3"/>
        <v>Ohio State University</v>
      </c>
      <c r="AN18">
        <v>0</v>
      </c>
      <c r="AO18">
        <v>7</v>
      </c>
      <c r="AP18">
        <f>VLOOKUP(D18, METADATALOOKUP!$A:$AI, 7, FALSE)</f>
        <v>49</v>
      </c>
      <c r="AQ18" t="str">
        <f>VLOOKUP(D18, METADATALOOKUP!$A:$AI, 8, FALSE)</f>
        <v>Male</v>
      </c>
      <c r="AR18" t="str">
        <f>VLOOKUP(D18, METADATALOOKUP!$A:$AI, 9, FALSE)</f>
        <v>White</v>
      </c>
      <c r="AS18" t="str">
        <f>VLOOKUP(D18, METADATALOOKUP!$A:$AI, 11, FALSE)</f>
        <v>Yes</v>
      </c>
      <c r="AT18" t="str">
        <f>VLOOKUP(D18, METADATALOOKUP!$A:$AI, 10, FALSE)</f>
        <v>Non-Hispanic</v>
      </c>
      <c r="AU18" t="str">
        <f>VLOOKUP(D18, METADATALOOKUP!$A:$AI, 12, FALSE)</f>
        <v>No</v>
      </c>
      <c r="AV18" t="str">
        <f>VLOOKUP(D18, METADATALOOKUP!$A:$AI, 14, FALSE)</f>
        <v>T4N1Mx</v>
      </c>
      <c r="AW18" t="str">
        <f>VLOOKUP(D18, METADATALOOKUP!$A:$AI, 6, FALSE)</f>
        <v xml:space="preserve">High </v>
      </c>
      <c r="AX18" t="str">
        <f>VLOOKUP(D18, METADATALOOKUP!$A:$AI, 19, FALSE)</f>
        <v>Unknown</v>
      </c>
      <c r="AY18">
        <f>LOOKUP(D18, SURVLOOKUP!$A:$A, SURVLOOKUP!$P:$P)</f>
        <v>0</v>
      </c>
      <c r="AZ18" s="46">
        <v>3</v>
      </c>
      <c r="BA18" t="str">
        <f>TEXT(VLOOKUP(D18, METADATALOOKUP!$A:$AI, 34, FALSE), "@")</f>
        <v>0.3</v>
      </c>
      <c r="BB18" s="47" t="str">
        <f t="shared" si="14"/>
        <v>Responder</v>
      </c>
      <c r="BC18">
        <v>0.44600000000000001</v>
      </c>
      <c r="BE18">
        <v>24</v>
      </c>
      <c r="BF18">
        <v>2.2421519999999999</v>
      </c>
      <c r="BG18">
        <v>47.757849999999998</v>
      </c>
      <c r="BH18">
        <v>15.8</v>
      </c>
      <c r="BI18">
        <v>1.5822780000000001</v>
      </c>
      <c r="BJ18" t="s">
        <v>133</v>
      </c>
      <c r="BK18" t="s">
        <v>134</v>
      </c>
      <c r="BL18" t="s">
        <v>135</v>
      </c>
    </row>
    <row r="19" spans="1:64" x14ac:dyDescent="0.2">
      <c r="A19" s="3" t="s">
        <v>136</v>
      </c>
      <c r="B19" t="str">
        <f>VLOOKUP(A19, IDSLOOKUP!C:E, 2, FALSE)</f>
        <v>Day 0</v>
      </c>
      <c r="C19" t="str">
        <f>VLOOKUP(D19, METADATALOOKUP!$A:$AI, 13, FALSE)</f>
        <v>Oral Cavity</v>
      </c>
      <c r="D19" t="str">
        <f>VLOOKUP(A19, IDSLOOKUP!C:E, 3, FALSE)</f>
        <v>HN02-07</v>
      </c>
      <c r="E19" s="48">
        <f>VLOOKUP(A19,CFDNALOOKUP!AG:AI,2,FALSE)</f>
        <v>44090</v>
      </c>
      <c r="F19" s="48">
        <f>VLOOKUP(A19,CFDNALOOKUP!AG:AI,3,FALSE)</f>
        <v>44180</v>
      </c>
      <c r="G19" s="1">
        <f>VLOOKUP(D19, SURVLOOKUP!$A:$Q, 2, FALSE)</f>
        <v>43385</v>
      </c>
      <c r="H19" s="1">
        <f>VLOOKUP(D19, SURVLOOKUP!$A:$Q, 3, FALSE)</f>
        <v>43433</v>
      </c>
      <c r="I19" s="1">
        <f>VLOOKUP(D19, SURVLOOKUP!$A:$Q, 4, FALSE)</f>
        <v>43440</v>
      </c>
      <c r="J19" s="1">
        <f>VLOOKUP(D19, SURVLOOKUP!$A:$Q, 5, FALSE)</f>
        <v>43454</v>
      </c>
      <c r="K19" s="1">
        <f>VLOOKUP(D19, SURVLOOKUP!$A:$Q, 6, FALSE)</f>
        <v>43494</v>
      </c>
      <c r="L19" s="1">
        <f>VLOOKUP(D19, SURVLOOKUP!$A:$Q, 7, FALSE)</f>
        <v>43538</v>
      </c>
      <c r="M19" s="1">
        <f>VLOOKUP(D19, SURVLOOKUP!$A:$Q, 8, FALSE)</f>
        <v>43487</v>
      </c>
      <c r="N19" s="1">
        <f>VLOOKUP(D19, SURVLOOKUP!$A:$Q, 9, FALSE)</f>
        <v>43592</v>
      </c>
      <c r="O19" s="1" t="str">
        <f>VLOOKUP(D19, SURVLOOKUP!$A:$Q, 10, FALSE)</f>
        <v>NA</v>
      </c>
      <c r="P19" s="1">
        <f>VLOOKUP(D19, OLDSURVLOOKUP!$A:$AA, 19, FALSE)</f>
        <v>43822</v>
      </c>
      <c r="Q19" s="1">
        <f>VLOOKUP(D19, SURVLOOKUP!$A:$Q, 11, FALSE)</f>
        <v>43822</v>
      </c>
      <c r="R19" s="1">
        <f>VLOOKUP(D19, OLDSURVLOOKUP!$A:$AA, 20, FALSE)</f>
        <v>43803</v>
      </c>
      <c r="S19" s="1">
        <f>VLOOKUP(D19, SURVLOOKUP!$A:$Q, 12, FALSE)</f>
        <v>43803</v>
      </c>
      <c r="T19" s="1">
        <f>VLOOKUP(D19, OLDSURVLOOKUP!$A:$AA, 21, FALSE)</f>
        <v>43823</v>
      </c>
      <c r="U19" s="1">
        <f>VLOOKUP(D19, SURVLOOKUP!$A:$Q, 13, FALSE)</f>
        <v>43823</v>
      </c>
      <c r="V19">
        <f>_xlfn.XLOOKUP(D19, OLDSURVLOOKUP!$A:$A, OLDSURVLOOKUP!V:V)</f>
        <v>1</v>
      </c>
      <c r="W19">
        <f>VLOOKUP(D19, SURVLOOKUP!$A:$Q, 14, FALSE)</f>
        <v>1</v>
      </c>
      <c r="X19">
        <f>_xlfn.XLOOKUP(D19, OLDSURVLOOKUP!$A:$A, OLDSURVLOOKUP!X:X)</f>
        <v>1</v>
      </c>
      <c r="Y19">
        <f>VLOOKUP(D19, SURVLOOKUP!$A:$Q, 15, FALSE)</f>
        <v>1</v>
      </c>
      <c r="Z19">
        <f t="shared" si="4"/>
        <v>11.903225806451612</v>
      </c>
      <c r="AA19">
        <f t="shared" si="5"/>
        <v>11.903225806451612</v>
      </c>
      <c r="AB19">
        <f t="shared" si="6"/>
        <v>12.580645161290322</v>
      </c>
      <c r="AC19">
        <f t="shared" si="7"/>
        <v>12.580645161290322</v>
      </c>
      <c r="AD19">
        <f t="shared" si="8"/>
        <v>11.451612903225806</v>
      </c>
      <c r="AE19">
        <f t="shared" si="0"/>
        <v>11.451612903225806</v>
      </c>
      <c r="AF19">
        <f t="shared" si="1"/>
        <v>12.129032258064516</v>
      </c>
      <c r="AG19">
        <f t="shared" si="2"/>
        <v>12.129032258064516</v>
      </c>
      <c r="AH19">
        <f t="shared" si="9"/>
        <v>10.387096774193548</v>
      </c>
      <c r="AI19">
        <f t="shared" si="10"/>
        <v>10.387096774193548</v>
      </c>
      <c r="AJ19">
        <f t="shared" si="11"/>
        <v>11.064516129032258</v>
      </c>
      <c r="AK19">
        <f t="shared" si="12"/>
        <v>11.064516129032258</v>
      </c>
      <c r="AL19">
        <f t="shared" si="13"/>
        <v>2</v>
      </c>
      <c r="AM19" t="str">
        <f t="shared" si="3"/>
        <v>Ohio State University</v>
      </c>
      <c r="AN19">
        <v>0</v>
      </c>
      <c r="AO19">
        <v>7</v>
      </c>
      <c r="AP19">
        <f>VLOOKUP(D19, METADATALOOKUP!$A:$AI, 7, FALSE)</f>
        <v>49</v>
      </c>
      <c r="AQ19" t="str">
        <f>VLOOKUP(D19, METADATALOOKUP!$A:$AI, 8, FALSE)</f>
        <v>Male</v>
      </c>
      <c r="AR19" t="str">
        <f>VLOOKUP(D19, METADATALOOKUP!$A:$AI, 9, FALSE)</f>
        <v>White</v>
      </c>
      <c r="AS19" t="str">
        <f>VLOOKUP(D19, METADATALOOKUP!$A:$AI, 11, FALSE)</f>
        <v>Yes</v>
      </c>
      <c r="AT19" t="str">
        <f>VLOOKUP(D19, METADATALOOKUP!$A:$AI, 10, FALSE)</f>
        <v>Non-Hispanic</v>
      </c>
      <c r="AU19" t="str">
        <f>VLOOKUP(D19, METADATALOOKUP!$A:$AI, 12, FALSE)</f>
        <v>No</v>
      </c>
      <c r="AV19" t="str">
        <f>VLOOKUP(D19, METADATALOOKUP!$A:$AI, 14, FALSE)</f>
        <v>T4N1Mx</v>
      </c>
      <c r="AW19" t="str">
        <f>VLOOKUP(D19, METADATALOOKUP!$A:$AI, 6, FALSE)</f>
        <v xml:space="preserve">High </v>
      </c>
      <c r="AX19" t="str">
        <f>VLOOKUP(D19, METADATALOOKUP!$A:$AI, 19, FALSE)</f>
        <v>Unknown</v>
      </c>
      <c r="AY19">
        <f>LOOKUP(D19, SURVLOOKUP!$A:$A, SURVLOOKUP!$P:$P)</f>
        <v>0</v>
      </c>
      <c r="AZ19" s="46">
        <v>3</v>
      </c>
      <c r="BA19" t="str">
        <f>TEXT(VLOOKUP(D19, METADATALOOKUP!$A:$AI, 34, FALSE), "@")</f>
        <v>0.3</v>
      </c>
      <c r="BB19" s="47" t="str">
        <f t="shared" si="14"/>
        <v>Responder</v>
      </c>
      <c r="BC19">
        <v>1.1200000000000001</v>
      </c>
      <c r="BE19">
        <v>24</v>
      </c>
      <c r="BF19">
        <v>0.89285700000000001</v>
      </c>
      <c r="BG19">
        <v>49.107140000000001</v>
      </c>
      <c r="BH19">
        <v>6.8</v>
      </c>
      <c r="BI19">
        <v>3.6764709999999998</v>
      </c>
      <c r="BJ19" t="s">
        <v>137</v>
      </c>
      <c r="BK19" t="s">
        <v>138</v>
      </c>
      <c r="BL19" t="s">
        <v>139</v>
      </c>
    </row>
    <row r="20" spans="1:64" x14ac:dyDescent="0.2">
      <c r="A20" s="3" t="s">
        <v>140</v>
      </c>
      <c r="B20" t="str">
        <f>VLOOKUP(A20, IDSLOOKUP!C:E, 2, FALSE)</f>
        <v>Adj Wk 1</v>
      </c>
      <c r="C20" t="str">
        <f>VLOOKUP(D20, METADATALOOKUP!$A:$AI, 13, FALSE)</f>
        <v>Oral Cavity</v>
      </c>
      <c r="D20" t="str">
        <f>VLOOKUP(A20, IDSLOOKUP!C:E, 3, FALSE)</f>
        <v>HN02-07</v>
      </c>
      <c r="E20" s="48">
        <f>VLOOKUP(A20,CFDNALOOKUP!AG:AI,2,FALSE)</f>
        <v>44090</v>
      </c>
      <c r="F20" s="48">
        <f>VLOOKUP(A20,CFDNALOOKUP!AG:AI,3,FALSE)</f>
        <v>44180</v>
      </c>
      <c r="G20" s="1">
        <f>VLOOKUP(D20, SURVLOOKUP!$A:$Q, 2, FALSE)</f>
        <v>43385</v>
      </c>
      <c r="H20" s="1">
        <f>VLOOKUP(D20, SURVLOOKUP!$A:$Q, 3, FALSE)</f>
        <v>43433</v>
      </c>
      <c r="I20" s="1">
        <f>VLOOKUP(D20, SURVLOOKUP!$A:$Q, 4, FALSE)</f>
        <v>43440</v>
      </c>
      <c r="J20" s="1">
        <f>VLOOKUP(D20, SURVLOOKUP!$A:$Q, 5, FALSE)</f>
        <v>43454</v>
      </c>
      <c r="K20" s="1">
        <f>VLOOKUP(D20, SURVLOOKUP!$A:$Q, 6, FALSE)</f>
        <v>43494</v>
      </c>
      <c r="L20" s="1">
        <f>VLOOKUP(D20, SURVLOOKUP!$A:$Q, 7, FALSE)</f>
        <v>43538</v>
      </c>
      <c r="M20" s="1">
        <f>VLOOKUP(D20, SURVLOOKUP!$A:$Q, 8, FALSE)</f>
        <v>43487</v>
      </c>
      <c r="N20" s="1">
        <f>VLOOKUP(D20, SURVLOOKUP!$A:$Q, 9, FALSE)</f>
        <v>43592</v>
      </c>
      <c r="O20" s="1" t="str">
        <f>VLOOKUP(D20, SURVLOOKUP!$A:$Q, 10, FALSE)</f>
        <v>NA</v>
      </c>
      <c r="P20" s="1">
        <f>VLOOKUP(D20, OLDSURVLOOKUP!$A:$AA, 19, FALSE)</f>
        <v>43822</v>
      </c>
      <c r="Q20" s="1">
        <f>VLOOKUP(D20, SURVLOOKUP!$A:$Q, 11, FALSE)</f>
        <v>43822</v>
      </c>
      <c r="R20" s="1">
        <f>VLOOKUP(D20, OLDSURVLOOKUP!$A:$AA, 20, FALSE)</f>
        <v>43803</v>
      </c>
      <c r="S20" s="1">
        <f>VLOOKUP(D20, SURVLOOKUP!$A:$Q, 12, FALSE)</f>
        <v>43803</v>
      </c>
      <c r="T20" s="1">
        <f>VLOOKUP(D20, OLDSURVLOOKUP!$A:$AA, 21, FALSE)</f>
        <v>43823</v>
      </c>
      <c r="U20" s="1">
        <f>VLOOKUP(D20, SURVLOOKUP!$A:$Q, 13, FALSE)</f>
        <v>43823</v>
      </c>
      <c r="V20">
        <f>_xlfn.XLOOKUP(D20, OLDSURVLOOKUP!$A:$A, OLDSURVLOOKUP!V:V)</f>
        <v>1</v>
      </c>
      <c r="W20">
        <f>VLOOKUP(D20, SURVLOOKUP!$A:$Q, 14, FALSE)</f>
        <v>1</v>
      </c>
      <c r="X20">
        <f>_xlfn.XLOOKUP(D20, OLDSURVLOOKUP!$A:$A, OLDSURVLOOKUP!X:X)</f>
        <v>1</v>
      </c>
      <c r="Y20">
        <f>VLOOKUP(D20, SURVLOOKUP!$A:$Q, 15, FALSE)</f>
        <v>1</v>
      </c>
      <c r="Z20">
        <f t="shared" si="4"/>
        <v>11.903225806451612</v>
      </c>
      <c r="AA20">
        <f t="shared" si="5"/>
        <v>11.903225806451612</v>
      </c>
      <c r="AB20">
        <f t="shared" si="6"/>
        <v>12.580645161290322</v>
      </c>
      <c r="AC20">
        <f t="shared" si="7"/>
        <v>12.580645161290322</v>
      </c>
      <c r="AD20">
        <f t="shared" si="8"/>
        <v>11.451612903225806</v>
      </c>
      <c r="AE20">
        <f t="shared" si="0"/>
        <v>11.451612903225806</v>
      </c>
      <c r="AF20">
        <f t="shared" si="1"/>
        <v>12.129032258064516</v>
      </c>
      <c r="AG20">
        <f t="shared" si="2"/>
        <v>12.129032258064516</v>
      </c>
      <c r="AH20">
        <f t="shared" si="9"/>
        <v>10.387096774193548</v>
      </c>
      <c r="AI20">
        <f t="shared" si="10"/>
        <v>10.387096774193548</v>
      </c>
      <c r="AJ20">
        <f t="shared" si="11"/>
        <v>11.064516129032258</v>
      </c>
      <c r="AK20">
        <f t="shared" si="12"/>
        <v>11.064516129032258</v>
      </c>
      <c r="AL20">
        <f t="shared" si="13"/>
        <v>2</v>
      </c>
      <c r="AM20" t="str">
        <f t="shared" si="3"/>
        <v>Ohio State University</v>
      </c>
      <c r="AN20">
        <v>0</v>
      </c>
      <c r="AO20">
        <v>7</v>
      </c>
      <c r="AP20">
        <f>VLOOKUP(D20, METADATALOOKUP!$A:$AI, 7, FALSE)</f>
        <v>49</v>
      </c>
      <c r="AQ20" t="str">
        <f>VLOOKUP(D20, METADATALOOKUP!$A:$AI, 8, FALSE)</f>
        <v>Male</v>
      </c>
      <c r="AR20" t="str">
        <f>VLOOKUP(D20, METADATALOOKUP!$A:$AI, 9, FALSE)</f>
        <v>White</v>
      </c>
      <c r="AS20" t="str">
        <f>VLOOKUP(D20, METADATALOOKUP!$A:$AI, 11, FALSE)</f>
        <v>Yes</v>
      </c>
      <c r="AT20" t="str">
        <f>VLOOKUP(D20, METADATALOOKUP!$A:$AI, 10, FALSE)</f>
        <v>Non-Hispanic</v>
      </c>
      <c r="AU20" t="str">
        <f>VLOOKUP(D20, METADATALOOKUP!$A:$AI, 12, FALSE)</f>
        <v>No</v>
      </c>
      <c r="AV20" t="str">
        <f>VLOOKUP(D20, METADATALOOKUP!$A:$AI, 14, FALSE)</f>
        <v>T4N1Mx</v>
      </c>
      <c r="AW20" t="str">
        <f>VLOOKUP(D20, METADATALOOKUP!$A:$AI, 6, FALSE)</f>
        <v xml:space="preserve">High </v>
      </c>
      <c r="AX20" t="str">
        <f>VLOOKUP(D20, METADATALOOKUP!$A:$AI, 19, FALSE)</f>
        <v>Unknown</v>
      </c>
      <c r="AY20">
        <f>LOOKUP(D20, SURVLOOKUP!$A:$A, SURVLOOKUP!$P:$P)</f>
        <v>0</v>
      </c>
      <c r="AZ20" s="46">
        <v>3</v>
      </c>
      <c r="BA20" t="str">
        <f>TEXT(VLOOKUP(D20, METADATALOOKUP!$A:$AI, 34, FALSE), "@")</f>
        <v>0.3</v>
      </c>
      <c r="BB20" s="47" t="str">
        <f t="shared" si="14"/>
        <v>Responder</v>
      </c>
      <c r="BC20">
        <v>0.93600000000000005</v>
      </c>
      <c r="BE20">
        <v>24</v>
      </c>
      <c r="BF20">
        <v>1.068376</v>
      </c>
      <c r="BG20">
        <v>48.931620000000002</v>
      </c>
      <c r="BH20">
        <v>8.48</v>
      </c>
      <c r="BI20">
        <v>2.9481130000000002</v>
      </c>
      <c r="BJ20" t="s">
        <v>141</v>
      </c>
      <c r="BK20" t="s">
        <v>142</v>
      </c>
      <c r="BL20" t="s">
        <v>143</v>
      </c>
    </row>
    <row r="21" spans="1:64" x14ac:dyDescent="0.2">
      <c r="A21" s="3" t="s">
        <v>144</v>
      </c>
      <c r="B21" t="str">
        <f>VLOOKUP(A21, IDSLOOKUP!C:E, 2, FALSE)</f>
        <v>Screen</v>
      </c>
      <c r="C21" t="str">
        <f>VLOOKUP(D21, METADATALOOKUP!$A:$AI, 13, FALSE)</f>
        <v>Oral Cavity</v>
      </c>
      <c r="D21" t="str">
        <f>VLOOKUP(A21, IDSLOOKUP!C:E, 3, FALSE)</f>
        <v>HN03-01</v>
      </c>
      <c r="E21" s="48">
        <f>VLOOKUP(A21,CFDNALOOKUP!AG:AI,2,FALSE)</f>
        <v>44090</v>
      </c>
      <c r="F21" s="48">
        <f>VLOOKUP(A21,CFDNALOOKUP!AG:AI,3,FALSE)</f>
        <v>44180</v>
      </c>
      <c r="G21" s="1">
        <f>VLOOKUP(D21, SURVLOOKUP!$A:$Q, 2, FALSE)</f>
        <v>42867</v>
      </c>
      <c r="H21" s="1">
        <f>VLOOKUP(D21, SURVLOOKUP!$A:$Q, 3, FALSE)</f>
        <v>42878</v>
      </c>
      <c r="I21" s="1">
        <f>VLOOKUP(D21, SURVLOOKUP!$A:$Q, 4, FALSE)</f>
        <v>42901</v>
      </c>
      <c r="J21" s="1">
        <f>VLOOKUP(D21, SURVLOOKUP!$A:$Q, 5, FALSE)</f>
        <v>42908</v>
      </c>
      <c r="K21" s="1">
        <f>VLOOKUP(D21, SURVLOOKUP!$A:$Q, 6, FALSE)</f>
        <v>42965</v>
      </c>
      <c r="L21" s="1">
        <f>VLOOKUP(D21, SURVLOOKUP!$A:$Q, 7, FALSE)</f>
        <v>43018</v>
      </c>
      <c r="M21" s="1">
        <f>VLOOKUP(D21, SURVLOOKUP!$A:$Q, 8, FALSE)</f>
        <v>42958</v>
      </c>
      <c r="N21" s="1">
        <f>VLOOKUP(D21, SURVLOOKUP!$A:$Q, 9, FALSE)</f>
        <v>43076</v>
      </c>
      <c r="O21" s="1" t="str">
        <f>VLOOKUP(D21, SURVLOOKUP!$A:$Q, 10, FALSE)</f>
        <v>NA</v>
      </c>
      <c r="P21" s="1">
        <f>VLOOKUP(D21, OLDSURVLOOKUP!$A:$AA, 19, FALSE)</f>
        <v>44356</v>
      </c>
      <c r="Q21" s="1">
        <f>VLOOKUP(D21, SURVLOOKUP!$A:$Q, 11, FALSE)</f>
        <v>45020</v>
      </c>
      <c r="R21" s="1"/>
      <c r="S21" s="1"/>
      <c r="T21" s="1"/>
      <c r="U21" s="1"/>
      <c r="V21">
        <f>_xlfn.XLOOKUP(D21, OLDSURVLOOKUP!$A:$A, OLDSURVLOOKUP!V:V)</f>
        <v>0</v>
      </c>
      <c r="W21">
        <f>VLOOKUP(D21, SURVLOOKUP!$A:$Q, 14, FALSE)</f>
        <v>0</v>
      </c>
      <c r="X21">
        <f>_xlfn.XLOOKUP(D21, OLDSURVLOOKUP!$A:$A, OLDSURVLOOKUP!X:X)</f>
        <v>0</v>
      </c>
      <c r="Y21">
        <f>VLOOKUP(D21, SURVLOOKUP!$A:$Q, 15, FALSE)</f>
        <v>0</v>
      </c>
      <c r="Z21">
        <f t="shared" si="4"/>
        <v>47.833333333333336</v>
      </c>
      <c r="AA21">
        <f t="shared" si="5"/>
        <v>69.666666666666671</v>
      </c>
      <c r="AB21">
        <f t="shared" si="6"/>
        <v>47.833333333333336</v>
      </c>
      <c r="AC21">
        <f t="shared" si="7"/>
        <v>69.666666666666671</v>
      </c>
      <c r="AD21">
        <f t="shared" si="8"/>
        <v>47.6</v>
      </c>
      <c r="AE21">
        <f t="shared" si="0"/>
        <v>69.433333333333337</v>
      </c>
      <c r="AF21">
        <f t="shared" si="1"/>
        <v>47.6</v>
      </c>
      <c r="AG21">
        <f t="shared" si="2"/>
        <v>69.433333333333337</v>
      </c>
      <c r="AH21">
        <f t="shared" si="9"/>
        <v>45.935483870967744</v>
      </c>
      <c r="AI21">
        <f t="shared" si="10"/>
        <v>67.774193548387103</v>
      </c>
      <c r="AJ21">
        <f t="shared" si="11"/>
        <v>45.935483870967744</v>
      </c>
      <c r="AK21">
        <f t="shared" si="12"/>
        <v>67.774193548387103</v>
      </c>
      <c r="AL21">
        <f t="shared" si="13"/>
        <v>2</v>
      </c>
      <c r="AM21" t="str">
        <f t="shared" si="3"/>
        <v>Medical University of South Carolina</v>
      </c>
      <c r="AN21">
        <v>0</v>
      </c>
      <c r="AO21">
        <v>8</v>
      </c>
      <c r="AP21">
        <f>VLOOKUP(D21, METADATALOOKUP!$A:$AI, 7, FALSE)</f>
        <v>38</v>
      </c>
      <c r="AQ21" t="str">
        <f>VLOOKUP(D21, METADATALOOKUP!$A:$AI, 8, FALSE)</f>
        <v>Female</v>
      </c>
      <c r="AR21" t="str">
        <f>VLOOKUP(D21, METADATALOOKUP!$A:$AI, 9, FALSE)</f>
        <v>White</v>
      </c>
      <c r="AS21" t="str">
        <f>VLOOKUP(D21, METADATALOOKUP!$A:$AI, 11, FALSE)</f>
        <v>Yes</v>
      </c>
      <c r="AT21" t="str">
        <f>VLOOKUP(D21, METADATALOOKUP!$A:$AI, 10, FALSE)</f>
        <v>Non-Hispanic</v>
      </c>
      <c r="AU21" t="str">
        <f>VLOOKUP(D21, METADATALOOKUP!$A:$AI, 12, FALSE)</f>
        <v>No</v>
      </c>
      <c r="AV21" t="str">
        <f>VLOOKUP(D21, METADATALOOKUP!$A:$AI, 14, FALSE)</f>
        <v>cT4aN2bMx</v>
      </c>
      <c r="AW21" t="str">
        <f>VLOOKUP(D21, METADATALOOKUP!$A:$AI, 6, FALSE)</f>
        <v>High</v>
      </c>
      <c r="AX21" t="str">
        <f>VLOOKUP(D21, METADATALOOKUP!$A:$AI, 19, FALSE)</f>
        <v>No</v>
      </c>
      <c r="AY21">
        <f>LOOKUP(D21, SURVLOOKUP!$A:$A, SURVLOOKUP!$P:$P)</f>
        <v>0</v>
      </c>
      <c r="AZ21" s="46">
        <v>0</v>
      </c>
      <c r="BA21" t="str">
        <f>TEXT(VLOOKUP(D21, METADATALOOKUP!$A:$AI, 34, FALSE), "@")</f>
        <v>&lt;10%</v>
      </c>
      <c r="BB21" s="47" t="str">
        <f t="shared" si="14"/>
        <v>Non-Responder</v>
      </c>
      <c r="BC21">
        <v>5.92</v>
      </c>
      <c r="BE21">
        <v>24</v>
      </c>
      <c r="BF21">
        <v>0.16891900000000001</v>
      </c>
      <c r="BG21">
        <v>49.83108</v>
      </c>
      <c r="BH21">
        <v>2.6</v>
      </c>
      <c r="BI21">
        <v>9.6153849999999998</v>
      </c>
      <c r="BJ21" t="s">
        <v>147</v>
      </c>
      <c r="BK21" t="s">
        <v>148</v>
      </c>
      <c r="BL21" t="s">
        <v>149</v>
      </c>
    </row>
    <row r="22" spans="1:64" x14ac:dyDescent="0.2">
      <c r="A22" s="3" t="s">
        <v>150</v>
      </c>
      <c r="B22" t="str">
        <f>VLOOKUP(A22, IDSLOOKUP!C:E, 2, FALSE)</f>
        <v>Day 0</v>
      </c>
      <c r="C22" t="str">
        <f>VLOOKUP(D22, METADATALOOKUP!$A:$AI, 13, FALSE)</f>
        <v>Oral Cavity</v>
      </c>
      <c r="D22" t="str">
        <f>VLOOKUP(A22, IDSLOOKUP!C:E, 3, FALSE)</f>
        <v>HN03-01</v>
      </c>
      <c r="E22" s="48">
        <f>VLOOKUP(A22,CFDNALOOKUP!AG:AI,2,FALSE)</f>
        <v>44090</v>
      </c>
      <c r="F22" s="48">
        <f>VLOOKUP(A22,CFDNALOOKUP!AG:AI,3,FALSE)</f>
        <v>44179</v>
      </c>
      <c r="G22" s="1">
        <f>VLOOKUP(D22, SURVLOOKUP!$A:$Q, 2, FALSE)</f>
        <v>42867</v>
      </c>
      <c r="H22" s="1">
        <f>VLOOKUP(D22, SURVLOOKUP!$A:$Q, 3, FALSE)</f>
        <v>42878</v>
      </c>
      <c r="I22" s="1">
        <f>VLOOKUP(D22, SURVLOOKUP!$A:$Q, 4, FALSE)</f>
        <v>42901</v>
      </c>
      <c r="J22" s="1">
        <f>VLOOKUP(D22, SURVLOOKUP!$A:$Q, 5, FALSE)</f>
        <v>42908</v>
      </c>
      <c r="K22" s="1">
        <f>VLOOKUP(D22, SURVLOOKUP!$A:$Q, 6, FALSE)</f>
        <v>42965</v>
      </c>
      <c r="L22" s="1">
        <f>VLOOKUP(D22, SURVLOOKUP!$A:$Q, 7, FALSE)</f>
        <v>43018</v>
      </c>
      <c r="M22" s="1">
        <f>VLOOKUP(D22, SURVLOOKUP!$A:$Q, 8, FALSE)</f>
        <v>42958</v>
      </c>
      <c r="N22" s="1">
        <f>VLOOKUP(D22, SURVLOOKUP!$A:$Q, 9, FALSE)</f>
        <v>43076</v>
      </c>
      <c r="O22" s="1" t="str">
        <f>VLOOKUP(D22, SURVLOOKUP!$A:$Q, 10, FALSE)</f>
        <v>NA</v>
      </c>
      <c r="P22" s="1">
        <f>VLOOKUP(D22, OLDSURVLOOKUP!$A:$AA, 19, FALSE)</f>
        <v>44356</v>
      </c>
      <c r="Q22" s="1">
        <f>VLOOKUP(D22, SURVLOOKUP!$A:$Q, 11, FALSE)</f>
        <v>45020</v>
      </c>
      <c r="R22" s="1"/>
      <c r="S22" s="1"/>
      <c r="T22" s="1"/>
      <c r="U22" s="1"/>
      <c r="V22">
        <f>_xlfn.XLOOKUP(D22, OLDSURVLOOKUP!$A:$A, OLDSURVLOOKUP!V:V)</f>
        <v>0</v>
      </c>
      <c r="W22">
        <f>VLOOKUP(D22, SURVLOOKUP!$A:$Q, 14, FALSE)</f>
        <v>0</v>
      </c>
      <c r="X22">
        <f>_xlfn.XLOOKUP(D22, OLDSURVLOOKUP!$A:$A, OLDSURVLOOKUP!X:X)</f>
        <v>0</v>
      </c>
      <c r="Y22">
        <f>VLOOKUP(D22, SURVLOOKUP!$A:$Q, 15, FALSE)</f>
        <v>0</v>
      </c>
      <c r="Z22">
        <f t="shared" si="4"/>
        <v>47.833333333333336</v>
      </c>
      <c r="AA22">
        <f t="shared" si="5"/>
        <v>69.666666666666671</v>
      </c>
      <c r="AB22">
        <f t="shared" si="6"/>
        <v>47.833333333333336</v>
      </c>
      <c r="AC22">
        <f t="shared" si="7"/>
        <v>69.666666666666671</v>
      </c>
      <c r="AD22">
        <f t="shared" si="8"/>
        <v>47.6</v>
      </c>
      <c r="AE22">
        <f t="shared" si="0"/>
        <v>69.433333333333337</v>
      </c>
      <c r="AF22">
        <f t="shared" si="1"/>
        <v>47.6</v>
      </c>
      <c r="AG22">
        <f t="shared" si="2"/>
        <v>69.433333333333337</v>
      </c>
      <c r="AH22">
        <f t="shared" si="9"/>
        <v>45.935483870967744</v>
      </c>
      <c r="AI22">
        <f t="shared" si="10"/>
        <v>67.774193548387103</v>
      </c>
      <c r="AJ22">
        <f t="shared" si="11"/>
        <v>45.935483870967744</v>
      </c>
      <c r="AK22">
        <f t="shared" si="12"/>
        <v>67.774193548387103</v>
      </c>
      <c r="AL22">
        <f t="shared" si="13"/>
        <v>2</v>
      </c>
      <c r="AM22" t="str">
        <f t="shared" si="3"/>
        <v>Medical University of South Carolina</v>
      </c>
      <c r="AN22">
        <v>0</v>
      </c>
      <c r="AO22">
        <v>8</v>
      </c>
      <c r="AP22">
        <f>VLOOKUP(D22, METADATALOOKUP!$A:$AI, 7, FALSE)</f>
        <v>38</v>
      </c>
      <c r="AQ22" t="str">
        <f>VLOOKUP(D22, METADATALOOKUP!$A:$AI, 8, FALSE)</f>
        <v>Female</v>
      </c>
      <c r="AR22" t="str">
        <f>VLOOKUP(D22, METADATALOOKUP!$A:$AI, 9, FALSE)</f>
        <v>White</v>
      </c>
      <c r="AS22" t="str">
        <f>VLOOKUP(D22, METADATALOOKUP!$A:$AI, 11, FALSE)</f>
        <v>Yes</v>
      </c>
      <c r="AT22" t="str">
        <f>VLOOKUP(D22, METADATALOOKUP!$A:$AI, 10, FALSE)</f>
        <v>Non-Hispanic</v>
      </c>
      <c r="AU22" t="str">
        <f>VLOOKUP(D22, METADATALOOKUP!$A:$AI, 12, FALSE)</f>
        <v>No</v>
      </c>
      <c r="AV22" t="str">
        <f>VLOOKUP(D22, METADATALOOKUP!$A:$AI, 14, FALSE)</f>
        <v>cT4aN2bMx</v>
      </c>
      <c r="AW22" t="str">
        <f>VLOOKUP(D22, METADATALOOKUP!$A:$AI, 6, FALSE)</f>
        <v>High</v>
      </c>
      <c r="AX22" t="str">
        <f>VLOOKUP(D22, METADATALOOKUP!$A:$AI, 19, FALSE)</f>
        <v>No</v>
      </c>
      <c r="AY22">
        <f>LOOKUP(D22, SURVLOOKUP!$A:$A, SURVLOOKUP!$P:$P)</f>
        <v>0</v>
      </c>
      <c r="AZ22" s="46">
        <v>0</v>
      </c>
      <c r="BA22" t="str">
        <f>TEXT(VLOOKUP(D22, METADATALOOKUP!$A:$AI, 34, FALSE), "@")</f>
        <v>&lt;10%</v>
      </c>
      <c r="BB22" s="47" t="str">
        <f t="shared" si="14"/>
        <v>Non-Responder</v>
      </c>
      <c r="BC22">
        <v>3.08</v>
      </c>
      <c r="BE22">
        <v>24</v>
      </c>
      <c r="BF22">
        <v>0.32467499999999999</v>
      </c>
      <c r="BG22">
        <v>49.675319999999999</v>
      </c>
      <c r="BH22">
        <v>9.32</v>
      </c>
      <c r="BI22">
        <v>2.6824029999999999</v>
      </c>
      <c r="BJ22" t="s">
        <v>151</v>
      </c>
      <c r="BK22" t="s">
        <v>152</v>
      </c>
      <c r="BL22" t="s">
        <v>153</v>
      </c>
    </row>
    <row r="23" spans="1:64" x14ac:dyDescent="0.2">
      <c r="A23" s="3" t="s">
        <v>154</v>
      </c>
      <c r="B23" t="str">
        <f>VLOOKUP(A23, IDSLOOKUP!C:E, 2, FALSE)</f>
        <v>Adj Wk 1</v>
      </c>
      <c r="C23" t="str">
        <f>VLOOKUP(D23, METADATALOOKUP!$A:$AI, 13, FALSE)</f>
        <v>Oral Cavity</v>
      </c>
      <c r="D23" t="str">
        <f>VLOOKUP(A23, IDSLOOKUP!C:E, 3, FALSE)</f>
        <v>HN03-01</v>
      </c>
      <c r="E23" s="48">
        <f>VLOOKUP(A23,CFDNALOOKUP!AG:AI,2,FALSE)</f>
        <v>44090</v>
      </c>
      <c r="F23" s="48">
        <f>VLOOKUP(A23,CFDNALOOKUP!AG:AI,3,FALSE)</f>
        <v>44180</v>
      </c>
      <c r="G23" s="1">
        <f>VLOOKUP(D23, SURVLOOKUP!$A:$Q, 2, FALSE)</f>
        <v>42867</v>
      </c>
      <c r="H23" s="1">
        <f>VLOOKUP(D23, SURVLOOKUP!$A:$Q, 3, FALSE)</f>
        <v>42878</v>
      </c>
      <c r="I23" s="1">
        <f>VLOOKUP(D23, SURVLOOKUP!$A:$Q, 4, FALSE)</f>
        <v>42901</v>
      </c>
      <c r="J23" s="1">
        <f>VLOOKUP(D23, SURVLOOKUP!$A:$Q, 5, FALSE)</f>
        <v>42908</v>
      </c>
      <c r="K23" s="1">
        <f>VLOOKUP(D23, SURVLOOKUP!$A:$Q, 6, FALSE)</f>
        <v>42965</v>
      </c>
      <c r="L23" s="1">
        <f>VLOOKUP(D23, SURVLOOKUP!$A:$Q, 7, FALSE)</f>
        <v>43018</v>
      </c>
      <c r="M23" s="1">
        <f>VLOOKUP(D23, SURVLOOKUP!$A:$Q, 8, FALSE)</f>
        <v>42958</v>
      </c>
      <c r="N23" s="1">
        <f>VLOOKUP(D23, SURVLOOKUP!$A:$Q, 9, FALSE)</f>
        <v>43076</v>
      </c>
      <c r="O23" s="1" t="str">
        <f>VLOOKUP(D23, SURVLOOKUP!$A:$Q, 10, FALSE)</f>
        <v>NA</v>
      </c>
      <c r="P23" s="1">
        <f>VLOOKUP(D23, OLDSURVLOOKUP!$A:$AA, 19, FALSE)</f>
        <v>44356</v>
      </c>
      <c r="Q23" s="1">
        <f>VLOOKUP(D23, SURVLOOKUP!$A:$Q, 11, FALSE)</f>
        <v>45020</v>
      </c>
      <c r="R23" s="1"/>
      <c r="S23" s="1"/>
      <c r="T23" s="1"/>
      <c r="U23" s="1"/>
      <c r="V23">
        <f>_xlfn.XLOOKUP(D23, OLDSURVLOOKUP!$A:$A, OLDSURVLOOKUP!V:V)</f>
        <v>0</v>
      </c>
      <c r="W23">
        <f>VLOOKUP(D23, SURVLOOKUP!$A:$Q, 14, FALSE)</f>
        <v>0</v>
      </c>
      <c r="X23">
        <f>_xlfn.XLOOKUP(D23, OLDSURVLOOKUP!$A:$A, OLDSURVLOOKUP!X:X)</f>
        <v>0</v>
      </c>
      <c r="Y23">
        <f>VLOOKUP(D23, SURVLOOKUP!$A:$Q, 15, FALSE)</f>
        <v>0</v>
      </c>
      <c r="Z23">
        <f t="shared" si="4"/>
        <v>47.833333333333336</v>
      </c>
      <c r="AA23">
        <f t="shared" si="5"/>
        <v>69.666666666666671</v>
      </c>
      <c r="AB23">
        <f t="shared" si="6"/>
        <v>47.833333333333336</v>
      </c>
      <c r="AC23">
        <f t="shared" si="7"/>
        <v>69.666666666666671</v>
      </c>
      <c r="AD23">
        <f t="shared" si="8"/>
        <v>47.6</v>
      </c>
      <c r="AE23">
        <f t="shared" si="0"/>
        <v>69.433333333333337</v>
      </c>
      <c r="AF23">
        <f t="shared" si="1"/>
        <v>47.6</v>
      </c>
      <c r="AG23">
        <f t="shared" si="2"/>
        <v>69.433333333333337</v>
      </c>
      <c r="AH23">
        <f t="shared" si="9"/>
        <v>45.935483870967744</v>
      </c>
      <c r="AI23">
        <f t="shared" si="10"/>
        <v>67.774193548387103</v>
      </c>
      <c r="AJ23">
        <f t="shared" si="11"/>
        <v>45.935483870967744</v>
      </c>
      <c r="AK23">
        <f t="shared" si="12"/>
        <v>67.774193548387103</v>
      </c>
      <c r="AL23">
        <f t="shared" si="13"/>
        <v>2</v>
      </c>
      <c r="AM23" t="str">
        <f t="shared" si="3"/>
        <v>Medical University of South Carolina</v>
      </c>
      <c r="AN23">
        <v>0</v>
      </c>
      <c r="AO23">
        <v>8</v>
      </c>
      <c r="AP23">
        <f>VLOOKUP(D23, METADATALOOKUP!$A:$AI, 7, FALSE)</f>
        <v>38</v>
      </c>
      <c r="AQ23" t="str">
        <f>VLOOKUP(D23, METADATALOOKUP!$A:$AI, 8, FALSE)</f>
        <v>Female</v>
      </c>
      <c r="AR23" t="str">
        <f>VLOOKUP(D23, METADATALOOKUP!$A:$AI, 9, FALSE)</f>
        <v>White</v>
      </c>
      <c r="AS23" t="str">
        <f>VLOOKUP(D23, METADATALOOKUP!$A:$AI, 11, FALSE)</f>
        <v>Yes</v>
      </c>
      <c r="AT23" t="str">
        <f>VLOOKUP(D23, METADATALOOKUP!$A:$AI, 10, FALSE)</f>
        <v>Non-Hispanic</v>
      </c>
      <c r="AU23" t="str">
        <f>VLOOKUP(D23, METADATALOOKUP!$A:$AI, 12, FALSE)</f>
        <v>No</v>
      </c>
      <c r="AV23" t="str">
        <f>VLOOKUP(D23, METADATALOOKUP!$A:$AI, 14, FALSE)</f>
        <v>cT4aN2bMx</v>
      </c>
      <c r="AW23" t="str">
        <f>VLOOKUP(D23, METADATALOOKUP!$A:$AI, 6, FALSE)</f>
        <v>High</v>
      </c>
      <c r="AX23" t="str">
        <f>VLOOKUP(D23, METADATALOOKUP!$A:$AI, 19, FALSE)</f>
        <v>No</v>
      </c>
      <c r="AY23">
        <f>LOOKUP(D23, SURVLOOKUP!$A:$A, SURVLOOKUP!$P:$P)</f>
        <v>0</v>
      </c>
      <c r="AZ23" s="46">
        <v>0</v>
      </c>
      <c r="BA23" t="str">
        <f>TEXT(VLOOKUP(D23, METADATALOOKUP!$A:$AI, 34, FALSE), "@")</f>
        <v>&lt;10%</v>
      </c>
      <c r="BB23" s="47" t="str">
        <f t="shared" si="14"/>
        <v>Non-Responder</v>
      </c>
      <c r="BC23">
        <v>3.98</v>
      </c>
      <c r="BE23">
        <v>24</v>
      </c>
      <c r="BF23">
        <v>0.25125599999999998</v>
      </c>
      <c r="BG23">
        <v>49.748739999999998</v>
      </c>
      <c r="BH23">
        <v>5</v>
      </c>
      <c r="BI23">
        <v>5</v>
      </c>
      <c r="BJ23" t="s">
        <v>155</v>
      </c>
      <c r="BK23" t="s">
        <v>156</v>
      </c>
      <c r="BL23" t="s">
        <v>157</v>
      </c>
    </row>
    <row r="24" spans="1:64" x14ac:dyDescent="0.2">
      <c r="A24" s="3" t="s">
        <v>158</v>
      </c>
      <c r="B24" t="str">
        <f>VLOOKUP(A24, IDSLOOKUP!C:E, 2, FALSE)</f>
        <v>Screen</v>
      </c>
      <c r="C24" t="str">
        <f>VLOOKUP(D24, METADATALOOKUP!$A:$AI, 13, FALSE)</f>
        <v>Larynx</v>
      </c>
      <c r="D24" t="str">
        <f>VLOOKUP(A24, IDSLOOKUP!C:E, 3, FALSE)</f>
        <v>HN03-03</v>
      </c>
      <c r="E24" s="48">
        <f>VLOOKUP(A24,CFDNALOOKUP!AG:AI,2,FALSE)</f>
        <v>44090</v>
      </c>
      <c r="F24" s="48">
        <f>VLOOKUP(A24,CFDNALOOKUP!AG:AI,3,FALSE)</f>
        <v>44179</v>
      </c>
      <c r="G24" s="1">
        <f>VLOOKUP(D24, SURVLOOKUP!$A:$Q, 2, FALSE)</f>
        <v>43544</v>
      </c>
      <c r="H24" s="1">
        <f>VLOOKUP(D24, SURVLOOKUP!$A:$Q, 3, FALSE)</f>
        <v>43591</v>
      </c>
      <c r="I24" s="1">
        <f>VLOOKUP(D24, SURVLOOKUP!$A:$Q, 4, FALSE)</f>
        <v>43598</v>
      </c>
      <c r="J24" s="1">
        <f>VLOOKUP(D24, SURVLOOKUP!$A:$Q, 5, FALSE)</f>
        <v>43621</v>
      </c>
      <c r="K24" s="1">
        <f>VLOOKUP(D24, SURVLOOKUP!$A:$Q, 6, FALSE)</f>
        <v>43664</v>
      </c>
      <c r="L24" s="1">
        <f>VLOOKUP(D24, SURVLOOKUP!$A:$Q, 7, FALSE)</f>
        <v>43707</v>
      </c>
      <c r="M24" s="1">
        <f>VLOOKUP(D24, SURVLOOKUP!$A:$Q, 8, FALSE)</f>
        <v>43654</v>
      </c>
      <c r="N24" s="1">
        <f>VLOOKUP(D24, SURVLOOKUP!$A:$Q, 9, FALSE)</f>
        <v>43759</v>
      </c>
      <c r="O24" s="1" t="str">
        <f>VLOOKUP(D24, SURVLOOKUP!$A:$Q, 10, FALSE)</f>
        <v>NA</v>
      </c>
      <c r="P24" s="1">
        <f>VLOOKUP(D24, OLDSURVLOOKUP!$A:$AA, 19, FALSE)</f>
        <v>44334</v>
      </c>
      <c r="Q24" s="1">
        <f>VLOOKUP(D24, SURVLOOKUP!$A:$Q, 11, FALSE)</f>
        <v>44781</v>
      </c>
      <c r="R24" s="1"/>
      <c r="S24" s="1"/>
      <c r="T24" s="1"/>
      <c r="U24" s="1">
        <f>VLOOKUP(D24, SURVLOOKUP!$A:$Q, 13, FALSE)</f>
        <v>44782</v>
      </c>
      <c r="V24">
        <f>_xlfn.XLOOKUP(D24, OLDSURVLOOKUP!$A:$A, OLDSURVLOOKUP!V:V)</f>
        <v>0</v>
      </c>
      <c r="W24">
        <f>VLOOKUP(D24, SURVLOOKUP!$A:$Q, 14, FALSE)</f>
        <v>1</v>
      </c>
      <c r="X24">
        <f>_xlfn.XLOOKUP(D24, OLDSURVLOOKUP!$A:$A, OLDSURVLOOKUP!X:X)</f>
        <v>0</v>
      </c>
      <c r="Y24">
        <f>VLOOKUP(D24, SURVLOOKUP!$A:$Q, 15, FALSE)</f>
        <v>1</v>
      </c>
      <c r="Z24">
        <f t="shared" si="4"/>
        <v>24.161290322580644</v>
      </c>
      <c r="AA24" s="2">
        <v>38.870967739999998</v>
      </c>
      <c r="AB24">
        <f t="shared" si="6"/>
        <v>24.161290322580644</v>
      </c>
      <c r="AC24">
        <f t="shared" si="7"/>
        <v>38.87096774193548</v>
      </c>
      <c r="AD24">
        <f t="shared" si="8"/>
        <v>23.433333333333334</v>
      </c>
      <c r="AE24" s="2">
        <v>38.133333329999999</v>
      </c>
      <c r="AF24">
        <f t="shared" si="1"/>
        <v>23.433333333333334</v>
      </c>
      <c r="AG24">
        <f t="shared" si="2"/>
        <v>38.133333333333333</v>
      </c>
      <c r="AH24">
        <f t="shared" si="9"/>
        <v>22.322580645161292</v>
      </c>
      <c r="AI24" s="2">
        <v>37.032258059999997</v>
      </c>
      <c r="AJ24">
        <f t="shared" si="11"/>
        <v>22.322580645161292</v>
      </c>
      <c r="AK24">
        <f t="shared" si="12"/>
        <v>37.032258064516128</v>
      </c>
      <c r="AL24">
        <f t="shared" si="13"/>
        <v>2</v>
      </c>
      <c r="AM24" t="str">
        <f t="shared" si="3"/>
        <v>Medical University of South Carolina</v>
      </c>
      <c r="AN24">
        <v>0</v>
      </c>
      <c r="AO24">
        <v>9</v>
      </c>
      <c r="AP24">
        <f>VLOOKUP(D24, METADATALOOKUP!$A:$AI, 7, FALSE)</f>
        <v>63</v>
      </c>
      <c r="AQ24" t="str">
        <f>VLOOKUP(D24, METADATALOOKUP!$A:$AI, 8, FALSE)</f>
        <v>Male</v>
      </c>
      <c r="AR24" t="str">
        <f>VLOOKUP(D24, METADATALOOKUP!$A:$AI, 9, FALSE)</f>
        <v>White</v>
      </c>
      <c r="AS24" t="str">
        <f>VLOOKUP(D24, METADATALOOKUP!$A:$AI, 11, FALSE)</f>
        <v>Yes</v>
      </c>
      <c r="AT24" t="str">
        <f>VLOOKUP(D24, METADATALOOKUP!$A:$AI, 10, FALSE)</f>
        <v>Non-Hispanic</v>
      </c>
      <c r="AU24" t="str">
        <f>VLOOKUP(D24, METADATALOOKUP!$A:$AI, 12, FALSE)</f>
        <v>Yes</v>
      </c>
      <c r="AV24" t="str">
        <f>VLOOKUP(D24, METADATALOOKUP!$A:$AI, 14, FALSE)</f>
        <v>T4N2cMx</v>
      </c>
      <c r="AW24" t="str">
        <f>VLOOKUP(D24, METADATALOOKUP!$A:$AI, 6, FALSE)</f>
        <v>High</v>
      </c>
      <c r="AX24" t="str">
        <f>VLOOKUP(D24, METADATALOOKUP!$A:$AI, 19, FALSE)</f>
        <v>Unknown</v>
      </c>
      <c r="AY24">
        <f>LOOKUP(D24, SURVLOOKUP!$A:$A, SURVLOOKUP!$P:$P)</f>
        <v>1</v>
      </c>
      <c r="AZ24" s="46">
        <v>3</v>
      </c>
      <c r="BA24" t="str">
        <f>TEXT(VLOOKUP(D24, METADATALOOKUP!$A:$AI, 34, FALSE), "@")</f>
        <v>0.3</v>
      </c>
      <c r="BB24" s="47" t="str">
        <f t="shared" si="14"/>
        <v>Responder</v>
      </c>
      <c r="BC24">
        <v>0.53400000000000003</v>
      </c>
      <c r="BE24">
        <v>24</v>
      </c>
      <c r="BF24">
        <v>1.8726590000000001</v>
      </c>
      <c r="BG24">
        <v>48.127339999999997</v>
      </c>
      <c r="BH24">
        <v>10.6</v>
      </c>
      <c r="BI24">
        <v>2.3584909999999999</v>
      </c>
      <c r="BJ24" t="s">
        <v>161</v>
      </c>
      <c r="BK24" t="s">
        <v>162</v>
      </c>
      <c r="BL24" t="s">
        <v>163</v>
      </c>
    </row>
    <row r="25" spans="1:64" x14ac:dyDescent="0.2">
      <c r="A25" s="3" t="s">
        <v>164</v>
      </c>
      <c r="B25" t="str">
        <f>VLOOKUP(A25, IDSLOOKUP!C:E, 2, FALSE)</f>
        <v>Day 0</v>
      </c>
      <c r="C25" t="str">
        <f>VLOOKUP(D25, METADATALOOKUP!$A:$AI, 13, FALSE)</f>
        <v>Larynx</v>
      </c>
      <c r="D25" t="str">
        <f>VLOOKUP(A25, IDSLOOKUP!C:E, 3, FALSE)</f>
        <v>HN03-03</v>
      </c>
      <c r="E25" s="48">
        <f>VLOOKUP(A25,CFDNALOOKUP!AG:AI,2,FALSE)</f>
        <v>44090</v>
      </c>
      <c r="F25" s="48">
        <f>VLOOKUP(A25,CFDNALOOKUP!AG:AI,3,FALSE)</f>
        <v>44180</v>
      </c>
      <c r="G25" s="1">
        <f>VLOOKUP(D25, SURVLOOKUP!$A:$Q, 2, FALSE)</f>
        <v>43544</v>
      </c>
      <c r="H25" s="1">
        <f>VLOOKUP(D25, SURVLOOKUP!$A:$Q, 3, FALSE)</f>
        <v>43591</v>
      </c>
      <c r="I25" s="1">
        <f>VLOOKUP(D25, SURVLOOKUP!$A:$Q, 4, FALSE)</f>
        <v>43598</v>
      </c>
      <c r="J25" s="1">
        <f>VLOOKUP(D25, SURVLOOKUP!$A:$Q, 5, FALSE)</f>
        <v>43621</v>
      </c>
      <c r="K25" s="1">
        <f>VLOOKUP(D25, SURVLOOKUP!$A:$Q, 6, FALSE)</f>
        <v>43664</v>
      </c>
      <c r="L25" s="1">
        <f>VLOOKUP(D25, SURVLOOKUP!$A:$Q, 7, FALSE)</f>
        <v>43707</v>
      </c>
      <c r="M25" s="1">
        <f>VLOOKUP(D25, SURVLOOKUP!$A:$Q, 8, FALSE)</f>
        <v>43654</v>
      </c>
      <c r="N25" s="1">
        <f>VLOOKUP(D25, SURVLOOKUP!$A:$Q, 9, FALSE)</f>
        <v>43759</v>
      </c>
      <c r="O25" s="1" t="str">
        <f>VLOOKUP(D25, SURVLOOKUP!$A:$Q, 10, FALSE)</f>
        <v>NA</v>
      </c>
      <c r="P25" s="1">
        <f>VLOOKUP(D25, OLDSURVLOOKUP!$A:$AA, 19, FALSE)</f>
        <v>44334</v>
      </c>
      <c r="Q25" s="1">
        <f>VLOOKUP(D25, SURVLOOKUP!$A:$Q, 11, FALSE)</f>
        <v>44781</v>
      </c>
      <c r="R25" s="1"/>
      <c r="S25" s="1"/>
      <c r="T25" s="1"/>
      <c r="U25" s="1">
        <f>VLOOKUP(D25, SURVLOOKUP!$A:$Q, 13, FALSE)</f>
        <v>44782</v>
      </c>
      <c r="V25">
        <f>_xlfn.XLOOKUP(D25, OLDSURVLOOKUP!$A:$A, OLDSURVLOOKUP!V:V)</f>
        <v>0</v>
      </c>
      <c r="W25">
        <f>VLOOKUP(D25, SURVLOOKUP!$A:$Q, 14, FALSE)</f>
        <v>1</v>
      </c>
      <c r="X25">
        <f>_xlfn.XLOOKUP(D25, OLDSURVLOOKUP!$A:$A, OLDSURVLOOKUP!X:X)</f>
        <v>0</v>
      </c>
      <c r="Y25">
        <f>VLOOKUP(D25, SURVLOOKUP!$A:$Q, 15, FALSE)</f>
        <v>1</v>
      </c>
      <c r="Z25">
        <f t="shared" si="4"/>
        <v>24.161290322580644</v>
      </c>
      <c r="AA25" s="2">
        <v>38.870967739999998</v>
      </c>
      <c r="AB25">
        <f t="shared" si="6"/>
        <v>24.161290322580644</v>
      </c>
      <c r="AC25">
        <f t="shared" si="7"/>
        <v>38.87096774193548</v>
      </c>
      <c r="AD25">
        <f t="shared" si="8"/>
        <v>23.433333333333334</v>
      </c>
      <c r="AE25" s="2">
        <v>38.133333329999999</v>
      </c>
      <c r="AF25">
        <f t="shared" si="1"/>
        <v>23.433333333333334</v>
      </c>
      <c r="AG25">
        <f t="shared" si="2"/>
        <v>38.133333333333333</v>
      </c>
      <c r="AH25">
        <f t="shared" si="9"/>
        <v>22.322580645161292</v>
      </c>
      <c r="AI25" s="2">
        <v>37.032258059999997</v>
      </c>
      <c r="AJ25">
        <f t="shared" si="11"/>
        <v>22.322580645161292</v>
      </c>
      <c r="AK25">
        <f t="shared" si="12"/>
        <v>37.032258064516128</v>
      </c>
      <c r="AL25">
        <f t="shared" si="13"/>
        <v>2</v>
      </c>
      <c r="AM25" t="str">
        <f t="shared" si="3"/>
        <v>Medical University of South Carolina</v>
      </c>
      <c r="AN25">
        <v>0</v>
      </c>
      <c r="AO25">
        <v>9</v>
      </c>
      <c r="AP25">
        <f>VLOOKUP(D25, METADATALOOKUP!$A:$AI, 7, FALSE)</f>
        <v>63</v>
      </c>
      <c r="AQ25" t="str">
        <f>VLOOKUP(D25, METADATALOOKUP!$A:$AI, 8, FALSE)</f>
        <v>Male</v>
      </c>
      <c r="AR25" t="str">
        <f>VLOOKUP(D25, METADATALOOKUP!$A:$AI, 9, FALSE)</f>
        <v>White</v>
      </c>
      <c r="AS25" t="str">
        <f>VLOOKUP(D25, METADATALOOKUP!$A:$AI, 11, FALSE)</f>
        <v>Yes</v>
      </c>
      <c r="AT25" t="str">
        <f>VLOOKUP(D25, METADATALOOKUP!$A:$AI, 10, FALSE)</f>
        <v>Non-Hispanic</v>
      </c>
      <c r="AU25" t="str">
        <f>VLOOKUP(D25, METADATALOOKUP!$A:$AI, 12, FALSE)</f>
        <v>Yes</v>
      </c>
      <c r="AV25" t="str">
        <f>VLOOKUP(D25, METADATALOOKUP!$A:$AI, 14, FALSE)</f>
        <v>T4N2cMx</v>
      </c>
      <c r="AW25" t="str">
        <f>VLOOKUP(D25, METADATALOOKUP!$A:$AI, 6, FALSE)</f>
        <v>High</v>
      </c>
      <c r="AX25" t="str">
        <f>VLOOKUP(D25, METADATALOOKUP!$A:$AI, 19, FALSE)</f>
        <v>Unknown</v>
      </c>
      <c r="AY25">
        <f>LOOKUP(D25, SURVLOOKUP!$A:$A, SURVLOOKUP!$P:$P)</f>
        <v>1</v>
      </c>
      <c r="AZ25" s="46">
        <v>3</v>
      </c>
      <c r="BA25" t="str">
        <f>TEXT(VLOOKUP(D25, METADATALOOKUP!$A:$AI, 34, FALSE), "@")</f>
        <v>0.3</v>
      </c>
      <c r="BB25" s="47" t="str">
        <f t="shared" si="14"/>
        <v>Responder</v>
      </c>
      <c r="BC25">
        <v>1.43</v>
      </c>
      <c r="BE25">
        <v>24</v>
      </c>
      <c r="BF25">
        <v>0.69930099999999995</v>
      </c>
      <c r="BG25">
        <v>49.300699999999999</v>
      </c>
      <c r="BH25">
        <v>7.26</v>
      </c>
      <c r="BI25">
        <v>3.4435259999999999</v>
      </c>
      <c r="BJ25" t="s">
        <v>165</v>
      </c>
      <c r="BK25" t="s">
        <v>166</v>
      </c>
      <c r="BL25" t="s">
        <v>167</v>
      </c>
    </row>
    <row r="26" spans="1:64" x14ac:dyDescent="0.2">
      <c r="A26" s="3" t="s">
        <v>168</v>
      </c>
      <c r="B26" t="str">
        <f>VLOOKUP(A26, IDSLOOKUP!C:E, 2, FALSE)</f>
        <v>Adj Wk 1</v>
      </c>
      <c r="C26" t="str">
        <f>VLOOKUP(D26, METADATALOOKUP!$A:$AI, 13, FALSE)</f>
        <v>Larynx</v>
      </c>
      <c r="D26" t="str">
        <f>VLOOKUP(A26, IDSLOOKUP!C:E, 3, FALSE)</f>
        <v>HN03-03</v>
      </c>
      <c r="E26" s="48">
        <f>VLOOKUP(A26,CFDNALOOKUP!AG:AI,2,FALSE)</f>
        <v>44090</v>
      </c>
      <c r="F26" s="48">
        <f>VLOOKUP(A26,CFDNALOOKUP!AG:AI,3,FALSE)</f>
        <v>44180</v>
      </c>
      <c r="G26" s="1">
        <f>VLOOKUP(D26, SURVLOOKUP!$A:$Q, 2, FALSE)</f>
        <v>43544</v>
      </c>
      <c r="H26" s="1">
        <f>VLOOKUP(D26, SURVLOOKUP!$A:$Q, 3, FALSE)</f>
        <v>43591</v>
      </c>
      <c r="I26" s="1">
        <f>VLOOKUP(D26, SURVLOOKUP!$A:$Q, 4, FALSE)</f>
        <v>43598</v>
      </c>
      <c r="J26" s="1">
        <f>VLOOKUP(D26, SURVLOOKUP!$A:$Q, 5, FALSE)</f>
        <v>43621</v>
      </c>
      <c r="K26" s="1">
        <f>VLOOKUP(D26, SURVLOOKUP!$A:$Q, 6, FALSE)</f>
        <v>43664</v>
      </c>
      <c r="L26" s="1">
        <f>VLOOKUP(D26, SURVLOOKUP!$A:$Q, 7, FALSE)</f>
        <v>43707</v>
      </c>
      <c r="M26" s="1">
        <f>VLOOKUP(D26, SURVLOOKUP!$A:$Q, 8, FALSE)</f>
        <v>43654</v>
      </c>
      <c r="N26" s="1">
        <f>VLOOKUP(D26, SURVLOOKUP!$A:$Q, 9, FALSE)</f>
        <v>43759</v>
      </c>
      <c r="O26" s="1" t="str">
        <f>VLOOKUP(D26, SURVLOOKUP!$A:$Q, 10, FALSE)</f>
        <v>NA</v>
      </c>
      <c r="P26" s="1">
        <f>VLOOKUP(D26, OLDSURVLOOKUP!$A:$AA, 19, FALSE)</f>
        <v>44334</v>
      </c>
      <c r="Q26" s="1">
        <f>VLOOKUP(D26, SURVLOOKUP!$A:$Q, 11, FALSE)</f>
        <v>44781</v>
      </c>
      <c r="R26" s="1"/>
      <c r="S26" s="1"/>
      <c r="T26" s="1"/>
      <c r="U26" s="1">
        <f>VLOOKUP(D26, SURVLOOKUP!$A:$Q, 13, FALSE)</f>
        <v>44782</v>
      </c>
      <c r="V26">
        <f>_xlfn.XLOOKUP(D26, OLDSURVLOOKUP!$A:$A, OLDSURVLOOKUP!V:V)</f>
        <v>0</v>
      </c>
      <c r="W26">
        <f>VLOOKUP(D26, SURVLOOKUP!$A:$Q, 14, FALSE)</f>
        <v>1</v>
      </c>
      <c r="X26">
        <f>_xlfn.XLOOKUP(D26, OLDSURVLOOKUP!$A:$A, OLDSURVLOOKUP!X:X)</f>
        <v>0</v>
      </c>
      <c r="Y26">
        <f>VLOOKUP(D26, SURVLOOKUP!$A:$Q, 15, FALSE)</f>
        <v>1</v>
      </c>
      <c r="Z26">
        <f t="shared" si="4"/>
        <v>24.161290322580644</v>
      </c>
      <c r="AA26" s="2">
        <v>38.870967739999998</v>
      </c>
      <c r="AB26">
        <f t="shared" si="6"/>
        <v>24.161290322580644</v>
      </c>
      <c r="AC26">
        <f t="shared" si="7"/>
        <v>38.87096774193548</v>
      </c>
      <c r="AD26">
        <f t="shared" si="8"/>
        <v>23.433333333333334</v>
      </c>
      <c r="AE26" s="2">
        <v>38.133333329999999</v>
      </c>
      <c r="AF26">
        <f t="shared" si="1"/>
        <v>23.433333333333334</v>
      </c>
      <c r="AG26">
        <f t="shared" si="2"/>
        <v>38.133333333333333</v>
      </c>
      <c r="AH26">
        <f t="shared" si="9"/>
        <v>22.322580645161292</v>
      </c>
      <c r="AI26" s="2">
        <v>37.032258059999997</v>
      </c>
      <c r="AJ26">
        <f t="shared" si="11"/>
        <v>22.322580645161292</v>
      </c>
      <c r="AK26">
        <f t="shared" si="12"/>
        <v>37.032258064516128</v>
      </c>
      <c r="AL26">
        <f t="shared" si="13"/>
        <v>2</v>
      </c>
      <c r="AM26" t="str">
        <f t="shared" si="3"/>
        <v>Medical University of South Carolina</v>
      </c>
      <c r="AN26">
        <v>0</v>
      </c>
      <c r="AO26">
        <v>9</v>
      </c>
      <c r="AP26">
        <f>VLOOKUP(D26, METADATALOOKUP!$A:$AI, 7, FALSE)</f>
        <v>63</v>
      </c>
      <c r="AQ26" t="str">
        <f>VLOOKUP(D26, METADATALOOKUP!$A:$AI, 8, FALSE)</f>
        <v>Male</v>
      </c>
      <c r="AR26" t="str">
        <f>VLOOKUP(D26, METADATALOOKUP!$A:$AI, 9, FALSE)</f>
        <v>White</v>
      </c>
      <c r="AS26" t="str">
        <f>VLOOKUP(D26, METADATALOOKUP!$A:$AI, 11, FALSE)</f>
        <v>Yes</v>
      </c>
      <c r="AT26" t="str">
        <f>VLOOKUP(D26, METADATALOOKUP!$A:$AI, 10, FALSE)</f>
        <v>Non-Hispanic</v>
      </c>
      <c r="AU26" t="str">
        <f>VLOOKUP(D26, METADATALOOKUP!$A:$AI, 12, FALSE)</f>
        <v>Yes</v>
      </c>
      <c r="AV26" t="str">
        <f>VLOOKUP(D26, METADATALOOKUP!$A:$AI, 14, FALSE)</f>
        <v>T4N2cMx</v>
      </c>
      <c r="AW26" t="str">
        <f>VLOOKUP(D26, METADATALOOKUP!$A:$AI, 6, FALSE)</f>
        <v>High</v>
      </c>
      <c r="AX26" t="str">
        <f>VLOOKUP(D26, METADATALOOKUP!$A:$AI, 19, FALSE)</f>
        <v>Unknown</v>
      </c>
      <c r="AY26">
        <f>LOOKUP(D26, SURVLOOKUP!$A:$A, SURVLOOKUP!$P:$P)</f>
        <v>1</v>
      </c>
      <c r="AZ26" s="46">
        <v>3</v>
      </c>
      <c r="BA26" t="str">
        <f>TEXT(VLOOKUP(D26, METADATALOOKUP!$A:$AI, 34, FALSE), "@")</f>
        <v>0.3</v>
      </c>
      <c r="BB26" s="47" t="str">
        <f t="shared" si="14"/>
        <v>Responder</v>
      </c>
      <c r="BC26">
        <v>1.08</v>
      </c>
      <c r="BE26">
        <v>24</v>
      </c>
      <c r="BF26">
        <v>0.92592600000000003</v>
      </c>
      <c r="BG26">
        <v>49.074069999999999</v>
      </c>
      <c r="BH26">
        <v>4.9400000000000004</v>
      </c>
      <c r="BI26">
        <v>5.0607290000000003</v>
      </c>
      <c r="BJ26" t="s">
        <v>169</v>
      </c>
      <c r="BK26" t="s">
        <v>170</v>
      </c>
      <c r="BL26" t="s">
        <v>171</v>
      </c>
    </row>
    <row r="27" spans="1:64" x14ac:dyDescent="0.2">
      <c r="A27" s="3" t="s">
        <v>172</v>
      </c>
      <c r="B27" t="str">
        <f>VLOOKUP(A27, IDSLOOKUP!C:E, 2, FALSE)</f>
        <v>Screen</v>
      </c>
      <c r="C27" t="str">
        <f>VLOOKUP(D27, METADATALOOKUP!$A:$AI, 13, FALSE)</f>
        <v>Hypopharynx</v>
      </c>
      <c r="D27" t="str">
        <f>VLOOKUP(A27, IDSLOOKUP!C:E, 3, FALSE)</f>
        <v>HN03-04</v>
      </c>
      <c r="E27" s="48">
        <f>VLOOKUP(A27,CFDNALOOKUP!AG:AI,2,FALSE)</f>
        <v>44090</v>
      </c>
      <c r="F27" s="48">
        <f>VLOOKUP(A27,CFDNALOOKUP!AG:AI,3,FALSE)</f>
        <v>44180</v>
      </c>
      <c r="G27" s="1">
        <f>VLOOKUP(D27, SURVLOOKUP!$A:$Q, 2, FALSE)</f>
        <v>43677</v>
      </c>
      <c r="H27" s="1">
        <f>VLOOKUP(D27, SURVLOOKUP!$A:$Q, 3, FALSE)</f>
        <v>43707</v>
      </c>
      <c r="I27" s="1">
        <f>VLOOKUP(D27, SURVLOOKUP!$A:$Q, 4, FALSE)</f>
        <v>43727</v>
      </c>
      <c r="J27" s="1">
        <f>VLOOKUP(D27, SURVLOOKUP!$A:$Q, 5, FALSE)</f>
        <v>43740</v>
      </c>
      <c r="K27" s="1">
        <f>VLOOKUP(D27, SURVLOOKUP!$A:$Q, 6, FALSE)</f>
        <v>43776</v>
      </c>
      <c r="L27" s="1">
        <f>VLOOKUP(D27, SURVLOOKUP!$A:$Q, 7, FALSE)</f>
        <v>43826</v>
      </c>
      <c r="M27" s="1">
        <f>VLOOKUP(D27, SURVLOOKUP!$A:$Q, 8, FALSE)</f>
        <v>43769</v>
      </c>
      <c r="N27" s="1">
        <f>VLOOKUP(D27, SURVLOOKUP!$A:$Q, 9, FALSE)</f>
        <v>43878</v>
      </c>
      <c r="O27" s="1" t="str">
        <f>VLOOKUP(D27, SURVLOOKUP!$A:$Q, 10, FALSE)</f>
        <v>NA</v>
      </c>
      <c r="P27" s="1">
        <f>VLOOKUP(D27, OLDSURVLOOKUP!$A:$AA, 19, FALSE)</f>
        <v>44314</v>
      </c>
      <c r="Q27" s="1">
        <f>VLOOKUP(D27, SURVLOOKUP!$A:$Q, 11, FALSE)</f>
        <v>44465</v>
      </c>
      <c r="R27" s="1"/>
      <c r="S27" s="1"/>
      <c r="T27" s="1"/>
      <c r="U27" s="1">
        <f>VLOOKUP(D27, SURVLOOKUP!$A:$Q, 13, FALSE)</f>
        <v>44466</v>
      </c>
      <c r="V27">
        <f>_xlfn.XLOOKUP(D27, OLDSURVLOOKUP!$A:$A, OLDSURVLOOKUP!V:V)</f>
        <v>0</v>
      </c>
      <c r="W27">
        <f>VLOOKUP(D27, SURVLOOKUP!$A:$Q, 14, FALSE)</f>
        <v>1</v>
      </c>
      <c r="X27">
        <f>_xlfn.XLOOKUP(D27, OLDSURVLOOKUP!$A:$A, OLDSURVLOOKUP!X:X)</f>
        <v>0</v>
      </c>
      <c r="Y27">
        <f>VLOOKUP(D27, SURVLOOKUP!$A:$Q, 15, FALSE)</f>
        <v>1</v>
      </c>
      <c r="Z27">
        <f t="shared" si="4"/>
        <v>19.3</v>
      </c>
      <c r="AA27" s="2">
        <v>24.266666669999999</v>
      </c>
      <c r="AB27">
        <f t="shared" si="6"/>
        <v>19.3</v>
      </c>
      <c r="AC27">
        <f t="shared" si="7"/>
        <v>24.266666666666666</v>
      </c>
      <c r="AD27">
        <f t="shared" si="8"/>
        <v>18.838709677419356</v>
      </c>
      <c r="AE27" s="2">
        <v>23.80645161</v>
      </c>
      <c r="AF27">
        <f t="shared" si="1"/>
        <v>18.838709677419356</v>
      </c>
      <c r="AG27">
        <f t="shared" si="2"/>
        <v>23.806451612903224</v>
      </c>
      <c r="AH27">
        <f t="shared" si="9"/>
        <v>17.903225806451612</v>
      </c>
      <c r="AI27" s="2">
        <v>22.870967740000001</v>
      </c>
      <c r="AJ27">
        <f t="shared" si="11"/>
        <v>17.903225806451612</v>
      </c>
      <c r="AK27">
        <f t="shared" si="12"/>
        <v>22.870967741935484</v>
      </c>
      <c r="AL27">
        <f t="shared" si="13"/>
        <v>2</v>
      </c>
      <c r="AM27" t="str">
        <f t="shared" si="3"/>
        <v>Medical University of South Carolina</v>
      </c>
      <c r="AN27">
        <v>0</v>
      </c>
      <c r="AO27">
        <v>10</v>
      </c>
      <c r="AP27">
        <f>VLOOKUP(D27, METADATALOOKUP!$A:$AI, 7, FALSE)</f>
        <v>49</v>
      </c>
      <c r="AQ27" t="str">
        <f>VLOOKUP(D27, METADATALOOKUP!$A:$AI, 8, FALSE)</f>
        <v>Male</v>
      </c>
      <c r="AR27" t="str">
        <f>VLOOKUP(D27, METADATALOOKUP!$A:$AI, 9, FALSE)</f>
        <v>White</v>
      </c>
      <c r="AS27" t="str">
        <f>VLOOKUP(D27, METADATALOOKUP!$A:$AI, 11, FALSE)</f>
        <v>Yes</v>
      </c>
      <c r="AT27" t="str">
        <f>VLOOKUP(D27, METADATALOOKUP!$A:$AI, 10, FALSE)</f>
        <v>Non-Hispanic</v>
      </c>
      <c r="AU27" t="str">
        <f>VLOOKUP(D27, METADATALOOKUP!$A:$AI, 12, FALSE)</f>
        <v>Yes</v>
      </c>
      <c r="AV27" t="str">
        <f>VLOOKUP(D27, METADATALOOKUP!$A:$AI, 14, FALSE)</f>
        <v>T4aN2bM0</v>
      </c>
      <c r="AW27" t="str">
        <f>VLOOKUP(D27, METADATALOOKUP!$A:$AI, 6, FALSE)</f>
        <v>High</v>
      </c>
      <c r="AX27" t="str">
        <f>VLOOKUP(D27, METADATALOOKUP!$A:$AI, 19, FALSE)</f>
        <v>No</v>
      </c>
      <c r="AY27">
        <f>LOOKUP(D27, SURVLOOKUP!$A:$A, SURVLOOKUP!$P:$P)</f>
        <v>0</v>
      </c>
      <c r="AZ27" s="46">
        <v>0</v>
      </c>
      <c r="BA27" t="str">
        <f>TEXT(VLOOKUP(D27, METADATALOOKUP!$A:$AI, 34, FALSE), "@")</f>
        <v>&lt;10%</v>
      </c>
      <c r="BB27" s="47" t="str">
        <f t="shared" si="14"/>
        <v>Non-Responder</v>
      </c>
      <c r="BC27">
        <v>1.29</v>
      </c>
      <c r="BE27">
        <v>24</v>
      </c>
      <c r="BF27">
        <v>0.77519400000000005</v>
      </c>
      <c r="BG27">
        <v>49.224809999999998</v>
      </c>
      <c r="BH27">
        <v>4.68</v>
      </c>
      <c r="BI27">
        <v>5.3418799999999997</v>
      </c>
      <c r="BJ27" t="s">
        <v>174</v>
      </c>
      <c r="BK27" t="s">
        <v>175</v>
      </c>
      <c r="BL27" t="s">
        <v>176</v>
      </c>
    </row>
    <row r="28" spans="1:64" x14ac:dyDescent="0.2">
      <c r="A28" s="3" t="s">
        <v>177</v>
      </c>
      <c r="B28" t="str">
        <f>VLOOKUP(A28, IDSLOOKUP!C:E, 2, FALSE)</f>
        <v>Adj Wk 1</v>
      </c>
      <c r="C28" t="str">
        <f>VLOOKUP(D28, METADATALOOKUP!$A:$AI, 13, FALSE)</f>
        <v>Hypopharynx</v>
      </c>
      <c r="D28" t="str">
        <f>VLOOKUP(A28, IDSLOOKUP!C:E, 3, FALSE)</f>
        <v>HN03-04</v>
      </c>
      <c r="E28" s="48">
        <f>VLOOKUP(A28,CFDNALOOKUP!AG:AI,2,FALSE)</f>
        <v>44090</v>
      </c>
      <c r="F28" s="48">
        <f>VLOOKUP(A28,CFDNALOOKUP!AG:AI,3,FALSE)</f>
        <v>44179</v>
      </c>
      <c r="G28" s="1">
        <f>VLOOKUP(D28, SURVLOOKUP!$A:$Q, 2, FALSE)</f>
        <v>43677</v>
      </c>
      <c r="H28" s="1">
        <f>VLOOKUP(D28, SURVLOOKUP!$A:$Q, 3, FALSE)</f>
        <v>43707</v>
      </c>
      <c r="I28" s="1">
        <f>VLOOKUP(D28, SURVLOOKUP!$A:$Q, 4, FALSE)</f>
        <v>43727</v>
      </c>
      <c r="J28" s="1">
        <f>VLOOKUP(D28, SURVLOOKUP!$A:$Q, 5, FALSE)</f>
        <v>43740</v>
      </c>
      <c r="K28" s="1">
        <f>VLOOKUP(D28, SURVLOOKUP!$A:$Q, 6, FALSE)</f>
        <v>43776</v>
      </c>
      <c r="L28" s="1">
        <f>VLOOKUP(D28, SURVLOOKUP!$A:$Q, 7, FALSE)</f>
        <v>43826</v>
      </c>
      <c r="M28" s="1">
        <f>VLOOKUP(D28, SURVLOOKUP!$A:$Q, 8, FALSE)</f>
        <v>43769</v>
      </c>
      <c r="N28" s="1">
        <f>VLOOKUP(D28, SURVLOOKUP!$A:$Q, 9, FALSE)</f>
        <v>43878</v>
      </c>
      <c r="O28" s="1" t="str">
        <f>VLOOKUP(D28, SURVLOOKUP!$A:$Q, 10, FALSE)</f>
        <v>NA</v>
      </c>
      <c r="P28" s="1">
        <f>VLOOKUP(D28, OLDSURVLOOKUP!$A:$AA, 19, FALSE)</f>
        <v>44314</v>
      </c>
      <c r="Q28" s="1">
        <f>VLOOKUP(D28, SURVLOOKUP!$A:$Q, 11, FALSE)</f>
        <v>44465</v>
      </c>
      <c r="R28" s="1"/>
      <c r="S28" s="1"/>
      <c r="T28" s="1"/>
      <c r="U28" s="1">
        <f>VLOOKUP(D28, SURVLOOKUP!$A:$Q, 13, FALSE)</f>
        <v>44466</v>
      </c>
      <c r="V28">
        <f>_xlfn.XLOOKUP(D28, OLDSURVLOOKUP!$A:$A, OLDSURVLOOKUP!V:V)</f>
        <v>0</v>
      </c>
      <c r="W28">
        <f>VLOOKUP(D28, SURVLOOKUP!$A:$Q, 14, FALSE)</f>
        <v>1</v>
      </c>
      <c r="X28">
        <f>_xlfn.XLOOKUP(D28, OLDSURVLOOKUP!$A:$A, OLDSURVLOOKUP!X:X)</f>
        <v>0</v>
      </c>
      <c r="Y28">
        <f>VLOOKUP(D28, SURVLOOKUP!$A:$Q, 15, FALSE)</f>
        <v>1</v>
      </c>
      <c r="Z28">
        <f t="shared" si="4"/>
        <v>19.3</v>
      </c>
      <c r="AA28" s="2">
        <v>24.266666669999999</v>
      </c>
      <c r="AB28">
        <f t="shared" si="6"/>
        <v>19.3</v>
      </c>
      <c r="AC28">
        <f t="shared" si="7"/>
        <v>24.266666666666666</v>
      </c>
      <c r="AD28">
        <f t="shared" si="8"/>
        <v>18.838709677419356</v>
      </c>
      <c r="AE28" s="2">
        <v>23.80645161</v>
      </c>
      <c r="AF28">
        <f t="shared" si="1"/>
        <v>18.838709677419356</v>
      </c>
      <c r="AG28">
        <f t="shared" si="2"/>
        <v>23.806451612903224</v>
      </c>
      <c r="AH28">
        <f t="shared" si="9"/>
        <v>17.903225806451612</v>
      </c>
      <c r="AI28" s="2">
        <v>22.870967740000001</v>
      </c>
      <c r="AJ28">
        <f t="shared" si="11"/>
        <v>17.903225806451612</v>
      </c>
      <c r="AK28">
        <f t="shared" si="12"/>
        <v>22.870967741935484</v>
      </c>
      <c r="AL28">
        <f t="shared" si="13"/>
        <v>2</v>
      </c>
      <c r="AM28" t="str">
        <f t="shared" si="3"/>
        <v>Medical University of South Carolina</v>
      </c>
      <c r="AN28">
        <v>0</v>
      </c>
      <c r="AO28">
        <v>10</v>
      </c>
      <c r="AP28">
        <f>VLOOKUP(D28, METADATALOOKUP!$A:$AI, 7, FALSE)</f>
        <v>49</v>
      </c>
      <c r="AQ28" t="str">
        <f>VLOOKUP(D28, METADATALOOKUP!$A:$AI, 8, FALSE)</f>
        <v>Male</v>
      </c>
      <c r="AR28" t="str">
        <f>VLOOKUP(D28, METADATALOOKUP!$A:$AI, 9, FALSE)</f>
        <v>White</v>
      </c>
      <c r="AS28" t="str">
        <f>VLOOKUP(D28, METADATALOOKUP!$A:$AI, 11, FALSE)</f>
        <v>Yes</v>
      </c>
      <c r="AT28" t="str">
        <f>VLOOKUP(D28, METADATALOOKUP!$A:$AI, 10, FALSE)</f>
        <v>Non-Hispanic</v>
      </c>
      <c r="AU28" t="str">
        <f>VLOOKUP(D28, METADATALOOKUP!$A:$AI, 12, FALSE)</f>
        <v>Yes</v>
      </c>
      <c r="AV28" t="str">
        <f>VLOOKUP(D28, METADATALOOKUP!$A:$AI, 14, FALSE)</f>
        <v>T4aN2bM0</v>
      </c>
      <c r="AW28" t="str">
        <f>VLOOKUP(D28, METADATALOOKUP!$A:$AI, 6, FALSE)</f>
        <v>High</v>
      </c>
      <c r="AX28" t="str">
        <f>VLOOKUP(D28, METADATALOOKUP!$A:$AI, 19, FALSE)</f>
        <v>No</v>
      </c>
      <c r="AY28">
        <f>LOOKUP(D28, SURVLOOKUP!$A:$A, SURVLOOKUP!$P:$P)</f>
        <v>0</v>
      </c>
      <c r="AZ28" s="46">
        <v>0</v>
      </c>
      <c r="BA28" t="str">
        <f>TEXT(VLOOKUP(D28, METADATALOOKUP!$A:$AI, 34, FALSE), "@")</f>
        <v>&lt;10%</v>
      </c>
      <c r="BB28" s="47" t="str">
        <f t="shared" si="14"/>
        <v>Non-Responder</v>
      </c>
      <c r="BC28">
        <v>1.2</v>
      </c>
      <c r="BE28">
        <v>24</v>
      </c>
      <c r="BF28">
        <v>0.83333299999999999</v>
      </c>
      <c r="BG28">
        <v>49.166670000000003</v>
      </c>
      <c r="BH28">
        <v>6.42</v>
      </c>
      <c r="BI28">
        <v>3.8940809999999999</v>
      </c>
      <c r="BJ28" t="s">
        <v>178</v>
      </c>
      <c r="BK28" t="s">
        <v>179</v>
      </c>
      <c r="BL28" t="s">
        <v>180</v>
      </c>
    </row>
    <row r="29" spans="1:64" x14ac:dyDescent="0.2">
      <c r="A29" s="3" t="s">
        <v>181</v>
      </c>
      <c r="B29" t="str">
        <f>VLOOKUP(A29, IDSLOOKUP!C:E, 2, FALSE)</f>
        <v>Screen</v>
      </c>
      <c r="C29" t="str">
        <f>VLOOKUP(D29, METADATALOOKUP!$A:$AI, 13, FALSE)</f>
        <v>Larynx</v>
      </c>
      <c r="D29" t="str">
        <f>VLOOKUP(A29, IDSLOOKUP!C:E, 3, FALSE)</f>
        <v>HN04-01</v>
      </c>
      <c r="E29" s="48">
        <f>VLOOKUP(A29,CFDNALOOKUP!AG:AI,2,FALSE)</f>
        <v>44090</v>
      </c>
      <c r="F29" s="48">
        <f>VLOOKUP(A29,CFDNALOOKUP!AG:AI,3,FALSE)</f>
        <v>44179</v>
      </c>
      <c r="G29" s="1">
        <f>VLOOKUP(D29, SURVLOOKUP!$A:$Q, 2, FALSE)</f>
        <v>42892</v>
      </c>
      <c r="H29" s="1">
        <f>VLOOKUP(D29, SURVLOOKUP!$A:$Q, 3, FALSE)</f>
        <v>42914</v>
      </c>
      <c r="I29" s="1">
        <f>VLOOKUP(D29, SURVLOOKUP!$A:$Q, 4, FALSE)</f>
        <v>42919</v>
      </c>
      <c r="J29" s="1">
        <f>VLOOKUP(D29, SURVLOOKUP!$A:$Q, 5, FALSE)</f>
        <v>42926</v>
      </c>
      <c r="K29" s="1">
        <f>VLOOKUP(D29, SURVLOOKUP!$A:$Q, 6, FALSE)</f>
        <v>42962</v>
      </c>
      <c r="L29" s="1">
        <f>VLOOKUP(D29, SURVLOOKUP!$A:$Q, 7, FALSE)</f>
        <v>42997</v>
      </c>
      <c r="M29" s="1">
        <f>VLOOKUP(D29, SURVLOOKUP!$A:$Q, 8, FALSE)</f>
        <v>42955</v>
      </c>
      <c r="N29" s="1">
        <f>VLOOKUP(D29, SURVLOOKUP!$A:$Q, 9, FALSE)</f>
        <v>43060</v>
      </c>
      <c r="O29" s="1" t="str">
        <f>VLOOKUP(D29, SURVLOOKUP!$A:$Q, 10, FALSE)</f>
        <v>NA</v>
      </c>
      <c r="P29" s="1">
        <f>VLOOKUP(D29, OLDSURVLOOKUP!$A:$AA, 19, FALSE)</f>
        <v>44328</v>
      </c>
      <c r="Q29" s="1">
        <f>VLOOKUP(D29, SURVLOOKUP!$A:$Q, 11, FALSE)</f>
        <v>44887</v>
      </c>
      <c r="R29" s="1"/>
      <c r="S29" s="1"/>
      <c r="T29" s="1"/>
      <c r="U29" s="1"/>
      <c r="V29">
        <f>_xlfn.XLOOKUP(D29, OLDSURVLOOKUP!$A:$A, OLDSURVLOOKUP!V:V)</f>
        <v>0</v>
      </c>
      <c r="W29">
        <f>VLOOKUP(D29, SURVLOOKUP!$A:$Q, 14, FALSE)</f>
        <v>0</v>
      </c>
      <c r="X29">
        <f>_xlfn.XLOOKUP(D29, OLDSURVLOOKUP!$A:$A, OLDSURVLOOKUP!X:X)</f>
        <v>0</v>
      </c>
      <c r="Y29">
        <f>VLOOKUP(D29, SURVLOOKUP!$A:$Q, 15, FALSE)</f>
        <v>0</v>
      </c>
      <c r="Z29">
        <f t="shared" si="4"/>
        <v>46.29032258064516</v>
      </c>
      <c r="AA29">
        <f t="shared" si="5"/>
        <v>64.612903225806448</v>
      </c>
      <c r="AB29">
        <f t="shared" si="6"/>
        <v>46.29032258064516</v>
      </c>
      <c r="AC29">
        <f t="shared" si="7"/>
        <v>64.612903225806448</v>
      </c>
      <c r="AD29">
        <f t="shared" si="8"/>
        <v>46.064516129032256</v>
      </c>
      <c r="AE29">
        <f t="shared" ref="AE29:AE35" si="15">IF(W29=0, DATEDIF(J29,Q29,"M")+DATEDIF(J29,Q29,"MD")/DAY(EOMONTH(J29,0)), DATEDIF(J29,S29,"M")+DATEDIF(J29,S29,"MD")/DAY(EOMONTH(J29,0)))</f>
        <v>64.387096774193552</v>
      </c>
      <c r="AF29">
        <f t="shared" si="1"/>
        <v>46.064516129032256</v>
      </c>
      <c r="AG29">
        <f t="shared" si="2"/>
        <v>64.387096774193552</v>
      </c>
      <c r="AH29">
        <f t="shared" si="9"/>
        <v>45.12903225806452</v>
      </c>
      <c r="AI29">
        <f t="shared" si="10"/>
        <v>63.451612903225808</v>
      </c>
      <c r="AJ29">
        <f t="shared" si="11"/>
        <v>45.12903225806452</v>
      </c>
      <c r="AK29">
        <f t="shared" si="12"/>
        <v>63.451612903225808</v>
      </c>
      <c r="AL29">
        <f t="shared" si="13"/>
        <v>2</v>
      </c>
      <c r="AM29" t="str">
        <f t="shared" si="3"/>
        <v>University of Michigan</v>
      </c>
      <c r="AN29">
        <v>0</v>
      </c>
      <c r="AO29">
        <v>11</v>
      </c>
      <c r="AP29">
        <f>VLOOKUP(D29, METADATALOOKUP!$A:$AI, 7, FALSE)</f>
        <v>45</v>
      </c>
      <c r="AQ29" t="str">
        <f>VLOOKUP(D29, METADATALOOKUP!$A:$AI, 8, FALSE)</f>
        <v>Male</v>
      </c>
      <c r="AR29" t="str">
        <f>VLOOKUP(D29, METADATALOOKUP!$A:$AI, 9, FALSE)</f>
        <v>White</v>
      </c>
      <c r="AS29" t="str">
        <f>VLOOKUP(D29, METADATALOOKUP!$A:$AI, 11, FALSE)</f>
        <v>Yes</v>
      </c>
      <c r="AT29" t="str">
        <f>VLOOKUP(D29, METADATALOOKUP!$A:$AI, 10, FALSE)</f>
        <v>Non-Hispanic</v>
      </c>
      <c r="AU29" t="str">
        <f>VLOOKUP(D29, METADATALOOKUP!$A:$AI, 12, FALSE)</f>
        <v>Yes</v>
      </c>
      <c r="AV29" t="str">
        <f>VLOOKUP(D29, METADATALOOKUP!$A:$AI, 14, FALSE)</f>
        <v>cT4N2cM0</v>
      </c>
      <c r="AW29" t="str">
        <f>VLOOKUP(D29, METADATALOOKUP!$A:$AI, 6, FALSE)</f>
        <v>Intermediate</v>
      </c>
      <c r="AX29" t="str">
        <f>VLOOKUP(D29, METADATALOOKUP!$A:$AI, 19, FALSE)</f>
        <v>Yes</v>
      </c>
      <c r="AY29">
        <f>LOOKUP(D29, SURVLOOKUP!$A:$A, SURVLOOKUP!$P:$P)</f>
        <v>1</v>
      </c>
      <c r="AZ29" s="46">
        <v>0</v>
      </c>
      <c r="BA29" t="str">
        <f>TEXT(VLOOKUP(D29, METADATALOOKUP!$A:$AI, 34, FALSE), "@")</f>
        <v>&lt;10%</v>
      </c>
      <c r="BB29" s="47" t="str">
        <f t="shared" si="14"/>
        <v>Non-Responder</v>
      </c>
      <c r="BC29">
        <v>0.93600000000000005</v>
      </c>
      <c r="BE29">
        <v>24</v>
      </c>
      <c r="BF29">
        <v>1.068376</v>
      </c>
      <c r="BG29">
        <v>48.931620000000002</v>
      </c>
      <c r="BH29">
        <v>6.02</v>
      </c>
      <c r="BI29">
        <v>4.1528239999999998</v>
      </c>
      <c r="BJ29" t="s">
        <v>184</v>
      </c>
      <c r="BK29" t="s">
        <v>185</v>
      </c>
      <c r="BL29" t="s">
        <v>186</v>
      </c>
    </row>
    <row r="30" spans="1:64" x14ac:dyDescent="0.2">
      <c r="A30" s="3" t="s">
        <v>187</v>
      </c>
      <c r="B30" t="str">
        <f>VLOOKUP(A30, IDSLOOKUP!C:E, 2, FALSE)</f>
        <v>Adj Wk 1</v>
      </c>
      <c r="C30" t="str">
        <f>VLOOKUP(D30, METADATALOOKUP!$A:$AI, 13, FALSE)</f>
        <v>Larynx</v>
      </c>
      <c r="D30" t="str">
        <f>VLOOKUP(A30, IDSLOOKUP!C:E, 3, FALSE)</f>
        <v>HN04-01</v>
      </c>
      <c r="E30" s="48">
        <f>VLOOKUP(A30,CFDNALOOKUP!AG:AI,2,FALSE)</f>
        <v>44090</v>
      </c>
      <c r="F30" s="48">
        <f>VLOOKUP(A30,CFDNALOOKUP!AG:AI,3,FALSE)</f>
        <v>44179</v>
      </c>
      <c r="G30" s="1">
        <f>VLOOKUP(D30, SURVLOOKUP!$A:$Q, 2, FALSE)</f>
        <v>42892</v>
      </c>
      <c r="H30" s="1">
        <f>VLOOKUP(D30, SURVLOOKUP!$A:$Q, 3, FALSE)</f>
        <v>42914</v>
      </c>
      <c r="I30" s="1">
        <f>VLOOKUP(D30, SURVLOOKUP!$A:$Q, 4, FALSE)</f>
        <v>42919</v>
      </c>
      <c r="J30" s="1">
        <f>VLOOKUP(D30, SURVLOOKUP!$A:$Q, 5, FALSE)</f>
        <v>42926</v>
      </c>
      <c r="K30" s="1">
        <f>VLOOKUP(D30, SURVLOOKUP!$A:$Q, 6, FALSE)</f>
        <v>42962</v>
      </c>
      <c r="L30" s="1">
        <f>VLOOKUP(D30, SURVLOOKUP!$A:$Q, 7, FALSE)</f>
        <v>42997</v>
      </c>
      <c r="M30" s="1">
        <f>VLOOKUP(D30, SURVLOOKUP!$A:$Q, 8, FALSE)</f>
        <v>42955</v>
      </c>
      <c r="N30" s="1">
        <f>VLOOKUP(D30, SURVLOOKUP!$A:$Q, 9, FALSE)</f>
        <v>43060</v>
      </c>
      <c r="O30" s="1" t="str">
        <f>VLOOKUP(D30, SURVLOOKUP!$A:$Q, 10, FALSE)</f>
        <v>NA</v>
      </c>
      <c r="P30" s="1">
        <f>VLOOKUP(D30, OLDSURVLOOKUP!$A:$AA, 19, FALSE)</f>
        <v>44328</v>
      </c>
      <c r="Q30" s="1">
        <f>VLOOKUP(D30, SURVLOOKUP!$A:$Q, 11, FALSE)</f>
        <v>44887</v>
      </c>
      <c r="R30" s="1"/>
      <c r="S30" s="1"/>
      <c r="T30" s="1"/>
      <c r="U30" s="1"/>
      <c r="V30">
        <f>_xlfn.XLOOKUP(D30, OLDSURVLOOKUP!$A:$A, OLDSURVLOOKUP!V:V)</f>
        <v>0</v>
      </c>
      <c r="W30">
        <f>VLOOKUP(D30, SURVLOOKUP!$A:$Q, 14, FALSE)</f>
        <v>0</v>
      </c>
      <c r="X30">
        <f>_xlfn.XLOOKUP(D30, OLDSURVLOOKUP!$A:$A, OLDSURVLOOKUP!X:X)</f>
        <v>0</v>
      </c>
      <c r="Y30">
        <f>VLOOKUP(D30, SURVLOOKUP!$A:$Q, 15, FALSE)</f>
        <v>0</v>
      </c>
      <c r="Z30">
        <f t="shared" si="4"/>
        <v>46.29032258064516</v>
      </c>
      <c r="AA30">
        <f t="shared" si="5"/>
        <v>64.612903225806448</v>
      </c>
      <c r="AB30">
        <f t="shared" si="6"/>
        <v>46.29032258064516</v>
      </c>
      <c r="AC30">
        <f t="shared" si="7"/>
        <v>64.612903225806448</v>
      </c>
      <c r="AD30">
        <f t="shared" si="8"/>
        <v>46.064516129032256</v>
      </c>
      <c r="AE30">
        <f t="shared" si="15"/>
        <v>64.387096774193552</v>
      </c>
      <c r="AF30">
        <f t="shared" si="1"/>
        <v>46.064516129032256</v>
      </c>
      <c r="AG30">
        <f t="shared" si="2"/>
        <v>64.387096774193552</v>
      </c>
      <c r="AH30">
        <f t="shared" si="9"/>
        <v>45.12903225806452</v>
      </c>
      <c r="AI30">
        <f t="shared" si="10"/>
        <v>63.451612903225808</v>
      </c>
      <c r="AJ30">
        <f t="shared" si="11"/>
        <v>45.12903225806452</v>
      </c>
      <c r="AK30">
        <f t="shared" si="12"/>
        <v>63.451612903225808</v>
      </c>
      <c r="AL30">
        <f t="shared" si="13"/>
        <v>2</v>
      </c>
      <c r="AM30" t="str">
        <f t="shared" si="3"/>
        <v>University of Michigan</v>
      </c>
      <c r="AN30">
        <v>0</v>
      </c>
      <c r="AO30">
        <v>11</v>
      </c>
      <c r="AP30">
        <f>VLOOKUP(D30, METADATALOOKUP!$A:$AI, 7, FALSE)</f>
        <v>45</v>
      </c>
      <c r="AQ30" t="str">
        <f>VLOOKUP(D30, METADATALOOKUP!$A:$AI, 8, FALSE)</f>
        <v>Male</v>
      </c>
      <c r="AR30" t="str">
        <f>VLOOKUP(D30, METADATALOOKUP!$A:$AI, 9, FALSE)</f>
        <v>White</v>
      </c>
      <c r="AS30" t="str">
        <f>VLOOKUP(D30, METADATALOOKUP!$A:$AI, 11, FALSE)</f>
        <v>Yes</v>
      </c>
      <c r="AT30" t="str">
        <f>VLOOKUP(D30, METADATALOOKUP!$A:$AI, 10, FALSE)</f>
        <v>Non-Hispanic</v>
      </c>
      <c r="AU30" t="str">
        <f>VLOOKUP(D30, METADATALOOKUP!$A:$AI, 12, FALSE)</f>
        <v>Yes</v>
      </c>
      <c r="AV30" t="str">
        <f>VLOOKUP(D30, METADATALOOKUP!$A:$AI, 14, FALSE)</f>
        <v>cT4N2cM0</v>
      </c>
      <c r="AW30" t="str">
        <f>VLOOKUP(D30, METADATALOOKUP!$A:$AI, 6, FALSE)</f>
        <v>Intermediate</v>
      </c>
      <c r="AX30" t="str">
        <f>VLOOKUP(D30, METADATALOOKUP!$A:$AI, 19, FALSE)</f>
        <v>Yes</v>
      </c>
      <c r="AY30">
        <f>LOOKUP(D30, SURVLOOKUP!$A:$A, SURVLOOKUP!$P:$P)</f>
        <v>1</v>
      </c>
      <c r="AZ30" s="46">
        <v>0</v>
      </c>
      <c r="BA30" t="str">
        <f>TEXT(VLOOKUP(D30, METADATALOOKUP!$A:$AI, 34, FALSE), "@")</f>
        <v>&lt;10%</v>
      </c>
      <c r="BB30" s="47" t="str">
        <f t="shared" si="14"/>
        <v>Non-Responder</v>
      </c>
      <c r="BC30">
        <v>0.28599999999999998</v>
      </c>
      <c r="BE30">
        <v>24</v>
      </c>
      <c r="BF30">
        <v>3.4965030000000001</v>
      </c>
      <c r="BG30">
        <v>46.503500000000003</v>
      </c>
      <c r="BH30">
        <v>13.5</v>
      </c>
      <c r="BI30">
        <v>1.8518520000000001</v>
      </c>
      <c r="BJ30" t="s">
        <v>188</v>
      </c>
      <c r="BK30" t="s">
        <v>189</v>
      </c>
      <c r="BL30" t="s">
        <v>190</v>
      </c>
    </row>
    <row r="31" spans="1:64" x14ac:dyDescent="0.2">
      <c r="A31" s="3" t="s">
        <v>191</v>
      </c>
      <c r="B31" t="str">
        <f>VLOOKUP(A31, IDSLOOKUP!C:E, 2, FALSE)</f>
        <v>Screen</v>
      </c>
      <c r="C31" t="str">
        <f>VLOOKUP(D31, METADATALOOKUP!$A:$AI, 13, FALSE)</f>
        <v>Oral Cavity</v>
      </c>
      <c r="D31" t="str">
        <f>VLOOKUP(A31, IDSLOOKUP!C:E, 3, FALSE)</f>
        <v>HN04-08</v>
      </c>
      <c r="E31" s="48">
        <f>VLOOKUP(A31,CFDNALOOKUP!AG:AI,2,FALSE)</f>
        <v>44091</v>
      </c>
      <c r="F31" s="48">
        <f>VLOOKUP(A31,CFDNALOOKUP!AG:AI,3,FALSE)</f>
        <v>44179</v>
      </c>
      <c r="G31" s="1">
        <f>VLOOKUP(D31, SURVLOOKUP!$A:$Q, 2, FALSE)</f>
        <v>42887</v>
      </c>
      <c r="H31" s="1">
        <f>VLOOKUP(D31, SURVLOOKUP!$A:$Q, 3, FALSE)</f>
        <v>43250</v>
      </c>
      <c r="I31" s="1">
        <f>VLOOKUP(D31, SURVLOOKUP!$A:$Q, 4, FALSE)</f>
        <v>43257</v>
      </c>
      <c r="J31" s="1">
        <f>VLOOKUP(D31, SURVLOOKUP!$A:$Q, 5, FALSE)</f>
        <v>43265</v>
      </c>
      <c r="K31" s="1">
        <f>VLOOKUP(D31, SURVLOOKUP!$A:$Q, 6, FALSE)</f>
        <v>43313</v>
      </c>
      <c r="L31" s="1">
        <f>VLOOKUP(D31, SURVLOOKUP!$A:$Q, 7, FALSE)</f>
        <v>43355</v>
      </c>
      <c r="M31" s="1">
        <f>VLOOKUP(D31, SURVLOOKUP!$A:$Q, 8, FALSE)</f>
        <v>43306</v>
      </c>
      <c r="N31" s="1">
        <f>VLOOKUP(D31, SURVLOOKUP!$A:$Q, 9, FALSE)</f>
        <v>43410</v>
      </c>
      <c r="O31" s="1" t="str">
        <f>VLOOKUP(D31, SURVLOOKUP!$A:$Q, 10, FALSE)</f>
        <v>NA</v>
      </c>
      <c r="P31" s="1">
        <f>VLOOKUP(D31, OLDSURVLOOKUP!$A:$AA, 19, FALSE)</f>
        <v>44306</v>
      </c>
      <c r="Q31" s="1">
        <f>VLOOKUP(D31, SURVLOOKUP!$A:$Q, 11, FALSE)</f>
        <v>45237</v>
      </c>
      <c r="R31" s="1"/>
      <c r="S31" s="1"/>
      <c r="T31" s="1"/>
      <c r="U31" s="1"/>
      <c r="V31">
        <f>_xlfn.XLOOKUP(D31, OLDSURVLOOKUP!$A:$A, OLDSURVLOOKUP!V:V)</f>
        <v>0</v>
      </c>
      <c r="W31">
        <f>VLOOKUP(D31, SURVLOOKUP!$A:$Q, 14, FALSE)</f>
        <v>0</v>
      </c>
      <c r="X31">
        <f>_xlfn.XLOOKUP(D31, OLDSURVLOOKUP!$A:$A, OLDSURVLOOKUP!X:X)</f>
        <v>0</v>
      </c>
      <c r="Y31">
        <f>VLOOKUP(D31, SURVLOOKUP!$A:$Q, 15, FALSE)</f>
        <v>0</v>
      </c>
      <c r="Z31">
        <f t="shared" si="4"/>
        <v>34.466666666666669</v>
      </c>
      <c r="AA31">
        <f t="shared" si="5"/>
        <v>65.033333333333331</v>
      </c>
      <c r="AB31">
        <f t="shared" si="6"/>
        <v>34.466666666666669</v>
      </c>
      <c r="AC31">
        <f t="shared" si="7"/>
        <v>65.033333333333331</v>
      </c>
      <c r="AD31">
        <f t="shared" si="8"/>
        <v>34.200000000000003</v>
      </c>
      <c r="AE31">
        <f t="shared" si="15"/>
        <v>64.8</v>
      </c>
      <c r="AF31">
        <f t="shared" si="1"/>
        <v>34.200000000000003</v>
      </c>
      <c r="AG31">
        <f t="shared" si="2"/>
        <v>64.8</v>
      </c>
      <c r="AH31">
        <f t="shared" si="9"/>
        <v>32.838709677419352</v>
      </c>
      <c r="AI31">
        <f t="shared" si="10"/>
        <v>63.41935483870968</v>
      </c>
      <c r="AJ31">
        <f t="shared" si="11"/>
        <v>32.838709677419352</v>
      </c>
      <c r="AK31">
        <f t="shared" si="12"/>
        <v>63.41935483870968</v>
      </c>
      <c r="AL31">
        <f t="shared" si="13"/>
        <v>2</v>
      </c>
      <c r="AM31" t="str">
        <f t="shared" si="3"/>
        <v>University of Michigan</v>
      </c>
      <c r="AN31">
        <v>1</v>
      </c>
      <c r="AO31">
        <v>12</v>
      </c>
      <c r="AP31">
        <f>VLOOKUP(D31, METADATALOOKUP!$A:$AI, 7, FALSE)</f>
        <v>61</v>
      </c>
      <c r="AQ31" t="str">
        <f>VLOOKUP(D31, METADATALOOKUP!$A:$AI, 8, FALSE)</f>
        <v>Male</v>
      </c>
      <c r="AR31" t="str">
        <f>VLOOKUP(D31, METADATALOOKUP!$A:$AI, 9, FALSE)</f>
        <v>White</v>
      </c>
      <c r="AS31" t="str">
        <f>VLOOKUP(D31, METADATALOOKUP!$A:$AI, 11, FALSE)</f>
        <v>No</v>
      </c>
      <c r="AT31" t="str">
        <f>VLOOKUP(D31, METADATALOOKUP!$A:$AI, 10, FALSE)</f>
        <v>Non-Hispanic</v>
      </c>
      <c r="AU31" t="str">
        <f>VLOOKUP(D31, METADATALOOKUP!$A:$AI, 12, FALSE)</f>
        <v>No</v>
      </c>
      <c r="AV31" t="str">
        <f>VLOOKUP(D31, METADATALOOKUP!$A:$AI, 14, FALSE)</f>
        <v>T4aN2bM0</v>
      </c>
      <c r="AW31" t="str">
        <f>VLOOKUP(D31, METADATALOOKUP!$A:$AI, 6, FALSE)</f>
        <v>Intermediate</v>
      </c>
      <c r="AX31" t="str">
        <f>VLOOKUP(D31, METADATALOOKUP!$A:$AI, 19, FALSE)</f>
        <v>No</v>
      </c>
      <c r="AY31">
        <f>LOOKUP(D31, SURVLOOKUP!$A:$A, SURVLOOKUP!$P:$P)</f>
        <v>0</v>
      </c>
      <c r="AZ31" s="46">
        <v>0</v>
      </c>
      <c r="BA31" t="str">
        <f>TEXT(VLOOKUP(D31, METADATALOOKUP!$A:$AI, 34, FALSE), "@")</f>
        <v>&lt;10%</v>
      </c>
      <c r="BB31" s="47" t="str">
        <f t="shared" si="14"/>
        <v>Non-Responder</v>
      </c>
      <c r="BC31">
        <v>0.98</v>
      </c>
      <c r="BE31">
        <v>24</v>
      </c>
      <c r="BF31">
        <v>1.020408</v>
      </c>
      <c r="BG31">
        <v>48.979590000000002</v>
      </c>
      <c r="BH31">
        <v>1.66</v>
      </c>
      <c r="BI31">
        <v>15.06024</v>
      </c>
      <c r="BJ31" t="s">
        <v>169</v>
      </c>
      <c r="BK31" t="s">
        <v>170</v>
      </c>
      <c r="BL31" t="s">
        <v>171</v>
      </c>
    </row>
    <row r="32" spans="1:64" x14ac:dyDescent="0.2">
      <c r="A32" s="3" t="s">
        <v>194</v>
      </c>
      <c r="B32" t="str">
        <f>VLOOKUP(A32, IDSLOOKUP!C:E, 2, FALSE)</f>
        <v>Adj Wk 1</v>
      </c>
      <c r="C32" t="str">
        <f>VLOOKUP(D32, METADATALOOKUP!$A:$AI, 13, FALSE)</f>
        <v>Oral Cavity</v>
      </c>
      <c r="D32" t="str">
        <f>VLOOKUP(A32, IDSLOOKUP!C:E, 3, FALSE)</f>
        <v>HN04-08</v>
      </c>
      <c r="E32" s="48">
        <f>VLOOKUP(A32,CFDNALOOKUP!AG:AI,2,FALSE)</f>
        <v>44091</v>
      </c>
      <c r="F32" s="48">
        <f>VLOOKUP(A32,CFDNALOOKUP!AG:AI,3,FALSE)</f>
        <v>44179</v>
      </c>
      <c r="G32" s="1">
        <f>VLOOKUP(D32, SURVLOOKUP!$A:$Q, 2, FALSE)</f>
        <v>42887</v>
      </c>
      <c r="H32" s="1">
        <f>VLOOKUP(D32, SURVLOOKUP!$A:$Q, 3, FALSE)</f>
        <v>43250</v>
      </c>
      <c r="I32" s="1">
        <f>VLOOKUP(D32, SURVLOOKUP!$A:$Q, 4, FALSE)</f>
        <v>43257</v>
      </c>
      <c r="J32" s="1">
        <f>VLOOKUP(D32, SURVLOOKUP!$A:$Q, 5, FALSE)</f>
        <v>43265</v>
      </c>
      <c r="K32" s="1">
        <f>VLOOKUP(D32, SURVLOOKUP!$A:$Q, 6, FALSE)</f>
        <v>43313</v>
      </c>
      <c r="L32" s="1">
        <f>VLOOKUP(D32, SURVLOOKUP!$A:$Q, 7, FALSE)</f>
        <v>43355</v>
      </c>
      <c r="M32" s="1">
        <f>VLOOKUP(D32, SURVLOOKUP!$A:$Q, 8, FALSE)</f>
        <v>43306</v>
      </c>
      <c r="N32" s="1">
        <f>VLOOKUP(D32, SURVLOOKUP!$A:$Q, 9, FALSE)</f>
        <v>43410</v>
      </c>
      <c r="O32" s="1" t="str">
        <f>VLOOKUP(D32, SURVLOOKUP!$A:$Q, 10, FALSE)</f>
        <v>NA</v>
      </c>
      <c r="P32" s="1">
        <f>VLOOKUP(D32, OLDSURVLOOKUP!$A:$AA, 19, FALSE)</f>
        <v>44306</v>
      </c>
      <c r="Q32" s="1">
        <f>VLOOKUP(D32, SURVLOOKUP!$A:$Q, 11, FALSE)</f>
        <v>45237</v>
      </c>
      <c r="R32" s="1"/>
      <c r="S32" s="1"/>
      <c r="T32" s="1"/>
      <c r="U32" s="1"/>
      <c r="V32">
        <f>_xlfn.XLOOKUP(D32, OLDSURVLOOKUP!$A:$A, OLDSURVLOOKUP!V:V)</f>
        <v>0</v>
      </c>
      <c r="W32">
        <f>VLOOKUP(D32, SURVLOOKUP!$A:$Q, 14, FALSE)</f>
        <v>0</v>
      </c>
      <c r="X32">
        <f>_xlfn.XLOOKUP(D32, OLDSURVLOOKUP!$A:$A, OLDSURVLOOKUP!X:X)</f>
        <v>0</v>
      </c>
      <c r="Y32">
        <f>VLOOKUP(D32, SURVLOOKUP!$A:$Q, 15, FALSE)</f>
        <v>0</v>
      </c>
      <c r="Z32">
        <f t="shared" si="4"/>
        <v>34.466666666666669</v>
      </c>
      <c r="AA32">
        <f t="shared" si="5"/>
        <v>65.033333333333331</v>
      </c>
      <c r="AB32">
        <f t="shared" si="6"/>
        <v>34.466666666666669</v>
      </c>
      <c r="AC32">
        <f t="shared" si="7"/>
        <v>65.033333333333331</v>
      </c>
      <c r="AD32">
        <f t="shared" si="8"/>
        <v>34.200000000000003</v>
      </c>
      <c r="AE32">
        <f t="shared" si="15"/>
        <v>64.8</v>
      </c>
      <c r="AF32">
        <f t="shared" si="1"/>
        <v>34.200000000000003</v>
      </c>
      <c r="AG32">
        <f t="shared" si="2"/>
        <v>64.8</v>
      </c>
      <c r="AH32">
        <f t="shared" si="9"/>
        <v>32.838709677419352</v>
      </c>
      <c r="AI32">
        <f t="shared" si="10"/>
        <v>63.41935483870968</v>
      </c>
      <c r="AJ32">
        <f t="shared" si="11"/>
        <v>32.838709677419352</v>
      </c>
      <c r="AK32">
        <f t="shared" si="12"/>
        <v>63.41935483870968</v>
      </c>
      <c r="AL32">
        <f t="shared" si="13"/>
        <v>2</v>
      </c>
      <c r="AM32" t="str">
        <f t="shared" si="3"/>
        <v>University of Michigan</v>
      </c>
      <c r="AN32">
        <v>1</v>
      </c>
      <c r="AO32">
        <v>12</v>
      </c>
      <c r="AP32">
        <f>VLOOKUP(D32, METADATALOOKUP!$A:$AI, 7, FALSE)</f>
        <v>61</v>
      </c>
      <c r="AQ32" t="str">
        <f>VLOOKUP(D32, METADATALOOKUP!$A:$AI, 8, FALSE)</f>
        <v>Male</v>
      </c>
      <c r="AR32" t="str">
        <f>VLOOKUP(D32, METADATALOOKUP!$A:$AI, 9, FALSE)</f>
        <v>White</v>
      </c>
      <c r="AS32" t="str">
        <f>VLOOKUP(D32, METADATALOOKUP!$A:$AI, 11, FALSE)</f>
        <v>No</v>
      </c>
      <c r="AT32" t="str">
        <f>VLOOKUP(D32, METADATALOOKUP!$A:$AI, 10, FALSE)</f>
        <v>Non-Hispanic</v>
      </c>
      <c r="AU32" t="str">
        <f>VLOOKUP(D32, METADATALOOKUP!$A:$AI, 12, FALSE)</f>
        <v>No</v>
      </c>
      <c r="AV32" t="str">
        <f>VLOOKUP(D32, METADATALOOKUP!$A:$AI, 14, FALSE)</f>
        <v>T4aN2bM0</v>
      </c>
      <c r="AW32" t="str">
        <f>VLOOKUP(D32, METADATALOOKUP!$A:$AI, 6, FALSE)</f>
        <v>Intermediate</v>
      </c>
      <c r="AX32" t="str">
        <f>VLOOKUP(D32, METADATALOOKUP!$A:$AI, 19, FALSE)</f>
        <v>No</v>
      </c>
      <c r="AY32">
        <f>LOOKUP(D32, SURVLOOKUP!$A:$A, SURVLOOKUP!$P:$P)</f>
        <v>0</v>
      </c>
      <c r="AZ32" s="46">
        <v>0</v>
      </c>
      <c r="BA32" t="str">
        <f>TEXT(VLOOKUP(D32, METADATALOOKUP!$A:$AI, 34, FALSE), "@")</f>
        <v>&lt;10%</v>
      </c>
      <c r="BB32" s="47" t="str">
        <f t="shared" si="14"/>
        <v>Non-Responder</v>
      </c>
      <c r="BC32">
        <v>0.42599999999999999</v>
      </c>
      <c r="BE32">
        <v>24</v>
      </c>
      <c r="BF32">
        <v>2.3474179999999998</v>
      </c>
      <c r="BG32">
        <v>12.4</v>
      </c>
      <c r="BH32">
        <v>12.4</v>
      </c>
      <c r="BI32">
        <v>2.0161289999999998</v>
      </c>
      <c r="BJ32" t="s">
        <v>195</v>
      </c>
      <c r="BK32" t="s">
        <v>196</v>
      </c>
      <c r="BL32" t="s">
        <v>197</v>
      </c>
    </row>
    <row r="33" spans="1:64" x14ac:dyDescent="0.2">
      <c r="A33" s="3" t="s">
        <v>198</v>
      </c>
      <c r="B33" t="str">
        <f>VLOOKUP(A33, IDSLOOKUP!C:E, 2, FALSE)</f>
        <v>Screen</v>
      </c>
      <c r="C33" t="str">
        <f>VLOOKUP(D33, METADATALOOKUP!$A:$AI, 13, FALSE)</f>
        <v>Oral Cavity</v>
      </c>
      <c r="D33" t="str">
        <f>VLOOKUP(A33, IDSLOOKUP!C:E, 3, FALSE)</f>
        <v>HN04-09</v>
      </c>
      <c r="E33" s="48">
        <f>VLOOKUP(A33,CFDNALOOKUP!AG:AI,2,FALSE)</f>
        <v>44091</v>
      </c>
      <c r="F33" s="48">
        <f>VLOOKUP(A33,CFDNALOOKUP!AG:AI,3,FALSE)</f>
        <v>44179</v>
      </c>
      <c r="G33" s="1">
        <f>VLOOKUP(D33, SURVLOOKUP!$A:$Q, 2, FALSE)</f>
        <v>43322</v>
      </c>
      <c r="H33" s="1">
        <f>VLOOKUP(D33, SURVLOOKUP!$A:$Q, 3, FALSE)</f>
        <v>43349</v>
      </c>
      <c r="I33" s="1">
        <f>VLOOKUP(D33, SURVLOOKUP!$A:$Q, 4, FALSE)</f>
        <v>43354</v>
      </c>
      <c r="J33" s="1">
        <f>VLOOKUP(D33, SURVLOOKUP!$A:$Q, 5, FALSE)</f>
        <v>43361</v>
      </c>
      <c r="K33" s="1">
        <f>VLOOKUP(D33, SURVLOOKUP!$A:$Q, 6, FALSE)</f>
        <v>43416</v>
      </c>
      <c r="L33" s="1">
        <f>VLOOKUP(D33, SURVLOOKUP!$A:$Q, 7, FALSE)</f>
        <v>43458</v>
      </c>
      <c r="M33" s="1">
        <f>VLOOKUP(D33, SURVLOOKUP!$A:$Q, 8, FALSE)</f>
        <v>43409</v>
      </c>
      <c r="N33" s="1">
        <f>VLOOKUP(D33, SURVLOOKUP!$A:$Q, 9, FALSE)</f>
        <v>43514</v>
      </c>
      <c r="O33" s="1" t="str">
        <f>VLOOKUP(D33, SURVLOOKUP!$A:$Q, 10, FALSE)</f>
        <v>NA</v>
      </c>
      <c r="P33" s="1">
        <f>VLOOKUP(D33, OLDSURVLOOKUP!$A:$AA, 19, FALSE)</f>
        <v>44292</v>
      </c>
      <c r="Q33" s="1">
        <f>VLOOKUP(D33, SURVLOOKUP!$A:$Q, 11, FALSE)</f>
        <v>44754</v>
      </c>
      <c r="R33" s="1"/>
      <c r="S33" s="1"/>
      <c r="T33" s="1"/>
      <c r="U33" s="1"/>
      <c r="V33">
        <f>_xlfn.XLOOKUP(D33, OLDSURVLOOKUP!$A:$A, OLDSURVLOOKUP!V:V)</f>
        <v>0</v>
      </c>
      <c r="W33">
        <f>VLOOKUP(D33, SURVLOOKUP!$A:$Q, 14, FALSE)</f>
        <v>0</v>
      </c>
      <c r="X33">
        <f>_xlfn.XLOOKUP(D33, OLDSURVLOOKUP!$A:$A, OLDSURVLOOKUP!X:X)</f>
        <v>0</v>
      </c>
      <c r="Y33">
        <f>VLOOKUP(D33, SURVLOOKUP!$A:$Q, 15, FALSE)</f>
        <v>0</v>
      </c>
      <c r="Z33">
        <f t="shared" si="4"/>
        <v>30.866666666666667</v>
      </c>
      <c r="AA33">
        <f t="shared" si="5"/>
        <v>46.033333333333331</v>
      </c>
      <c r="AB33">
        <f t="shared" si="6"/>
        <v>30.866666666666667</v>
      </c>
      <c r="AC33">
        <f t="shared" si="7"/>
        <v>46.033333333333331</v>
      </c>
      <c r="AD33">
        <f t="shared" si="8"/>
        <v>30.633333333333333</v>
      </c>
      <c r="AE33">
        <f t="shared" si="15"/>
        <v>45.8</v>
      </c>
      <c r="AF33">
        <f t="shared" si="1"/>
        <v>30.633333333333333</v>
      </c>
      <c r="AG33">
        <f t="shared" si="2"/>
        <v>45.8</v>
      </c>
      <c r="AH33">
        <f t="shared" si="9"/>
        <v>29.033333333333335</v>
      </c>
      <c r="AI33">
        <f t="shared" si="10"/>
        <v>44.233333333333334</v>
      </c>
      <c r="AJ33">
        <f t="shared" si="11"/>
        <v>29.033333333333335</v>
      </c>
      <c r="AK33">
        <f t="shared" si="12"/>
        <v>44.233333333333334</v>
      </c>
      <c r="AL33">
        <f t="shared" si="13"/>
        <v>2</v>
      </c>
      <c r="AM33" t="str">
        <f t="shared" si="3"/>
        <v>University of Michigan</v>
      </c>
      <c r="AN33">
        <v>0</v>
      </c>
      <c r="AO33">
        <v>13</v>
      </c>
      <c r="AP33">
        <f>VLOOKUP(D33, METADATALOOKUP!$A:$AI, 7, FALSE)</f>
        <v>60</v>
      </c>
      <c r="AQ33" t="str">
        <f>VLOOKUP(D33, METADATALOOKUP!$A:$AI, 8, FALSE)</f>
        <v>Male</v>
      </c>
      <c r="AR33" t="str">
        <f>VLOOKUP(D33, METADATALOOKUP!$A:$AI, 9, FALSE)</f>
        <v>White</v>
      </c>
      <c r="AS33" t="str">
        <f>VLOOKUP(D33, METADATALOOKUP!$A:$AI, 11, FALSE)</f>
        <v>No</v>
      </c>
      <c r="AT33" t="str">
        <f>VLOOKUP(D33, METADATALOOKUP!$A:$AI, 10, FALSE)</f>
        <v>Non-Hispanic</v>
      </c>
      <c r="AU33" t="str">
        <f>VLOOKUP(D33, METADATALOOKUP!$A:$AI, 12, FALSE)</f>
        <v>No</v>
      </c>
      <c r="AV33" t="str">
        <f>VLOOKUP(D33, METADATALOOKUP!$A:$AI, 14, FALSE)</f>
        <v>T3N0M0</v>
      </c>
      <c r="AW33" t="str">
        <f>VLOOKUP(D33, METADATALOOKUP!$A:$AI, 6, FALSE)</f>
        <v>Intermediate</v>
      </c>
      <c r="AX33" t="str">
        <f>VLOOKUP(D33, METADATALOOKUP!$A:$AI, 19, FALSE)</f>
        <v>No</v>
      </c>
      <c r="AY33">
        <f>LOOKUP(D33, SURVLOOKUP!$A:$A, SURVLOOKUP!$P:$P)</f>
        <v>1</v>
      </c>
      <c r="AZ33" s="46">
        <v>2</v>
      </c>
      <c r="BA33" t="str">
        <f>TEXT(VLOOKUP(D33, METADATALOOKUP!$A:$AI, 34, FALSE), "@")</f>
        <v>0.2</v>
      </c>
      <c r="BB33" s="47" t="str">
        <f t="shared" si="14"/>
        <v>Responder</v>
      </c>
      <c r="BC33">
        <v>3.12</v>
      </c>
      <c r="BE33">
        <v>24</v>
      </c>
      <c r="BF33">
        <v>0.32051299999999999</v>
      </c>
      <c r="BG33">
        <v>49.679490000000001</v>
      </c>
      <c r="BH33">
        <v>9.6</v>
      </c>
      <c r="BI33">
        <v>2.6041669999999999</v>
      </c>
      <c r="BJ33" t="s">
        <v>201</v>
      </c>
      <c r="BK33" t="s">
        <v>202</v>
      </c>
      <c r="BL33" t="s">
        <v>203</v>
      </c>
    </row>
    <row r="34" spans="1:64" x14ac:dyDescent="0.2">
      <c r="A34" s="3" t="s">
        <v>204</v>
      </c>
      <c r="B34" t="str">
        <f>VLOOKUP(A34, IDSLOOKUP!C:E, 2, FALSE)</f>
        <v>Day 0</v>
      </c>
      <c r="C34" t="str">
        <f>VLOOKUP(D34, METADATALOOKUP!$A:$AI, 13, FALSE)</f>
        <v>Oral Cavity</v>
      </c>
      <c r="D34" t="str">
        <f>VLOOKUP(A34, IDSLOOKUP!C:E, 3, FALSE)</f>
        <v>HN04-09</v>
      </c>
      <c r="E34" s="48">
        <f>VLOOKUP(A34,CFDNALOOKUP!AG:AI,2,FALSE)</f>
        <v>44091</v>
      </c>
      <c r="F34" s="48">
        <f>VLOOKUP(A34,CFDNALOOKUP!AG:AI,3,FALSE)</f>
        <v>44180</v>
      </c>
      <c r="G34" s="1">
        <f>VLOOKUP(D34, SURVLOOKUP!$A:$Q, 2, FALSE)</f>
        <v>43322</v>
      </c>
      <c r="H34" s="1">
        <f>VLOOKUP(D34, SURVLOOKUP!$A:$Q, 3, FALSE)</f>
        <v>43349</v>
      </c>
      <c r="I34" s="1">
        <f>VLOOKUP(D34, SURVLOOKUP!$A:$Q, 4, FALSE)</f>
        <v>43354</v>
      </c>
      <c r="J34" s="1">
        <f>VLOOKUP(D34, SURVLOOKUP!$A:$Q, 5, FALSE)</f>
        <v>43361</v>
      </c>
      <c r="K34" s="1">
        <f>VLOOKUP(D34, SURVLOOKUP!$A:$Q, 6, FALSE)</f>
        <v>43416</v>
      </c>
      <c r="L34" s="1">
        <f>VLOOKUP(D34, SURVLOOKUP!$A:$Q, 7, FALSE)</f>
        <v>43458</v>
      </c>
      <c r="M34" s="1">
        <f>VLOOKUP(D34, SURVLOOKUP!$A:$Q, 8, FALSE)</f>
        <v>43409</v>
      </c>
      <c r="N34" s="1">
        <f>VLOOKUP(D34, SURVLOOKUP!$A:$Q, 9, FALSE)</f>
        <v>43514</v>
      </c>
      <c r="O34" s="1" t="str">
        <f>VLOOKUP(D34, SURVLOOKUP!$A:$Q, 10, FALSE)</f>
        <v>NA</v>
      </c>
      <c r="P34" s="1">
        <f>VLOOKUP(D34, OLDSURVLOOKUP!$A:$AA, 19, FALSE)</f>
        <v>44292</v>
      </c>
      <c r="Q34" s="1">
        <f>VLOOKUP(D34, SURVLOOKUP!$A:$Q, 11, FALSE)</f>
        <v>44754</v>
      </c>
      <c r="R34" s="1"/>
      <c r="S34" s="1"/>
      <c r="T34" s="1"/>
      <c r="U34" s="1"/>
      <c r="V34">
        <f>_xlfn.XLOOKUP(D34, OLDSURVLOOKUP!$A:$A, OLDSURVLOOKUP!V:V)</f>
        <v>0</v>
      </c>
      <c r="W34">
        <f>VLOOKUP(D34, SURVLOOKUP!$A:$Q, 14, FALSE)</f>
        <v>0</v>
      </c>
      <c r="X34">
        <f>_xlfn.XLOOKUP(D34, OLDSURVLOOKUP!$A:$A, OLDSURVLOOKUP!X:X)</f>
        <v>0</v>
      </c>
      <c r="Y34">
        <f>VLOOKUP(D34, SURVLOOKUP!$A:$Q, 15, FALSE)</f>
        <v>0</v>
      </c>
      <c r="Z34">
        <f t="shared" si="4"/>
        <v>30.866666666666667</v>
      </c>
      <c r="AA34">
        <f t="shared" si="5"/>
        <v>46.033333333333331</v>
      </c>
      <c r="AB34">
        <f t="shared" si="6"/>
        <v>30.866666666666667</v>
      </c>
      <c r="AC34">
        <f t="shared" si="7"/>
        <v>46.033333333333331</v>
      </c>
      <c r="AD34">
        <f t="shared" si="8"/>
        <v>30.633333333333333</v>
      </c>
      <c r="AE34">
        <f t="shared" si="15"/>
        <v>45.8</v>
      </c>
      <c r="AF34">
        <f t="shared" ref="AF34:AF65" si="16">IF(X34=0, DATEDIF(J34,P34,"M")+DATEDIF(J34,P34,"MD")/DAY(EOMONTH(J34,0)), DATEDIF(J34,T34,"M")+DATEDIF(J34,T34,"MD")/DAY(EOMONTH(J34,0)))</f>
        <v>30.633333333333333</v>
      </c>
      <c r="AG34">
        <f t="shared" ref="AG34:AG65" si="17">IF(Y34=0, DATEDIF(J34,Q34,"M")+DATEDIF(J34,Q34,"MD")/DAY(EOMONTH(J34,0)), DATEDIF(J34,U34,"M")+DATEDIF(J34,U34,"MD")/DAY(EOMONTH(J34,0)))</f>
        <v>45.8</v>
      </c>
      <c r="AH34">
        <f t="shared" si="9"/>
        <v>29.033333333333335</v>
      </c>
      <c r="AI34">
        <f t="shared" si="10"/>
        <v>44.233333333333334</v>
      </c>
      <c r="AJ34">
        <f t="shared" si="11"/>
        <v>29.033333333333335</v>
      </c>
      <c r="AK34">
        <f t="shared" si="12"/>
        <v>44.233333333333334</v>
      </c>
      <c r="AL34">
        <f t="shared" si="13"/>
        <v>2</v>
      </c>
      <c r="AM34" t="str">
        <f t="shared" ref="AM34:AM65" si="18">IFERROR(
  CHOOSE(
    VALUE(MID(D34, FIND("-", D34) - 1, 1)),
    "University of Cincinnati",
    "Ohio State University",
    "Medical University of South Carolina",
    "University of Michigan",
    "University of Louisville",
    "MD Anderson"
  ),
  "Unknown"
)</f>
        <v>University of Michigan</v>
      </c>
      <c r="AN34">
        <v>0</v>
      </c>
      <c r="AO34">
        <v>13</v>
      </c>
      <c r="AP34">
        <f>VLOOKUP(D34, METADATALOOKUP!$A:$AI, 7, FALSE)</f>
        <v>60</v>
      </c>
      <c r="AQ34" t="str">
        <f>VLOOKUP(D34, METADATALOOKUP!$A:$AI, 8, FALSE)</f>
        <v>Male</v>
      </c>
      <c r="AR34" t="str">
        <f>VLOOKUP(D34, METADATALOOKUP!$A:$AI, 9, FALSE)</f>
        <v>White</v>
      </c>
      <c r="AS34" t="str">
        <f>VLOOKUP(D34, METADATALOOKUP!$A:$AI, 11, FALSE)</f>
        <v>No</v>
      </c>
      <c r="AT34" t="str">
        <f>VLOOKUP(D34, METADATALOOKUP!$A:$AI, 10, FALSE)</f>
        <v>Non-Hispanic</v>
      </c>
      <c r="AU34" t="str">
        <f>VLOOKUP(D34, METADATALOOKUP!$A:$AI, 12, FALSE)</f>
        <v>No</v>
      </c>
      <c r="AV34" t="str">
        <f>VLOOKUP(D34, METADATALOOKUP!$A:$AI, 14, FALSE)</f>
        <v>T3N0M0</v>
      </c>
      <c r="AW34" t="str">
        <f>VLOOKUP(D34, METADATALOOKUP!$A:$AI, 6, FALSE)</f>
        <v>Intermediate</v>
      </c>
      <c r="AX34" t="str">
        <f>VLOOKUP(D34, METADATALOOKUP!$A:$AI, 19, FALSE)</f>
        <v>No</v>
      </c>
      <c r="AY34">
        <f>LOOKUP(D34, SURVLOOKUP!$A:$A, SURVLOOKUP!$P:$P)</f>
        <v>1</v>
      </c>
      <c r="AZ34" s="46">
        <v>2</v>
      </c>
      <c r="BA34" t="str">
        <f>TEXT(VLOOKUP(D34, METADATALOOKUP!$A:$AI, 34, FALSE), "@")</f>
        <v>0.2</v>
      </c>
      <c r="BB34" s="47" t="str">
        <f t="shared" si="14"/>
        <v>Responder</v>
      </c>
      <c r="BC34">
        <v>0.17</v>
      </c>
      <c r="BE34">
        <v>24</v>
      </c>
      <c r="BF34">
        <v>5.8823530000000002</v>
      </c>
      <c r="BG34">
        <v>44.117649999999998</v>
      </c>
      <c r="BH34">
        <v>10.8</v>
      </c>
      <c r="BI34">
        <v>2.3148149999999998</v>
      </c>
      <c r="BJ34" t="s">
        <v>205</v>
      </c>
      <c r="BK34" t="s">
        <v>206</v>
      </c>
      <c r="BL34" t="s">
        <v>207</v>
      </c>
    </row>
    <row r="35" spans="1:64" x14ac:dyDescent="0.2">
      <c r="A35" s="3" t="s">
        <v>208</v>
      </c>
      <c r="B35" t="str">
        <f>VLOOKUP(A35, IDSLOOKUP!C:E, 2, FALSE)</f>
        <v>Adj Wk 1</v>
      </c>
      <c r="C35" t="str">
        <f>VLOOKUP(D35, METADATALOOKUP!$A:$AI, 13, FALSE)</f>
        <v>Oral Cavity</v>
      </c>
      <c r="D35" t="str">
        <f>VLOOKUP(A35, IDSLOOKUP!C:E, 3, FALSE)</f>
        <v>HN04-09</v>
      </c>
      <c r="E35" s="48">
        <f>VLOOKUP(A35,CFDNALOOKUP!AG:AI,2,FALSE)</f>
        <v>44091</v>
      </c>
      <c r="F35" s="48">
        <f>VLOOKUP(A35,CFDNALOOKUP!AG:AI,3,FALSE)</f>
        <v>44180</v>
      </c>
      <c r="G35" s="1">
        <f>VLOOKUP(D35, SURVLOOKUP!$A:$Q, 2, FALSE)</f>
        <v>43322</v>
      </c>
      <c r="H35" s="1">
        <f>VLOOKUP(D35, SURVLOOKUP!$A:$Q, 3, FALSE)</f>
        <v>43349</v>
      </c>
      <c r="I35" s="1">
        <f>VLOOKUP(D35, SURVLOOKUP!$A:$Q, 4, FALSE)</f>
        <v>43354</v>
      </c>
      <c r="J35" s="1">
        <f>VLOOKUP(D35, SURVLOOKUP!$A:$Q, 5, FALSE)</f>
        <v>43361</v>
      </c>
      <c r="K35" s="1">
        <f>VLOOKUP(D35, SURVLOOKUP!$A:$Q, 6, FALSE)</f>
        <v>43416</v>
      </c>
      <c r="L35" s="1">
        <f>VLOOKUP(D35, SURVLOOKUP!$A:$Q, 7, FALSE)</f>
        <v>43458</v>
      </c>
      <c r="M35" s="1">
        <f>VLOOKUP(D35, SURVLOOKUP!$A:$Q, 8, FALSE)</f>
        <v>43409</v>
      </c>
      <c r="N35" s="1">
        <f>VLOOKUP(D35, SURVLOOKUP!$A:$Q, 9, FALSE)</f>
        <v>43514</v>
      </c>
      <c r="O35" s="1" t="str">
        <f>VLOOKUP(D35, SURVLOOKUP!$A:$Q, 10, FALSE)</f>
        <v>NA</v>
      </c>
      <c r="P35" s="1">
        <f>VLOOKUP(D35, OLDSURVLOOKUP!$A:$AA, 19, FALSE)</f>
        <v>44292</v>
      </c>
      <c r="Q35" s="1">
        <f>VLOOKUP(D35, SURVLOOKUP!$A:$Q, 11, FALSE)</f>
        <v>44754</v>
      </c>
      <c r="R35" s="1"/>
      <c r="S35" s="1"/>
      <c r="T35" s="1"/>
      <c r="U35" s="1"/>
      <c r="V35">
        <f>_xlfn.XLOOKUP(D35, OLDSURVLOOKUP!$A:$A, OLDSURVLOOKUP!V:V)</f>
        <v>0</v>
      </c>
      <c r="W35">
        <f>VLOOKUP(D35, SURVLOOKUP!$A:$Q, 14, FALSE)</f>
        <v>0</v>
      </c>
      <c r="X35">
        <f>_xlfn.XLOOKUP(D35, OLDSURVLOOKUP!$A:$A, OLDSURVLOOKUP!X:X)</f>
        <v>0</v>
      </c>
      <c r="Y35">
        <f>VLOOKUP(D35, SURVLOOKUP!$A:$Q, 15, FALSE)</f>
        <v>0</v>
      </c>
      <c r="Z35">
        <f t="shared" si="4"/>
        <v>30.866666666666667</v>
      </c>
      <c r="AA35">
        <f t="shared" si="5"/>
        <v>46.033333333333331</v>
      </c>
      <c r="AB35">
        <f t="shared" si="6"/>
        <v>30.866666666666667</v>
      </c>
      <c r="AC35">
        <f t="shared" si="7"/>
        <v>46.033333333333331</v>
      </c>
      <c r="AD35">
        <f t="shared" si="8"/>
        <v>30.633333333333333</v>
      </c>
      <c r="AE35">
        <f t="shared" si="15"/>
        <v>45.8</v>
      </c>
      <c r="AF35">
        <f t="shared" si="16"/>
        <v>30.633333333333333</v>
      </c>
      <c r="AG35">
        <f t="shared" si="17"/>
        <v>45.8</v>
      </c>
      <c r="AH35">
        <f t="shared" si="9"/>
        <v>29.033333333333335</v>
      </c>
      <c r="AI35">
        <f t="shared" si="10"/>
        <v>44.233333333333334</v>
      </c>
      <c r="AJ35">
        <f t="shared" si="11"/>
        <v>29.033333333333335</v>
      </c>
      <c r="AK35">
        <f t="shared" si="12"/>
        <v>44.233333333333334</v>
      </c>
      <c r="AL35">
        <f t="shared" si="13"/>
        <v>2</v>
      </c>
      <c r="AM35" t="str">
        <f t="shared" si="18"/>
        <v>University of Michigan</v>
      </c>
      <c r="AN35">
        <v>0</v>
      </c>
      <c r="AO35">
        <v>13</v>
      </c>
      <c r="AP35">
        <f>VLOOKUP(D35, METADATALOOKUP!$A:$AI, 7, FALSE)</f>
        <v>60</v>
      </c>
      <c r="AQ35" t="str">
        <f>VLOOKUP(D35, METADATALOOKUP!$A:$AI, 8, FALSE)</f>
        <v>Male</v>
      </c>
      <c r="AR35" t="str">
        <f>VLOOKUP(D35, METADATALOOKUP!$A:$AI, 9, FALSE)</f>
        <v>White</v>
      </c>
      <c r="AS35" t="str">
        <f>VLOOKUP(D35, METADATALOOKUP!$A:$AI, 11, FALSE)</f>
        <v>No</v>
      </c>
      <c r="AT35" t="str">
        <f>VLOOKUP(D35, METADATALOOKUP!$A:$AI, 10, FALSE)</f>
        <v>Non-Hispanic</v>
      </c>
      <c r="AU35" t="str">
        <f>VLOOKUP(D35, METADATALOOKUP!$A:$AI, 12, FALSE)</f>
        <v>No</v>
      </c>
      <c r="AV35" t="str">
        <f>VLOOKUP(D35, METADATALOOKUP!$A:$AI, 14, FALSE)</f>
        <v>T3N0M0</v>
      </c>
      <c r="AW35" t="str">
        <f>VLOOKUP(D35, METADATALOOKUP!$A:$AI, 6, FALSE)</f>
        <v>Intermediate</v>
      </c>
      <c r="AX35" t="str">
        <f>VLOOKUP(D35, METADATALOOKUP!$A:$AI, 19, FALSE)</f>
        <v>No</v>
      </c>
      <c r="AY35">
        <f>LOOKUP(D35, SURVLOOKUP!$A:$A, SURVLOOKUP!$P:$P)</f>
        <v>1</v>
      </c>
      <c r="AZ35" s="46">
        <v>2</v>
      </c>
      <c r="BA35" t="str">
        <f>TEXT(VLOOKUP(D35, METADATALOOKUP!$A:$AI, 34, FALSE), "@")</f>
        <v>0.2</v>
      </c>
      <c r="BB35" s="47" t="str">
        <f t="shared" si="14"/>
        <v>Responder</v>
      </c>
      <c r="BC35">
        <v>0.57599999999999996</v>
      </c>
      <c r="BE35">
        <v>24</v>
      </c>
      <c r="BF35">
        <v>1.736111</v>
      </c>
      <c r="BG35">
        <v>48.263890000000004</v>
      </c>
      <c r="BH35">
        <v>6.56</v>
      </c>
      <c r="BI35">
        <v>3.8109760000000001</v>
      </c>
      <c r="BJ35" t="s">
        <v>209</v>
      </c>
      <c r="BK35" t="s">
        <v>210</v>
      </c>
      <c r="BL35" t="s">
        <v>211</v>
      </c>
    </row>
    <row r="36" spans="1:64" x14ac:dyDescent="0.2">
      <c r="A36" s="3" t="s">
        <v>212</v>
      </c>
      <c r="B36" t="str">
        <f>VLOOKUP(A36, IDSLOOKUP!C:E, 2, FALSE)</f>
        <v>Screen</v>
      </c>
      <c r="C36" t="str">
        <f>VLOOKUP(D36, METADATALOOKUP!$A:$AI, 13, FALSE)</f>
        <v>Larynx</v>
      </c>
      <c r="D36" t="str">
        <f>VLOOKUP(A36, IDSLOOKUP!C:E, 3, FALSE)</f>
        <v>HN04-10</v>
      </c>
      <c r="E36" s="48">
        <f>VLOOKUP(A36,CFDNALOOKUP!AG:AI,2,FALSE)</f>
        <v>44091</v>
      </c>
      <c r="F36" s="48">
        <f>VLOOKUP(A36,CFDNALOOKUP!AG:AI,3,FALSE)</f>
        <v>44180</v>
      </c>
      <c r="G36" s="1">
        <f>VLOOKUP(D36, SURVLOOKUP!$A:$Q, 2, FALSE)</f>
        <v>43371</v>
      </c>
      <c r="H36" s="1">
        <f>VLOOKUP(D36, SURVLOOKUP!$A:$Q, 3, FALSE)</f>
        <v>43404</v>
      </c>
      <c r="I36" s="1">
        <f>VLOOKUP(D36, SURVLOOKUP!$A:$Q, 4, FALSE)</f>
        <v>43406</v>
      </c>
      <c r="J36" s="1">
        <f>VLOOKUP(D36, SURVLOOKUP!$A:$Q, 5, FALSE)</f>
        <v>43413</v>
      </c>
      <c r="K36" s="1">
        <f>VLOOKUP(D36, SURVLOOKUP!$A:$Q, 6, FALSE)</f>
        <v>43475</v>
      </c>
      <c r="L36" s="1">
        <f>VLOOKUP(D36, SURVLOOKUP!$A:$Q, 7, FALSE)</f>
        <v>43516</v>
      </c>
      <c r="M36" s="1">
        <f>VLOOKUP(D36, SURVLOOKUP!$A:$Q, 8, FALSE)</f>
        <v>43467</v>
      </c>
      <c r="N36" s="1">
        <f>VLOOKUP(D36, SURVLOOKUP!$A:$Q, 9, FALSE)</f>
        <v>43580</v>
      </c>
      <c r="O36" s="1" t="str">
        <f>VLOOKUP(D36, SURVLOOKUP!$A:$Q, 10, FALSE)</f>
        <v>NA</v>
      </c>
      <c r="P36" s="1">
        <f>VLOOKUP(D36, OLDSURVLOOKUP!$A:$AA, 19, FALSE)</f>
        <v>44323</v>
      </c>
      <c r="Q36" s="1">
        <f>VLOOKUP(D36, SURVLOOKUP!$A:$Q, 11, FALSE)</f>
        <v>45251</v>
      </c>
      <c r="R36" s="1"/>
      <c r="S36" s="1"/>
      <c r="T36" s="1"/>
      <c r="U36" s="1">
        <f>VLOOKUP(D36, SURVLOOKUP!$A:$Q, 13, FALSE)</f>
        <v>45252</v>
      </c>
      <c r="V36">
        <f>_xlfn.XLOOKUP(D36, OLDSURVLOOKUP!$A:$A, OLDSURVLOOKUP!V:V)</f>
        <v>0</v>
      </c>
      <c r="W36">
        <f>VLOOKUP(D36, SURVLOOKUP!$A:$Q, 14, FALSE)</f>
        <v>1</v>
      </c>
      <c r="X36">
        <f>_xlfn.XLOOKUP(D36, OLDSURVLOOKUP!$A:$A, OLDSURVLOOKUP!X:X)</f>
        <v>0</v>
      </c>
      <c r="Y36">
        <f>VLOOKUP(D36, SURVLOOKUP!$A:$Q, 15, FALSE)</f>
        <v>1</v>
      </c>
      <c r="Z36">
        <f t="shared" si="4"/>
        <v>30.166666666666668</v>
      </c>
      <c r="AA36" s="2">
        <v>60.666666669999998</v>
      </c>
      <c r="AB36">
        <f t="shared" si="6"/>
        <v>30.166666666666668</v>
      </c>
      <c r="AC36">
        <f t="shared" si="7"/>
        <v>60.666666666666664</v>
      </c>
      <c r="AD36">
        <f t="shared" si="8"/>
        <v>29.933333333333334</v>
      </c>
      <c r="AE36" s="2">
        <v>60.433333330000004</v>
      </c>
      <c r="AF36">
        <f t="shared" si="16"/>
        <v>29.933333333333334</v>
      </c>
      <c r="AG36">
        <f t="shared" si="17"/>
        <v>60.43333333333333</v>
      </c>
      <c r="AH36">
        <f t="shared" si="9"/>
        <v>28.161290322580644</v>
      </c>
      <c r="AI36" s="2">
        <v>58.645161289999997</v>
      </c>
      <c r="AJ36">
        <f t="shared" si="11"/>
        <v>28.161290322580644</v>
      </c>
      <c r="AK36">
        <f t="shared" si="12"/>
        <v>58.645161290322584</v>
      </c>
      <c r="AL36">
        <f t="shared" si="13"/>
        <v>2</v>
      </c>
      <c r="AM36" t="str">
        <f t="shared" si="18"/>
        <v>University of Michigan</v>
      </c>
      <c r="AN36">
        <v>0</v>
      </c>
      <c r="AO36">
        <v>14</v>
      </c>
      <c r="AP36">
        <f>VLOOKUP(D36, METADATALOOKUP!$A:$AI, 7, FALSE)</f>
        <v>62</v>
      </c>
      <c r="AQ36" t="str">
        <f>VLOOKUP(D36, METADATALOOKUP!$A:$AI, 8, FALSE)</f>
        <v>Male</v>
      </c>
      <c r="AR36" t="str">
        <f>VLOOKUP(D36, METADATALOOKUP!$A:$AI, 9, FALSE)</f>
        <v>White</v>
      </c>
      <c r="AS36" t="str">
        <f>VLOOKUP(D36, METADATALOOKUP!$A:$AI, 11, FALSE)</f>
        <v>Yes</v>
      </c>
      <c r="AT36" t="str">
        <f>VLOOKUP(D36, METADATALOOKUP!$A:$AI, 10, FALSE)</f>
        <v>Non-Hispanic</v>
      </c>
      <c r="AU36" t="str">
        <f>VLOOKUP(D36, METADATALOOKUP!$A:$AI, 12, FALSE)</f>
        <v>No</v>
      </c>
      <c r="AV36" t="str">
        <f>VLOOKUP(D36, METADATALOOKUP!$A:$AI, 14, FALSE)</f>
        <v>T4N2cM0</v>
      </c>
      <c r="AW36" t="str">
        <f>VLOOKUP(D36, METADATALOOKUP!$A:$AI, 6, FALSE)</f>
        <v>Intermediate</v>
      </c>
      <c r="AX36" t="str">
        <f>VLOOKUP(D36, METADATALOOKUP!$A:$AI, 19, FALSE)</f>
        <v>No</v>
      </c>
      <c r="AY36">
        <f>LOOKUP(D36, SURVLOOKUP!$A:$A, SURVLOOKUP!$P:$P)</f>
        <v>0</v>
      </c>
      <c r="AZ36" s="46">
        <v>5</v>
      </c>
      <c r="BA36" t="str">
        <f>TEXT(VLOOKUP(D36, METADATALOOKUP!$A:$AI, 34, FALSE), "@")</f>
        <v>0.5</v>
      </c>
      <c r="BB36" s="47" t="str">
        <f t="shared" si="14"/>
        <v>Responder</v>
      </c>
      <c r="BC36">
        <v>0.84799999999999998</v>
      </c>
      <c r="BE36">
        <v>24</v>
      </c>
      <c r="BF36">
        <v>1.1792450000000001</v>
      </c>
      <c r="BG36">
        <v>48.820749999999997</v>
      </c>
      <c r="BH36">
        <v>12.5</v>
      </c>
      <c r="BI36">
        <v>2</v>
      </c>
      <c r="BJ36" t="s">
        <v>215</v>
      </c>
      <c r="BK36" t="s">
        <v>216</v>
      </c>
      <c r="BL36" t="s">
        <v>217</v>
      </c>
    </row>
    <row r="37" spans="1:64" x14ac:dyDescent="0.2">
      <c r="A37" s="3" t="s">
        <v>218</v>
      </c>
      <c r="B37" t="str">
        <f>VLOOKUP(A37, IDSLOOKUP!C:E, 2, FALSE)</f>
        <v>Day 0</v>
      </c>
      <c r="C37" t="str">
        <f>VLOOKUP(D37, METADATALOOKUP!$A:$AI, 13, FALSE)</f>
        <v>Larynx</v>
      </c>
      <c r="D37" t="str">
        <f>VLOOKUP(A37, IDSLOOKUP!C:E, 3, FALSE)</f>
        <v>HN04-10</v>
      </c>
      <c r="E37" s="48">
        <f>VLOOKUP(A37,CFDNALOOKUP!AG:AI,2,FALSE)</f>
        <v>44091</v>
      </c>
      <c r="F37" s="48">
        <f>VLOOKUP(A37,CFDNALOOKUP!AG:AI,3,FALSE)</f>
        <v>44179</v>
      </c>
      <c r="G37" s="1">
        <f>VLOOKUP(D37, SURVLOOKUP!$A:$Q, 2, FALSE)</f>
        <v>43371</v>
      </c>
      <c r="H37" s="1">
        <f>VLOOKUP(D37, SURVLOOKUP!$A:$Q, 3, FALSE)</f>
        <v>43404</v>
      </c>
      <c r="I37" s="1">
        <f>VLOOKUP(D37, SURVLOOKUP!$A:$Q, 4, FALSE)</f>
        <v>43406</v>
      </c>
      <c r="J37" s="1">
        <f>VLOOKUP(D37, SURVLOOKUP!$A:$Q, 5, FALSE)</f>
        <v>43413</v>
      </c>
      <c r="K37" s="1">
        <f>VLOOKUP(D37, SURVLOOKUP!$A:$Q, 6, FALSE)</f>
        <v>43475</v>
      </c>
      <c r="L37" s="1">
        <f>VLOOKUP(D37, SURVLOOKUP!$A:$Q, 7, FALSE)</f>
        <v>43516</v>
      </c>
      <c r="M37" s="1">
        <f>VLOOKUP(D37, SURVLOOKUP!$A:$Q, 8, FALSE)</f>
        <v>43467</v>
      </c>
      <c r="N37" s="1">
        <f>VLOOKUP(D37, SURVLOOKUP!$A:$Q, 9, FALSE)</f>
        <v>43580</v>
      </c>
      <c r="O37" s="1" t="str">
        <f>VLOOKUP(D37, SURVLOOKUP!$A:$Q, 10, FALSE)</f>
        <v>NA</v>
      </c>
      <c r="P37" s="1">
        <f>VLOOKUP(D37, OLDSURVLOOKUP!$A:$AA, 19, FALSE)</f>
        <v>44323</v>
      </c>
      <c r="Q37" s="1">
        <f>VLOOKUP(D37, SURVLOOKUP!$A:$Q, 11, FALSE)</f>
        <v>45251</v>
      </c>
      <c r="R37" s="1"/>
      <c r="S37" s="1"/>
      <c r="T37" s="1"/>
      <c r="U37" s="1">
        <f>VLOOKUP(D37, SURVLOOKUP!$A:$Q, 13, FALSE)</f>
        <v>45252</v>
      </c>
      <c r="V37">
        <f>_xlfn.XLOOKUP(D37, OLDSURVLOOKUP!$A:$A, OLDSURVLOOKUP!V:V)</f>
        <v>0</v>
      </c>
      <c r="W37">
        <f>VLOOKUP(D37, SURVLOOKUP!$A:$Q, 14, FALSE)</f>
        <v>1</v>
      </c>
      <c r="X37">
        <f>_xlfn.XLOOKUP(D37, OLDSURVLOOKUP!$A:$A, OLDSURVLOOKUP!X:X)</f>
        <v>0</v>
      </c>
      <c r="Y37">
        <f>VLOOKUP(D37, SURVLOOKUP!$A:$Q, 15, FALSE)</f>
        <v>1</v>
      </c>
      <c r="Z37">
        <f t="shared" si="4"/>
        <v>30.166666666666668</v>
      </c>
      <c r="AA37" s="2">
        <v>60.666666669999998</v>
      </c>
      <c r="AB37">
        <f t="shared" si="6"/>
        <v>30.166666666666668</v>
      </c>
      <c r="AC37">
        <f t="shared" si="7"/>
        <v>60.666666666666664</v>
      </c>
      <c r="AD37">
        <f t="shared" si="8"/>
        <v>29.933333333333334</v>
      </c>
      <c r="AE37" s="2">
        <v>60.433333330000004</v>
      </c>
      <c r="AF37">
        <f t="shared" si="16"/>
        <v>29.933333333333334</v>
      </c>
      <c r="AG37">
        <f t="shared" si="17"/>
        <v>60.43333333333333</v>
      </c>
      <c r="AH37">
        <f t="shared" si="9"/>
        <v>28.161290322580644</v>
      </c>
      <c r="AI37" s="2">
        <v>58.645161289999997</v>
      </c>
      <c r="AJ37">
        <f t="shared" si="11"/>
        <v>28.161290322580644</v>
      </c>
      <c r="AK37">
        <f t="shared" si="12"/>
        <v>58.645161290322584</v>
      </c>
      <c r="AL37">
        <f t="shared" si="13"/>
        <v>2</v>
      </c>
      <c r="AM37" t="str">
        <f t="shared" si="18"/>
        <v>University of Michigan</v>
      </c>
      <c r="AN37">
        <v>0</v>
      </c>
      <c r="AO37">
        <v>14</v>
      </c>
      <c r="AP37">
        <f>VLOOKUP(D37, METADATALOOKUP!$A:$AI, 7, FALSE)</f>
        <v>62</v>
      </c>
      <c r="AQ37" t="str">
        <f>VLOOKUP(D37, METADATALOOKUP!$A:$AI, 8, FALSE)</f>
        <v>Male</v>
      </c>
      <c r="AR37" t="str">
        <f>VLOOKUP(D37, METADATALOOKUP!$A:$AI, 9, FALSE)</f>
        <v>White</v>
      </c>
      <c r="AS37" t="str">
        <f>VLOOKUP(D37, METADATALOOKUP!$A:$AI, 11, FALSE)</f>
        <v>Yes</v>
      </c>
      <c r="AT37" t="str">
        <f>VLOOKUP(D37, METADATALOOKUP!$A:$AI, 10, FALSE)</f>
        <v>Non-Hispanic</v>
      </c>
      <c r="AU37" t="str">
        <f>VLOOKUP(D37, METADATALOOKUP!$A:$AI, 12, FALSE)</f>
        <v>No</v>
      </c>
      <c r="AV37" t="str">
        <f>VLOOKUP(D37, METADATALOOKUP!$A:$AI, 14, FALSE)</f>
        <v>T4N2cM0</v>
      </c>
      <c r="AW37" t="str">
        <f>VLOOKUP(D37, METADATALOOKUP!$A:$AI, 6, FALSE)</f>
        <v>Intermediate</v>
      </c>
      <c r="AX37" t="str">
        <f>VLOOKUP(D37, METADATALOOKUP!$A:$AI, 19, FALSE)</f>
        <v>No</v>
      </c>
      <c r="AY37">
        <f>LOOKUP(D37, SURVLOOKUP!$A:$A, SURVLOOKUP!$P:$P)</f>
        <v>0</v>
      </c>
      <c r="AZ37" s="46">
        <v>5</v>
      </c>
      <c r="BA37" t="str">
        <f>TEXT(VLOOKUP(D37, METADATALOOKUP!$A:$AI, 34, FALSE), "@")</f>
        <v>0.5</v>
      </c>
      <c r="BB37" s="47" t="str">
        <f t="shared" si="14"/>
        <v>Responder</v>
      </c>
      <c r="BC37">
        <v>0.42</v>
      </c>
      <c r="BE37">
        <v>24</v>
      </c>
      <c r="BF37">
        <v>2.3809520000000002</v>
      </c>
      <c r="BG37">
        <v>7.08</v>
      </c>
      <c r="BH37">
        <v>7.08</v>
      </c>
      <c r="BI37">
        <v>3.5310730000000001</v>
      </c>
      <c r="BJ37" t="s">
        <v>209</v>
      </c>
      <c r="BK37" t="s">
        <v>210</v>
      </c>
      <c r="BL37" t="s">
        <v>211</v>
      </c>
    </row>
    <row r="38" spans="1:64" x14ac:dyDescent="0.2">
      <c r="A38" s="3" t="s">
        <v>219</v>
      </c>
      <c r="B38" t="str">
        <f>VLOOKUP(A38, IDSLOOKUP!C:E, 2, FALSE)</f>
        <v>Adj Wk 1</v>
      </c>
      <c r="C38" t="str">
        <f>VLOOKUP(D38, METADATALOOKUP!$A:$AI, 13, FALSE)</f>
        <v>Larynx</v>
      </c>
      <c r="D38" t="str">
        <f>VLOOKUP(A38, IDSLOOKUP!C:E, 3, FALSE)</f>
        <v>HN04-10</v>
      </c>
      <c r="E38" s="48">
        <f>VLOOKUP(A38,CFDNALOOKUP!AG:AI,2,FALSE)</f>
        <v>44091</v>
      </c>
      <c r="F38" s="48">
        <f>VLOOKUP(A38,CFDNALOOKUP!AG:AI,3,FALSE)</f>
        <v>44179</v>
      </c>
      <c r="G38" s="1">
        <f>VLOOKUP(D38, SURVLOOKUP!$A:$Q, 2, FALSE)</f>
        <v>43371</v>
      </c>
      <c r="H38" s="1">
        <f>VLOOKUP(D38, SURVLOOKUP!$A:$Q, 3, FALSE)</f>
        <v>43404</v>
      </c>
      <c r="I38" s="1">
        <f>VLOOKUP(D38, SURVLOOKUP!$A:$Q, 4, FALSE)</f>
        <v>43406</v>
      </c>
      <c r="J38" s="1">
        <f>VLOOKUP(D38, SURVLOOKUP!$A:$Q, 5, FALSE)</f>
        <v>43413</v>
      </c>
      <c r="K38" s="1">
        <f>VLOOKUP(D38, SURVLOOKUP!$A:$Q, 6, FALSE)</f>
        <v>43475</v>
      </c>
      <c r="L38" s="1">
        <f>VLOOKUP(D38, SURVLOOKUP!$A:$Q, 7, FALSE)</f>
        <v>43516</v>
      </c>
      <c r="M38" s="1">
        <f>VLOOKUP(D38, SURVLOOKUP!$A:$Q, 8, FALSE)</f>
        <v>43467</v>
      </c>
      <c r="N38" s="1">
        <f>VLOOKUP(D38, SURVLOOKUP!$A:$Q, 9, FALSE)</f>
        <v>43580</v>
      </c>
      <c r="O38" s="1" t="str">
        <f>VLOOKUP(D38, SURVLOOKUP!$A:$Q, 10, FALSE)</f>
        <v>NA</v>
      </c>
      <c r="P38" s="1">
        <f>VLOOKUP(D38, OLDSURVLOOKUP!$A:$AA, 19, FALSE)</f>
        <v>44323</v>
      </c>
      <c r="Q38" s="1">
        <f>VLOOKUP(D38, SURVLOOKUP!$A:$Q, 11, FALSE)</f>
        <v>45251</v>
      </c>
      <c r="R38" s="1"/>
      <c r="S38" s="1"/>
      <c r="T38" s="1"/>
      <c r="U38" s="1">
        <f>VLOOKUP(D38, SURVLOOKUP!$A:$Q, 13, FALSE)</f>
        <v>45252</v>
      </c>
      <c r="V38">
        <f>_xlfn.XLOOKUP(D38, OLDSURVLOOKUP!$A:$A, OLDSURVLOOKUP!V:V)</f>
        <v>0</v>
      </c>
      <c r="W38">
        <f>VLOOKUP(D38, SURVLOOKUP!$A:$Q, 14, FALSE)</f>
        <v>1</v>
      </c>
      <c r="X38">
        <f>_xlfn.XLOOKUP(D38, OLDSURVLOOKUP!$A:$A, OLDSURVLOOKUP!X:X)</f>
        <v>0</v>
      </c>
      <c r="Y38">
        <f>VLOOKUP(D38, SURVLOOKUP!$A:$Q, 15, FALSE)</f>
        <v>1</v>
      </c>
      <c r="Z38">
        <f t="shared" si="4"/>
        <v>30.166666666666668</v>
      </c>
      <c r="AA38" s="2">
        <v>60.666666669999998</v>
      </c>
      <c r="AB38">
        <f t="shared" si="6"/>
        <v>30.166666666666668</v>
      </c>
      <c r="AC38">
        <f t="shared" si="7"/>
        <v>60.666666666666664</v>
      </c>
      <c r="AD38">
        <f t="shared" si="8"/>
        <v>29.933333333333334</v>
      </c>
      <c r="AE38" s="2">
        <v>60.433333330000004</v>
      </c>
      <c r="AF38">
        <f t="shared" si="16"/>
        <v>29.933333333333334</v>
      </c>
      <c r="AG38">
        <f t="shared" si="17"/>
        <v>60.43333333333333</v>
      </c>
      <c r="AH38">
        <f t="shared" si="9"/>
        <v>28.161290322580644</v>
      </c>
      <c r="AI38" s="2">
        <v>58.645161289999997</v>
      </c>
      <c r="AJ38">
        <f t="shared" si="11"/>
        <v>28.161290322580644</v>
      </c>
      <c r="AK38">
        <f t="shared" si="12"/>
        <v>58.645161290322584</v>
      </c>
      <c r="AL38">
        <f t="shared" si="13"/>
        <v>2</v>
      </c>
      <c r="AM38" t="str">
        <f t="shared" si="18"/>
        <v>University of Michigan</v>
      </c>
      <c r="AN38">
        <v>0</v>
      </c>
      <c r="AO38">
        <v>14</v>
      </c>
      <c r="AP38">
        <f>VLOOKUP(D38, METADATALOOKUP!$A:$AI, 7, FALSE)</f>
        <v>62</v>
      </c>
      <c r="AQ38" t="str">
        <f>VLOOKUP(D38, METADATALOOKUP!$A:$AI, 8, FALSE)</f>
        <v>Male</v>
      </c>
      <c r="AR38" t="str">
        <f>VLOOKUP(D38, METADATALOOKUP!$A:$AI, 9, FALSE)</f>
        <v>White</v>
      </c>
      <c r="AS38" t="str">
        <f>VLOOKUP(D38, METADATALOOKUP!$A:$AI, 11, FALSE)</f>
        <v>Yes</v>
      </c>
      <c r="AT38" t="str">
        <f>VLOOKUP(D38, METADATALOOKUP!$A:$AI, 10, FALSE)</f>
        <v>Non-Hispanic</v>
      </c>
      <c r="AU38" t="str">
        <f>VLOOKUP(D38, METADATALOOKUP!$A:$AI, 12, FALSE)</f>
        <v>No</v>
      </c>
      <c r="AV38" t="str">
        <f>VLOOKUP(D38, METADATALOOKUP!$A:$AI, 14, FALSE)</f>
        <v>T4N2cM0</v>
      </c>
      <c r="AW38" t="str">
        <f>VLOOKUP(D38, METADATALOOKUP!$A:$AI, 6, FALSE)</f>
        <v>Intermediate</v>
      </c>
      <c r="AX38" t="str">
        <f>VLOOKUP(D38, METADATALOOKUP!$A:$AI, 19, FALSE)</f>
        <v>No</v>
      </c>
      <c r="AY38">
        <f>LOOKUP(D38, SURVLOOKUP!$A:$A, SURVLOOKUP!$P:$P)</f>
        <v>0</v>
      </c>
      <c r="AZ38" s="46">
        <v>5</v>
      </c>
      <c r="BA38" t="str">
        <f>TEXT(VLOOKUP(D38, METADATALOOKUP!$A:$AI, 34, FALSE), "@")</f>
        <v>0.5</v>
      </c>
      <c r="BB38" s="47" t="str">
        <f t="shared" si="14"/>
        <v>Responder</v>
      </c>
      <c r="BC38">
        <v>0.3</v>
      </c>
      <c r="BE38">
        <v>24</v>
      </c>
      <c r="BF38">
        <v>3.3333330000000001</v>
      </c>
      <c r="BG38">
        <v>46.666670000000003</v>
      </c>
      <c r="BH38">
        <v>21.8</v>
      </c>
      <c r="BI38">
        <v>1.1467890000000001</v>
      </c>
      <c r="BJ38" t="s">
        <v>220</v>
      </c>
      <c r="BK38" t="s">
        <v>221</v>
      </c>
      <c r="BL38" t="s">
        <v>222</v>
      </c>
    </row>
    <row r="39" spans="1:64" x14ac:dyDescent="0.2">
      <c r="A39" s="3" t="s">
        <v>223</v>
      </c>
      <c r="B39" t="str">
        <f>VLOOKUP(A39, IDSLOOKUP!C:E, 2, FALSE)</f>
        <v>Screen</v>
      </c>
      <c r="C39" t="str">
        <f>VLOOKUP(D39, METADATALOOKUP!$A:$AI, 13, FALSE)</f>
        <v>Oral Cavity</v>
      </c>
      <c r="D39" t="str">
        <f>VLOOKUP(A39, IDSLOOKUP!C:E, 3, FALSE)</f>
        <v>HN04-11</v>
      </c>
      <c r="E39" s="48">
        <f>VLOOKUP(A39,CFDNALOOKUP!AG:AI,2,FALSE)</f>
        <v>44091</v>
      </c>
      <c r="F39" s="48">
        <f>VLOOKUP(A39,CFDNALOOKUP!AG:AI,3,FALSE)</f>
        <v>44179</v>
      </c>
      <c r="G39" s="1">
        <f>VLOOKUP(D39, SURVLOOKUP!$A:$Q, 2, FALSE)</f>
        <v>43580</v>
      </c>
      <c r="H39" s="1">
        <f>VLOOKUP(D39, SURVLOOKUP!$A:$Q, 3, FALSE)</f>
        <v>43613</v>
      </c>
      <c r="I39" s="1">
        <f>VLOOKUP(D39, SURVLOOKUP!$A:$Q, 4, FALSE)</f>
        <v>43615</v>
      </c>
      <c r="J39" s="1">
        <f>VLOOKUP(D39, SURVLOOKUP!$A:$Q, 5, FALSE)</f>
        <v>43627</v>
      </c>
      <c r="K39" s="1">
        <f>VLOOKUP(D39, SURVLOOKUP!$A:$Q, 6, FALSE)</f>
        <v>43711</v>
      </c>
      <c r="L39" s="1">
        <f>VLOOKUP(D39, SURVLOOKUP!$A:$Q, 7, FALSE)</f>
        <v>43711</v>
      </c>
      <c r="M39" s="1">
        <f>VLOOKUP(D39, SURVLOOKUP!$A:$Q, 8, FALSE)</f>
        <v>43668</v>
      </c>
      <c r="N39" s="1">
        <f>VLOOKUP(D39, SURVLOOKUP!$A:$Q, 9, FALSE)</f>
        <v>43773</v>
      </c>
      <c r="O39" s="1" t="str">
        <f>VLOOKUP(D39, SURVLOOKUP!$A:$Q, 10, FALSE)</f>
        <v>NA</v>
      </c>
      <c r="P39" s="1">
        <f>VLOOKUP(D39, OLDSURVLOOKUP!$A:$AA, 19, FALSE)</f>
        <v>44309</v>
      </c>
      <c r="Q39" s="1">
        <f>VLOOKUP(D39, SURVLOOKUP!$A:$Q, 11, FALSE)</f>
        <v>45609</v>
      </c>
      <c r="R39" s="1"/>
      <c r="S39" s="1"/>
      <c r="T39" s="1"/>
      <c r="U39" s="1"/>
      <c r="V39">
        <f>_xlfn.XLOOKUP(D39, OLDSURVLOOKUP!$A:$A, OLDSURVLOOKUP!V:V)</f>
        <v>0</v>
      </c>
      <c r="W39">
        <f>VLOOKUP(D39, SURVLOOKUP!$A:$Q, 14, FALSE)</f>
        <v>0</v>
      </c>
      <c r="X39">
        <f>_xlfn.XLOOKUP(D39, OLDSURVLOOKUP!$A:$A, OLDSURVLOOKUP!X:X)</f>
        <v>0</v>
      </c>
      <c r="Y39">
        <f>VLOOKUP(D39, SURVLOOKUP!$A:$Q, 15, FALSE)</f>
        <v>0</v>
      </c>
      <c r="Z39">
        <f t="shared" si="4"/>
        <v>22.774193548387096</v>
      </c>
      <c r="AA39">
        <f t="shared" si="5"/>
        <v>65.451612903225808</v>
      </c>
      <c r="AB39">
        <f t="shared" si="6"/>
        <v>22.774193548387096</v>
      </c>
      <c r="AC39">
        <f t="shared" si="7"/>
        <v>65.451612903225808</v>
      </c>
      <c r="AD39">
        <f t="shared" si="8"/>
        <v>22.4</v>
      </c>
      <c r="AE39">
        <f t="shared" ref="AE39:AE61" si="19">IF(W39=0, DATEDIF(J39,Q39,"M")+DATEDIF(J39,Q39,"MD")/DAY(EOMONTH(J39,0)), DATEDIF(J39,S39,"M")+DATEDIF(J39,S39,"MD")/DAY(EOMONTH(J39,0)))</f>
        <v>65.066666666666663</v>
      </c>
      <c r="AF39">
        <f t="shared" si="16"/>
        <v>22.4</v>
      </c>
      <c r="AG39">
        <f t="shared" si="17"/>
        <v>65.066666666666663</v>
      </c>
      <c r="AH39">
        <f t="shared" si="9"/>
        <v>21.032258064516128</v>
      </c>
      <c r="AI39">
        <f t="shared" si="10"/>
        <v>63.70967741935484</v>
      </c>
      <c r="AJ39">
        <f t="shared" si="11"/>
        <v>21.032258064516128</v>
      </c>
      <c r="AK39">
        <f t="shared" si="12"/>
        <v>63.70967741935484</v>
      </c>
      <c r="AL39">
        <f t="shared" si="13"/>
        <v>2</v>
      </c>
      <c r="AM39" t="str">
        <f t="shared" si="18"/>
        <v>University of Michigan</v>
      </c>
      <c r="AN39">
        <v>1</v>
      </c>
      <c r="AO39">
        <v>15</v>
      </c>
      <c r="AP39">
        <f>VLOOKUP(D39, METADATALOOKUP!$A:$AI, 7, FALSE)</f>
        <v>59</v>
      </c>
      <c r="AQ39" t="str">
        <f>VLOOKUP(D39, METADATALOOKUP!$A:$AI, 8, FALSE)</f>
        <v>Female</v>
      </c>
      <c r="AR39" t="str">
        <f>VLOOKUP(D39, METADATALOOKUP!$A:$AI, 9, FALSE)</f>
        <v>White</v>
      </c>
      <c r="AS39" t="str">
        <f>VLOOKUP(D39, METADATALOOKUP!$A:$AI, 11, FALSE)</f>
        <v>Yes</v>
      </c>
      <c r="AT39" t="str">
        <f>VLOOKUP(D39, METADATALOOKUP!$A:$AI, 10, FALSE)</f>
        <v>Non-Hispanic</v>
      </c>
      <c r="AU39" t="str">
        <f>VLOOKUP(D39, METADATALOOKUP!$A:$AI, 12, FALSE)</f>
        <v>No</v>
      </c>
      <c r="AV39" t="str">
        <f>VLOOKUP(D39, METADATALOOKUP!$A:$AI, 14, FALSE)</f>
        <v>T4aN2cM0</v>
      </c>
      <c r="AW39" t="str">
        <f>VLOOKUP(D39, METADATALOOKUP!$A:$AI, 6, FALSE)</f>
        <v>Intermediate</v>
      </c>
      <c r="AX39" t="str">
        <f>VLOOKUP(D39, METADATALOOKUP!$A:$AI, 19, FALSE)</f>
        <v>Unknown</v>
      </c>
      <c r="AY39">
        <f>LOOKUP(D39, SURVLOOKUP!$A:$A, SURVLOOKUP!$P:$P)</f>
        <v>0</v>
      </c>
      <c r="AZ39" s="46">
        <v>1</v>
      </c>
      <c r="BA39" t="str">
        <f>TEXT(VLOOKUP(D39, METADATALOOKUP!$A:$AI, 34, FALSE), "@")</f>
        <v>0.1</v>
      </c>
      <c r="BB39" s="47" t="str">
        <f t="shared" si="14"/>
        <v>Responder</v>
      </c>
      <c r="BC39">
        <v>1.27</v>
      </c>
      <c r="BE39">
        <v>24</v>
      </c>
      <c r="BF39">
        <v>0.78740200000000005</v>
      </c>
      <c r="BG39">
        <v>49.212600000000002</v>
      </c>
      <c r="BH39">
        <v>10.1</v>
      </c>
      <c r="BI39">
        <v>2.4752480000000001</v>
      </c>
      <c r="BJ39" t="s">
        <v>225</v>
      </c>
      <c r="BK39" t="s">
        <v>226</v>
      </c>
      <c r="BL39" t="s">
        <v>227</v>
      </c>
    </row>
    <row r="40" spans="1:64" x14ac:dyDescent="0.2">
      <c r="A40" s="3" t="s">
        <v>228</v>
      </c>
      <c r="B40" t="str">
        <f>VLOOKUP(A40, IDSLOOKUP!C:E, 2, FALSE)</f>
        <v>Day 0</v>
      </c>
      <c r="C40" t="str">
        <f>VLOOKUP(D40, METADATALOOKUP!$A:$AI, 13, FALSE)</f>
        <v>Oral Cavity</v>
      </c>
      <c r="D40" t="str">
        <f>VLOOKUP(A40, IDSLOOKUP!C:E, 3, FALSE)</f>
        <v>HN04-11</v>
      </c>
      <c r="E40" s="48">
        <f>VLOOKUP(A40,CFDNALOOKUP!AG:AI,2,FALSE)</f>
        <v>44091</v>
      </c>
      <c r="F40" s="48">
        <f>VLOOKUP(A40,CFDNALOOKUP!AG:AI,3,FALSE)</f>
        <v>44179</v>
      </c>
      <c r="G40" s="1">
        <f>VLOOKUP(D40, SURVLOOKUP!$A:$Q, 2, FALSE)</f>
        <v>43580</v>
      </c>
      <c r="H40" s="1">
        <f>VLOOKUP(D40, SURVLOOKUP!$A:$Q, 3, FALSE)</f>
        <v>43613</v>
      </c>
      <c r="I40" s="1">
        <f>VLOOKUP(D40, SURVLOOKUP!$A:$Q, 4, FALSE)</f>
        <v>43615</v>
      </c>
      <c r="J40" s="1">
        <f>VLOOKUP(D40, SURVLOOKUP!$A:$Q, 5, FALSE)</f>
        <v>43627</v>
      </c>
      <c r="K40" s="1">
        <f>VLOOKUP(D40, SURVLOOKUP!$A:$Q, 6, FALSE)</f>
        <v>43711</v>
      </c>
      <c r="L40" s="1">
        <f>VLOOKUP(D40, SURVLOOKUP!$A:$Q, 7, FALSE)</f>
        <v>43711</v>
      </c>
      <c r="M40" s="1">
        <f>VLOOKUP(D40, SURVLOOKUP!$A:$Q, 8, FALSE)</f>
        <v>43668</v>
      </c>
      <c r="N40" s="1">
        <f>VLOOKUP(D40, SURVLOOKUP!$A:$Q, 9, FALSE)</f>
        <v>43773</v>
      </c>
      <c r="O40" s="1" t="str">
        <f>VLOOKUP(D40, SURVLOOKUP!$A:$Q, 10, FALSE)</f>
        <v>NA</v>
      </c>
      <c r="P40" s="1">
        <f>VLOOKUP(D40, OLDSURVLOOKUP!$A:$AA, 19, FALSE)</f>
        <v>44309</v>
      </c>
      <c r="Q40" s="1">
        <f>VLOOKUP(D40, SURVLOOKUP!$A:$Q, 11, FALSE)</f>
        <v>45609</v>
      </c>
      <c r="R40" s="1"/>
      <c r="S40" s="1"/>
      <c r="T40" s="1"/>
      <c r="U40" s="1"/>
      <c r="V40">
        <f>_xlfn.XLOOKUP(D40, OLDSURVLOOKUP!$A:$A, OLDSURVLOOKUP!V:V)</f>
        <v>0</v>
      </c>
      <c r="W40">
        <f>VLOOKUP(D40, SURVLOOKUP!$A:$Q, 14, FALSE)</f>
        <v>0</v>
      </c>
      <c r="X40">
        <f>_xlfn.XLOOKUP(D40, OLDSURVLOOKUP!$A:$A, OLDSURVLOOKUP!X:X)</f>
        <v>0</v>
      </c>
      <c r="Y40">
        <f>VLOOKUP(D40, SURVLOOKUP!$A:$Q, 15, FALSE)</f>
        <v>0</v>
      </c>
      <c r="Z40">
        <f t="shared" si="4"/>
        <v>22.774193548387096</v>
      </c>
      <c r="AA40">
        <f t="shared" si="5"/>
        <v>65.451612903225808</v>
      </c>
      <c r="AB40">
        <f t="shared" si="6"/>
        <v>22.774193548387096</v>
      </c>
      <c r="AC40">
        <f t="shared" si="7"/>
        <v>65.451612903225808</v>
      </c>
      <c r="AD40">
        <f t="shared" si="8"/>
        <v>22.4</v>
      </c>
      <c r="AE40">
        <f t="shared" si="19"/>
        <v>65.066666666666663</v>
      </c>
      <c r="AF40">
        <f t="shared" si="16"/>
        <v>22.4</v>
      </c>
      <c r="AG40">
        <f t="shared" si="17"/>
        <v>65.066666666666663</v>
      </c>
      <c r="AH40">
        <f t="shared" si="9"/>
        <v>21.032258064516128</v>
      </c>
      <c r="AI40">
        <f t="shared" si="10"/>
        <v>63.70967741935484</v>
      </c>
      <c r="AJ40">
        <f t="shared" si="11"/>
        <v>21.032258064516128</v>
      </c>
      <c r="AK40">
        <f t="shared" si="12"/>
        <v>63.70967741935484</v>
      </c>
      <c r="AL40">
        <f t="shared" si="13"/>
        <v>2</v>
      </c>
      <c r="AM40" t="str">
        <f t="shared" si="18"/>
        <v>University of Michigan</v>
      </c>
      <c r="AN40">
        <v>1</v>
      </c>
      <c r="AO40">
        <v>15</v>
      </c>
      <c r="AP40">
        <f>VLOOKUP(D40, METADATALOOKUP!$A:$AI, 7, FALSE)</f>
        <v>59</v>
      </c>
      <c r="AQ40" t="str">
        <f>VLOOKUP(D40, METADATALOOKUP!$A:$AI, 8, FALSE)</f>
        <v>Female</v>
      </c>
      <c r="AR40" t="str">
        <f>VLOOKUP(D40, METADATALOOKUP!$A:$AI, 9, FALSE)</f>
        <v>White</v>
      </c>
      <c r="AS40" t="str">
        <f>VLOOKUP(D40, METADATALOOKUP!$A:$AI, 11, FALSE)</f>
        <v>Yes</v>
      </c>
      <c r="AT40" t="str">
        <f>VLOOKUP(D40, METADATALOOKUP!$A:$AI, 10, FALSE)</f>
        <v>Non-Hispanic</v>
      </c>
      <c r="AU40" t="str">
        <f>VLOOKUP(D40, METADATALOOKUP!$A:$AI, 12, FALSE)</f>
        <v>No</v>
      </c>
      <c r="AV40" t="str">
        <f>VLOOKUP(D40, METADATALOOKUP!$A:$AI, 14, FALSE)</f>
        <v>T4aN2cM0</v>
      </c>
      <c r="AW40" t="str">
        <f>VLOOKUP(D40, METADATALOOKUP!$A:$AI, 6, FALSE)</f>
        <v>Intermediate</v>
      </c>
      <c r="AX40" t="str">
        <f>VLOOKUP(D40, METADATALOOKUP!$A:$AI, 19, FALSE)</f>
        <v>Unknown</v>
      </c>
      <c r="AY40">
        <f>LOOKUP(D40, SURVLOOKUP!$A:$A, SURVLOOKUP!$P:$P)</f>
        <v>0</v>
      </c>
      <c r="AZ40" s="46">
        <v>1</v>
      </c>
      <c r="BA40" t="str">
        <f>TEXT(VLOOKUP(D40, METADATALOOKUP!$A:$AI, 34, FALSE), "@")</f>
        <v>0.1</v>
      </c>
      <c r="BB40" s="47" t="str">
        <f t="shared" si="14"/>
        <v>Responder</v>
      </c>
      <c r="BC40">
        <v>1.04</v>
      </c>
      <c r="BE40">
        <v>24</v>
      </c>
      <c r="BF40">
        <v>0.961538</v>
      </c>
      <c r="BG40">
        <v>49.038460000000001</v>
      </c>
      <c r="BH40">
        <v>10.3</v>
      </c>
      <c r="BI40">
        <v>2.427184</v>
      </c>
      <c r="BJ40" t="s">
        <v>137</v>
      </c>
      <c r="BK40" t="s">
        <v>138</v>
      </c>
      <c r="BL40" t="s">
        <v>139</v>
      </c>
    </row>
    <row r="41" spans="1:64" x14ac:dyDescent="0.2">
      <c r="A41" s="3" t="s">
        <v>229</v>
      </c>
      <c r="B41" t="str">
        <f>VLOOKUP(A41, IDSLOOKUP!C:E, 2, FALSE)</f>
        <v>Adj Wk 1</v>
      </c>
      <c r="C41" t="str">
        <f>VLOOKUP(D41, METADATALOOKUP!$A:$AI, 13, FALSE)</f>
        <v>Oral Cavity</v>
      </c>
      <c r="D41" t="str">
        <f>VLOOKUP(A41, IDSLOOKUP!C:E, 3, FALSE)</f>
        <v>HN04-11</v>
      </c>
      <c r="E41" s="48">
        <f>VLOOKUP(A41,CFDNALOOKUP!AG:AI,2,FALSE)</f>
        <v>44091</v>
      </c>
      <c r="F41" s="48">
        <f>VLOOKUP(A41,CFDNALOOKUP!AG:AI,3,FALSE)</f>
        <v>44180</v>
      </c>
      <c r="G41" s="1">
        <f>VLOOKUP(D41, SURVLOOKUP!$A:$Q, 2, FALSE)</f>
        <v>43580</v>
      </c>
      <c r="H41" s="1">
        <f>VLOOKUP(D41, SURVLOOKUP!$A:$Q, 3, FALSE)</f>
        <v>43613</v>
      </c>
      <c r="I41" s="1">
        <f>VLOOKUP(D41, SURVLOOKUP!$A:$Q, 4, FALSE)</f>
        <v>43615</v>
      </c>
      <c r="J41" s="1">
        <f>VLOOKUP(D41, SURVLOOKUP!$A:$Q, 5, FALSE)</f>
        <v>43627</v>
      </c>
      <c r="K41" s="1">
        <f>VLOOKUP(D41, SURVLOOKUP!$A:$Q, 6, FALSE)</f>
        <v>43711</v>
      </c>
      <c r="L41" s="1">
        <f>VLOOKUP(D41, SURVLOOKUP!$A:$Q, 7, FALSE)</f>
        <v>43711</v>
      </c>
      <c r="M41" s="1">
        <f>VLOOKUP(D41, SURVLOOKUP!$A:$Q, 8, FALSE)</f>
        <v>43668</v>
      </c>
      <c r="N41" s="1">
        <f>VLOOKUP(D41, SURVLOOKUP!$A:$Q, 9, FALSE)</f>
        <v>43773</v>
      </c>
      <c r="O41" s="1" t="str">
        <f>VLOOKUP(D41, SURVLOOKUP!$A:$Q, 10, FALSE)</f>
        <v>NA</v>
      </c>
      <c r="P41" s="1">
        <f>VLOOKUP(D41, OLDSURVLOOKUP!$A:$AA, 19, FALSE)</f>
        <v>44309</v>
      </c>
      <c r="Q41" s="1">
        <f>VLOOKUP(D41, SURVLOOKUP!$A:$Q, 11, FALSE)</f>
        <v>45609</v>
      </c>
      <c r="R41" s="1"/>
      <c r="S41" s="1"/>
      <c r="T41" s="1"/>
      <c r="U41" s="1"/>
      <c r="V41">
        <f>_xlfn.XLOOKUP(D41, OLDSURVLOOKUP!$A:$A, OLDSURVLOOKUP!V:V)</f>
        <v>0</v>
      </c>
      <c r="W41">
        <f>VLOOKUP(D41, SURVLOOKUP!$A:$Q, 14, FALSE)</f>
        <v>0</v>
      </c>
      <c r="X41">
        <f>_xlfn.XLOOKUP(D41, OLDSURVLOOKUP!$A:$A, OLDSURVLOOKUP!X:X)</f>
        <v>0</v>
      </c>
      <c r="Y41">
        <f>VLOOKUP(D41, SURVLOOKUP!$A:$Q, 15, FALSE)</f>
        <v>0</v>
      </c>
      <c r="Z41">
        <f t="shared" si="4"/>
        <v>22.774193548387096</v>
      </c>
      <c r="AA41">
        <f t="shared" si="5"/>
        <v>65.451612903225808</v>
      </c>
      <c r="AB41">
        <f t="shared" si="6"/>
        <v>22.774193548387096</v>
      </c>
      <c r="AC41">
        <f t="shared" si="7"/>
        <v>65.451612903225808</v>
      </c>
      <c r="AD41">
        <f t="shared" si="8"/>
        <v>22.4</v>
      </c>
      <c r="AE41">
        <f t="shared" si="19"/>
        <v>65.066666666666663</v>
      </c>
      <c r="AF41">
        <f t="shared" si="16"/>
        <v>22.4</v>
      </c>
      <c r="AG41">
        <f t="shared" si="17"/>
        <v>65.066666666666663</v>
      </c>
      <c r="AH41">
        <f t="shared" si="9"/>
        <v>21.032258064516128</v>
      </c>
      <c r="AI41">
        <f t="shared" si="10"/>
        <v>63.70967741935484</v>
      </c>
      <c r="AJ41">
        <f t="shared" si="11"/>
        <v>21.032258064516128</v>
      </c>
      <c r="AK41">
        <f t="shared" si="12"/>
        <v>63.70967741935484</v>
      </c>
      <c r="AL41">
        <f t="shared" si="13"/>
        <v>2</v>
      </c>
      <c r="AM41" t="str">
        <f t="shared" si="18"/>
        <v>University of Michigan</v>
      </c>
      <c r="AN41">
        <v>1</v>
      </c>
      <c r="AO41">
        <v>15</v>
      </c>
      <c r="AP41">
        <f>VLOOKUP(D41, METADATALOOKUP!$A:$AI, 7, FALSE)</f>
        <v>59</v>
      </c>
      <c r="AQ41" t="str">
        <f>VLOOKUP(D41, METADATALOOKUP!$A:$AI, 8, FALSE)</f>
        <v>Female</v>
      </c>
      <c r="AR41" t="str">
        <f>VLOOKUP(D41, METADATALOOKUP!$A:$AI, 9, FALSE)</f>
        <v>White</v>
      </c>
      <c r="AS41" t="str">
        <f>VLOOKUP(D41, METADATALOOKUP!$A:$AI, 11, FALSE)</f>
        <v>Yes</v>
      </c>
      <c r="AT41" t="str">
        <f>VLOOKUP(D41, METADATALOOKUP!$A:$AI, 10, FALSE)</f>
        <v>Non-Hispanic</v>
      </c>
      <c r="AU41" t="str">
        <f>VLOOKUP(D41, METADATALOOKUP!$A:$AI, 12, FALSE)</f>
        <v>No</v>
      </c>
      <c r="AV41" t="str">
        <f>VLOOKUP(D41, METADATALOOKUP!$A:$AI, 14, FALSE)</f>
        <v>T4aN2cM0</v>
      </c>
      <c r="AW41" t="str">
        <f>VLOOKUP(D41, METADATALOOKUP!$A:$AI, 6, FALSE)</f>
        <v>Intermediate</v>
      </c>
      <c r="AX41" t="str">
        <f>VLOOKUP(D41, METADATALOOKUP!$A:$AI, 19, FALSE)</f>
        <v>Unknown</v>
      </c>
      <c r="AY41">
        <f>LOOKUP(D41, SURVLOOKUP!$A:$A, SURVLOOKUP!$P:$P)</f>
        <v>0</v>
      </c>
      <c r="AZ41" s="46">
        <v>1</v>
      </c>
      <c r="BA41" t="str">
        <f>TEXT(VLOOKUP(D41, METADATALOOKUP!$A:$AI, 34, FALSE), "@")</f>
        <v>0.1</v>
      </c>
      <c r="BB41" s="47" t="str">
        <f t="shared" si="14"/>
        <v>Responder</v>
      </c>
      <c r="BC41">
        <v>0.32400000000000001</v>
      </c>
      <c r="BE41">
        <v>24</v>
      </c>
      <c r="BF41">
        <v>3.0864199999999999</v>
      </c>
      <c r="BG41">
        <v>46.913580000000003</v>
      </c>
      <c r="BH41">
        <v>14.3</v>
      </c>
      <c r="BI41">
        <v>1.7482519999999999</v>
      </c>
      <c r="BJ41" t="s">
        <v>230</v>
      </c>
      <c r="BK41" t="s">
        <v>231</v>
      </c>
      <c r="BL41" t="s">
        <v>232</v>
      </c>
    </row>
    <row r="42" spans="1:64" x14ac:dyDescent="0.2">
      <c r="A42" s="3" t="s">
        <v>233</v>
      </c>
      <c r="B42" t="str">
        <f>VLOOKUP(A42, IDSLOOKUP!C:E, 2, FALSE)</f>
        <v>Screen</v>
      </c>
      <c r="C42" t="str">
        <f>VLOOKUP(D42, METADATALOOKUP!$A:$AI, 13, FALSE)</f>
        <v>Oral Cavity</v>
      </c>
      <c r="D42" t="str">
        <f>VLOOKUP(A42, IDSLOOKUP!C:E, 3, FALSE)</f>
        <v>HN04-14</v>
      </c>
      <c r="E42" s="48">
        <f>VLOOKUP(A42,CFDNALOOKUP!AG:AI,2,FALSE)</f>
        <v>44091</v>
      </c>
      <c r="F42" s="48">
        <f>VLOOKUP(A42,CFDNALOOKUP!AG:AI,3,FALSE)</f>
        <v>44180</v>
      </c>
      <c r="G42" s="1">
        <f>VLOOKUP(D42, SURVLOOKUP!$A:$Q, 2, FALSE)</f>
        <v>43721</v>
      </c>
      <c r="H42" s="1">
        <f>VLOOKUP(D42, SURVLOOKUP!$A:$Q, 3, FALSE)</f>
        <v>43774</v>
      </c>
      <c r="I42" s="1">
        <f>VLOOKUP(D42, SURVLOOKUP!$A:$Q, 4, FALSE)</f>
        <v>43795</v>
      </c>
      <c r="J42" s="1">
        <f>VLOOKUP(D42, SURVLOOKUP!$A:$Q, 5, FALSE)</f>
        <v>43802</v>
      </c>
      <c r="K42" s="1">
        <f>VLOOKUP(D42, SURVLOOKUP!$A:$Q, 6, FALSE)</f>
        <v>43837</v>
      </c>
      <c r="L42" s="1">
        <f>VLOOKUP(D42, SURVLOOKUP!$A:$Q, 7, FALSE)</f>
        <v>43880</v>
      </c>
      <c r="M42" s="1">
        <f>VLOOKUP(D42, SURVLOOKUP!$A:$Q, 8, FALSE)</f>
        <v>43830</v>
      </c>
      <c r="N42" s="1">
        <f>VLOOKUP(D42, SURVLOOKUP!$A:$Q, 9, FALSE)</f>
        <v>43925</v>
      </c>
      <c r="O42" s="1" t="str">
        <f>VLOOKUP(D42, SURVLOOKUP!$A:$Q, 10, FALSE)</f>
        <v>NA</v>
      </c>
      <c r="P42" s="1">
        <f>VLOOKUP(D42, OLDSURVLOOKUP!$A:$AA, 19, FALSE)</f>
        <v>44327</v>
      </c>
      <c r="Q42" s="1">
        <f>VLOOKUP(D42, SURVLOOKUP!$A:$Q, 11, FALSE)</f>
        <v>45678</v>
      </c>
      <c r="R42" s="1"/>
      <c r="S42" s="1"/>
      <c r="T42" s="1"/>
      <c r="U42" s="1"/>
      <c r="V42">
        <f>_xlfn.XLOOKUP(D42, OLDSURVLOOKUP!$A:$A, OLDSURVLOOKUP!V:V)</f>
        <v>0</v>
      </c>
      <c r="W42">
        <f>VLOOKUP(D42, SURVLOOKUP!$A:$Q, 14, FALSE)</f>
        <v>0</v>
      </c>
      <c r="X42">
        <f>_xlfn.XLOOKUP(D42, OLDSURVLOOKUP!$A:$A, OLDSURVLOOKUP!X:X)</f>
        <v>0</v>
      </c>
      <c r="Y42">
        <f>VLOOKUP(D42, SURVLOOKUP!$A:$Q, 15, FALSE)</f>
        <v>0</v>
      </c>
      <c r="Z42">
        <f t="shared" si="4"/>
        <v>17.5</v>
      </c>
      <c r="AA42">
        <f t="shared" si="5"/>
        <v>61.866666666666667</v>
      </c>
      <c r="AB42">
        <f t="shared" si="6"/>
        <v>17.5</v>
      </c>
      <c r="AC42">
        <f t="shared" si="7"/>
        <v>61.866666666666667</v>
      </c>
      <c r="AD42">
        <f t="shared" si="8"/>
        <v>17.258064516129032</v>
      </c>
      <c r="AE42">
        <f t="shared" si="19"/>
        <v>61.58064516129032</v>
      </c>
      <c r="AF42">
        <f t="shared" si="16"/>
        <v>17.258064516129032</v>
      </c>
      <c r="AG42">
        <f t="shared" si="17"/>
        <v>61.58064516129032</v>
      </c>
      <c r="AH42">
        <f t="shared" si="9"/>
        <v>16.322580645161292</v>
      </c>
      <c r="AI42">
        <f t="shared" si="10"/>
        <v>60.677419354838712</v>
      </c>
      <c r="AJ42">
        <f t="shared" si="11"/>
        <v>16.322580645161292</v>
      </c>
      <c r="AK42">
        <f t="shared" si="12"/>
        <v>60.677419354838712</v>
      </c>
      <c r="AL42">
        <f t="shared" si="13"/>
        <v>2</v>
      </c>
      <c r="AM42" t="str">
        <f t="shared" si="18"/>
        <v>University of Michigan</v>
      </c>
      <c r="AN42">
        <v>1</v>
      </c>
      <c r="AO42">
        <v>16</v>
      </c>
      <c r="AP42">
        <f>VLOOKUP(D42, METADATALOOKUP!$A:$AI, 7, FALSE)</f>
        <v>44</v>
      </c>
      <c r="AQ42" t="str">
        <f>VLOOKUP(D42, METADATALOOKUP!$A:$AI, 8, FALSE)</f>
        <v>Male</v>
      </c>
      <c r="AR42" t="str">
        <f>VLOOKUP(D42, METADATALOOKUP!$A:$AI, 9, FALSE)</f>
        <v>White</v>
      </c>
      <c r="AS42" t="str">
        <f>VLOOKUP(D42, METADATALOOKUP!$A:$AI, 11, FALSE)</f>
        <v>Yes</v>
      </c>
      <c r="AT42" t="str">
        <f>VLOOKUP(D42, METADATALOOKUP!$A:$AI, 10, FALSE)</f>
        <v>Non-Hispanic</v>
      </c>
      <c r="AU42" t="str">
        <f>VLOOKUP(D42, METADATALOOKUP!$A:$AI, 12, FALSE)</f>
        <v>No</v>
      </c>
      <c r="AV42" t="str">
        <f>VLOOKUP(D42, METADATALOOKUP!$A:$AI, 14, FALSE)</f>
        <v>T4aN1M0</v>
      </c>
      <c r="AW42" t="str">
        <f>VLOOKUP(D42, METADATALOOKUP!$A:$AI, 6, FALSE)</f>
        <v>Intermediate</v>
      </c>
      <c r="AX42" t="str">
        <f>VLOOKUP(D42, METADATALOOKUP!$A:$AI, 19, FALSE)</f>
        <v>No</v>
      </c>
      <c r="AY42">
        <f>LOOKUP(D42, SURVLOOKUP!$A:$A, SURVLOOKUP!$P:$P)</f>
        <v>1</v>
      </c>
      <c r="AZ42" s="46">
        <v>1</v>
      </c>
      <c r="BA42" t="str">
        <f>TEXT(VLOOKUP(D42, METADATALOOKUP!$A:$AI, 34, FALSE), "@")</f>
        <v>10-20%</v>
      </c>
      <c r="BB42" s="47" t="str">
        <f t="shared" si="14"/>
        <v>Responder</v>
      </c>
      <c r="BC42">
        <v>0.28000000000000003</v>
      </c>
      <c r="BE42">
        <v>24</v>
      </c>
      <c r="BF42">
        <v>3.5714290000000002</v>
      </c>
      <c r="BG42">
        <v>46.428570000000001</v>
      </c>
      <c r="BH42">
        <v>13.8</v>
      </c>
      <c r="BI42">
        <v>1.8115939999999999</v>
      </c>
      <c r="BJ42" t="s">
        <v>236</v>
      </c>
      <c r="BK42" t="s">
        <v>237</v>
      </c>
      <c r="BL42" t="s">
        <v>238</v>
      </c>
    </row>
    <row r="43" spans="1:64" x14ac:dyDescent="0.2">
      <c r="A43" s="3" t="s">
        <v>239</v>
      </c>
      <c r="B43" t="str">
        <f>VLOOKUP(A43, IDSLOOKUP!C:E, 2, FALSE)</f>
        <v>Adj Wk 1</v>
      </c>
      <c r="C43" t="str">
        <f>VLOOKUP(D43, METADATALOOKUP!$A:$AI, 13, FALSE)</f>
        <v>Oral Cavity</v>
      </c>
      <c r="D43" t="str">
        <f>VLOOKUP(A43, IDSLOOKUP!C:E, 3, FALSE)</f>
        <v>HN04-14</v>
      </c>
      <c r="E43" s="48">
        <f>VLOOKUP(A43,CFDNALOOKUP!AG:AI,2,FALSE)</f>
        <v>44091</v>
      </c>
      <c r="F43" s="48">
        <f>VLOOKUP(A43,CFDNALOOKUP!AG:AI,3,FALSE)</f>
        <v>44179</v>
      </c>
      <c r="G43" s="1">
        <f>VLOOKUP(D43, SURVLOOKUP!$A:$Q, 2, FALSE)</f>
        <v>43721</v>
      </c>
      <c r="H43" s="1">
        <f>VLOOKUP(D43, SURVLOOKUP!$A:$Q, 3, FALSE)</f>
        <v>43774</v>
      </c>
      <c r="I43" s="1">
        <f>VLOOKUP(D43, SURVLOOKUP!$A:$Q, 4, FALSE)</f>
        <v>43795</v>
      </c>
      <c r="J43" s="1">
        <f>VLOOKUP(D43, SURVLOOKUP!$A:$Q, 5, FALSE)</f>
        <v>43802</v>
      </c>
      <c r="K43" s="1">
        <f>VLOOKUP(D43, SURVLOOKUP!$A:$Q, 6, FALSE)</f>
        <v>43837</v>
      </c>
      <c r="L43" s="1">
        <f>VLOOKUP(D43, SURVLOOKUP!$A:$Q, 7, FALSE)</f>
        <v>43880</v>
      </c>
      <c r="M43" s="1">
        <f>VLOOKUP(D43, SURVLOOKUP!$A:$Q, 8, FALSE)</f>
        <v>43830</v>
      </c>
      <c r="N43" s="1">
        <f>VLOOKUP(D43, SURVLOOKUP!$A:$Q, 9, FALSE)</f>
        <v>43925</v>
      </c>
      <c r="O43" s="1" t="str">
        <f>VLOOKUP(D43, SURVLOOKUP!$A:$Q, 10, FALSE)</f>
        <v>NA</v>
      </c>
      <c r="P43" s="1">
        <f>VLOOKUP(D43, OLDSURVLOOKUP!$A:$AA, 19, FALSE)</f>
        <v>44327</v>
      </c>
      <c r="Q43" s="1">
        <f>VLOOKUP(D43, SURVLOOKUP!$A:$Q, 11, FALSE)</f>
        <v>45678</v>
      </c>
      <c r="R43" s="1"/>
      <c r="S43" s="1"/>
      <c r="T43" s="1"/>
      <c r="U43" s="1"/>
      <c r="V43">
        <f>_xlfn.XLOOKUP(D43, OLDSURVLOOKUP!$A:$A, OLDSURVLOOKUP!V:V)</f>
        <v>0</v>
      </c>
      <c r="W43">
        <f>VLOOKUP(D43, SURVLOOKUP!$A:$Q, 14, FALSE)</f>
        <v>0</v>
      </c>
      <c r="X43">
        <f>_xlfn.XLOOKUP(D43, OLDSURVLOOKUP!$A:$A, OLDSURVLOOKUP!X:X)</f>
        <v>0</v>
      </c>
      <c r="Y43">
        <f>VLOOKUP(D43, SURVLOOKUP!$A:$Q, 15, FALSE)</f>
        <v>0</v>
      </c>
      <c r="Z43">
        <f t="shared" si="4"/>
        <v>17.5</v>
      </c>
      <c r="AA43">
        <f t="shared" si="5"/>
        <v>61.866666666666667</v>
      </c>
      <c r="AB43">
        <f t="shared" si="6"/>
        <v>17.5</v>
      </c>
      <c r="AC43">
        <f t="shared" si="7"/>
        <v>61.866666666666667</v>
      </c>
      <c r="AD43">
        <f t="shared" si="8"/>
        <v>17.258064516129032</v>
      </c>
      <c r="AE43">
        <f t="shared" si="19"/>
        <v>61.58064516129032</v>
      </c>
      <c r="AF43">
        <f t="shared" si="16"/>
        <v>17.258064516129032</v>
      </c>
      <c r="AG43">
        <f t="shared" si="17"/>
        <v>61.58064516129032</v>
      </c>
      <c r="AH43">
        <f t="shared" si="9"/>
        <v>16.322580645161292</v>
      </c>
      <c r="AI43">
        <f t="shared" si="10"/>
        <v>60.677419354838712</v>
      </c>
      <c r="AJ43">
        <f t="shared" si="11"/>
        <v>16.322580645161292</v>
      </c>
      <c r="AK43">
        <f t="shared" si="12"/>
        <v>60.677419354838712</v>
      </c>
      <c r="AL43">
        <f t="shared" si="13"/>
        <v>2</v>
      </c>
      <c r="AM43" t="str">
        <f t="shared" si="18"/>
        <v>University of Michigan</v>
      </c>
      <c r="AN43">
        <v>1</v>
      </c>
      <c r="AO43">
        <v>16</v>
      </c>
      <c r="AP43">
        <f>VLOOKUP(D43, METADATALOOKUP!$A:$AI, 7, FALSE)</f>
        <v>44</v>
      </c>
      <c r="AQ43" t="str">
        <f>VLOOKUP(D43, METADATALOOKUP!$A:$AI, 8, FALSE)</f>
        <v>Male</v>
      </c>
      <c r="AR43" t="str">
        <f>VLOOKUP(D43, METADATALOOKUP!$A:$AI, 9, FALSE)</f>
        <v>White</v>
      </c>
      <c r="AS43" t="str">
        <f>VLOOKUP(D43, METADATALOOKUP!$A:$AI, 11, FALSE)</f>
        <v>Yes</v>
      </c>
      <c r="AT43" t="str">
        <f>VLOOKUP(D43, METADATALOOKUP!$A:$AI, 10, FALSE)</f>
        <v>Non-Hispanic</v>
      </c>
      <c r="AU43" t="str">
        <f>VLOOKUP(D43, METADATALOOKUP!$A:$AI, 12, FALSE)</f>
        <v>No</v>
      </c>
      <c r="AV43" t="str">
        <f>VLOOKUP(D43, METADATALOOKUP!$A:$AI, 14, FALSE)</f>
        <v>T4aN1M0</v>
      </c>
      <c r="AW43" t="str">
        <f>VLOOKUP(D43, METADATALOOKUP!$A:$AI, 6, FALSE)</f>
        <v>Intermediate</v>
      </c>
      <c r="AX43" t="str">
        <f>VLOOKUP(D43, METADATALOOKUP!$A:$AI, 19, FALSE)</f>
        <v>No</v>
      </c>
      <c r="AY43">
        <f>LOOKUP(D43, SURVLOOKUP!$A:$A, SURVLOOKUP!$P:$P)</f>
        <v>1</v>
      </c>
      <c r="AZ43" s="46">
        <v>1</v>
      </c>
      <c r="BA43" t="str">
        <f>TEXT(VLOOKUP(D43, METADATALOOKUP!$A:$AI, 34, FALSE), "@")</f>
        <v>10-20%</v>
      </c>
      <c r="BB43" s="47" t="str">
        <f t="shared" si="14"/>
        <v>Responder</v>
      </c>
      <c r="BC43">
        <v>0.23400000000000001</v>
      </c>
      <c r="BE43">
        <v>24</v>
      </c>
      <c r="BF43">
        <v>4.273504</v>
      </c>
      <c r="BG43">
        <v>45.726500000000001</v>
      </c>
      <c r="BH43">
        <v>14.6</v>
      </c>
      <c r="BI43">
        <v>1.712329</v>
      </c>
      <c r="BJ43" t="s">
        <v>236</v>
      </c>
      <c r="BK43" t="s">
        <v>237</v>
      </c>
      <c r="BL43" t="s">
        <v>238</v>
      </c>
    </row>
    <row r="44" spans="1:64" x14ac:dyDescent="0.2">
      <c r="A44" s="3" t="s">
        <v>240</v>
      </c>
      <c r="B44" t="str">
        <f>VLOOKUP(A44, IDSLOOKUP!C:E, 2, FALSE)</f>
        <v>Screen</v>
      </c>
      <c r="C44" t="str">
        <f>VLOOKUP(D44, METADATALOOKUP!$A:$AI, 13, FALSE)</f>
        <v>Oral Cavity</v>
      </c>
      <c r="D44" t="str">
        <f>VLOOKUP(A44, IDSLOOKUP!C:E, 3, FALSE)</f>
        <v>HN04-16</v>
      </c>
      <c r="E44" s="48">
        <f>VLOOKUP(A44,CFDNALOOKUP!AG:AI,2,FALSE)</f>
        <v>44091</v>
      </c>
      <c r="F44" s="48">
        <f>VLOOKUP(A44,CFDNALOOKUP!AG:AI,3,FALSE)</f>
        <v>44179</v>
      </c>
      <c r="G44" s="1">
        <f>VLOOKUP(D44, SURVLOOKUP!$A:$Q, 2, FALSE)</f>
        <v>44054</v>
      </c>
      <c r="H44" s="1">
        <f>VLOOKUP(D44, SURVLOOKUP!$A:$Q, 3, FALSE)</f>
        <v>44063</v>
      </c>
      <c r="I44" s="1">
        <f>VLOOKUP(D44, SURVLOOKUP!$A:$Q, 4, FALSE)</f>
        <v>44067</v>
      </c>
      <c r="J44" s="1">
        <f>VLOOKUP(D44, SURVLOOKUP!$A:$Q, 5, FALSE)</f>
        <v>44074</v>
      </c>
      <c r="K44" s="1">
        <f>VLOOKUP(D44, SURVLOOKUP!$A:$Q, 6, FALSE)</f>
        <v>44109</v>
      </c>
      <c r="L44" s="1">
        <f>VLOOKUP(D44, SURVLOOKUP!$A:$Q, 7, FALSE)</f>
        <v>44154</v>
      </c>
      <c r="M44" s="1">
        <f>VLOOKUP(D44, SURVLOOKUP!$A:$Q, 8, FALSE)</f>
        <v>44102</v>
      </c>
      <c r="N44" s="1">
        <f>VLOOKUP(D44, SURVLOOKUP!$A:$Q, 9, FALSE)</f>
        <v>44217</v>
      </c>
      <c r="O44" s="1" t="str">
        <f>VLOOKUP(D44, SURVLOOKUP!$A:$Q, 10, FALSE)</f>
        <v>NA</v>
      </c>
      <c r="P44" s="1">
        <f>VLOOKUP(D44, OLDSURVLOOKUP!$A:$AA, 19, FALSE)</f>
        <v>44354</v>
      </c>
      <c r="Q44" s="1">
        <f>VLOOKUP(D44, SURVLOOKUP!$A:$Q, 11, FALSE)</f>
        <v>45531</v>
      </c>
      <c r="R44" s="1"/>
      <c r="S44" s="1"/>
      <c r="T44" s="1"/>
      <c r="U44" s="1"/>
      <c r="V44">
        <f>_xlfn.XLOOKUP(D44, OLDSURVLOOKUP!$A:$A, OLDSURVLOOKUP!V:V)</f>
        <v>0</v>
      </c>
      <c r="W44">
        <f>VLOOKUP(D44, SURVLOOKUP!$A:$Q, 14, FALSE)</f>
        <v>0</v>
      </c>
      <c r="X44">
        <f>_xlfn.XLOOKUP(D44, OLDSURVLOOKUP!$A:$A, OLDSURVLOOKUP!X:X)</f>
        <v>0</v>
      </c>
      <c r="Y44">
        <f>VLOOKUP(D44, SURVLOOKUP!$A:$Q, 15, FALSE)</f>
        <v>0</v>
      </c>
      <c r="Z44">
        <f t="shared" si="4"/>
        <v>9.4516129032258061</v>
      </c>
      <c r="AA44">
        <f t="shared" si="5"/>
        <v>48.096774193548384</v>
      </c>
      <c r="AB44">
        <f t="shared" si="6"/>
        <v>9.4516129032258061</v>
      </c>
      <c r="AC44">
        <f t="shared" si="7"/>
        <v>48.096774193548384</v>
      </c>
      <c r="AD44">
        <f t="shared" si="8"/>
        <v>9.2258064516129039</v>
      </c>
      <c r="AE44">
        <f t="shared" si="19"/>
        <v>47.87096774193548</v>
      </c>
      <c r="AF44">
        <f t="shared" si="16"/>
        <v>9.2258064516129039</v>
      </c>
      <c r="AG44">
        <f t="shared" si="17"/>
        <v>47.87096774193548</v>
      </c>
      <c r="AH44">
        <f t="shared" si="9"/>
        <v>8.3333333333333339</v>
      </c>
      <c r="AI44">
        <f t="shared" si="10"/>
        <v>47</v>
      </c>
      <c r="AJ44">
        <f t="shared" si="11"/>
        <v>8.3333333333333339</v>
      </c>
      <c r="AK44">
        <f t="shared" si="12"/>
        <v>47</v>
      </c>
      <c r="AL44">
        <f t="shared" si="13"/>
        <v>2</v>
      </c>
      <c r="AM44" t="str">
        <f t="shared" si="18"/>
        <v>University of Michigan</v>
      </c>
      <c r="AN44">
        <v>0</v>
      </c>
      <c r="AO44">
        <v>17</v>
      </c>
      <c r="AP44">
        <f>VLOOKUP(D44, METADATALOOKUP!$A:$AI, 7, FALSE)</f>
        <v>50</v>
      </c>
      <c r="AQ44" t="str">
        <f>VLOOKUP(D44, METADATALOOKUP!$A:$AI, 8, FALSE)</f>
        <v>Male</v>
      </c>
      <c r="AR44" t="str">
        <f>VLOOKUP(D44, METADATALOOKUP!$A:$AI, 9, FALSE)</f>
        <v>White</v>
      </c>
      <c r="AS44" t="str">
        <f>VLOOKUP(D44, METADATALOOKUP!$A:$AI, 11, FALSE)</f>
        <v>Yes</v>
      </c>
      <c r="AT44" t="str">
        <f>VLOOKUP(D44, METADATALOOKUP!$A:$AI, 10, FALSE)</f>
        <v>Non-Hispanic</v>
      </c>
      <c r="AU44" t="str">
        <f>VLOOKUP(D44, METADATALOOKUP!$A:$AI, 12, FALSE)</f>
        <v>Yes</v>
      </c>
      <c r="AV44" t="str">
        <f>VLOOKUP(D44, METADATALOOKUP!$A:$AI, 14, FALSE)</f>
        <v>cT3N2bM0</v>
      </c>
      <c r="AW44" t="str">
        <f>VLOOKUP(D44, METADATALOOKUP!$A:$AI, 6, FALSE)</f>
        <v xml:space="preserve">High </v>
      </c>
      <c r="AX44" t="str">
        <f>VLOOKUP(D44, METADATALOOKUP!$A:$AI, 19, FALSE)</f>
        <v>Unknown</v>
      </c>
      <c r="AY44">
        <f>LOOKUP(D44, SURVLOOKUP!$A:$A, SURVLOOKUP!$P:$P)</f>
        <v>1</v>
      </c>
      <c r="AZ44" s="46">
        <v>0</v>
      </c>
      <c r="BA44" t="str">
        <f>TEXT(VLOOKUP(D44, METADATALOOKUP!$A:$AI, 34, FALSE), "@")</f>
        <v>&lt;10%</v>
      </c>
      <c r="BB44" s="47" t="str">
        <f t="shared" si="14"/>
        <v>Non-Responder</v>
      </c>
      <c r="BC44">
        <v>0.23599999999999999</v>
      </c>
      <c r="BE44">
        <v>24</v>
      </c>
      <c r="BF44">
        <v>4.2372880000000004</v>
      </c>
      <c r="BG44">
        <v>45.762709999999998</v>
      </c>
      <c r="BH44">
        <v>26</v>
      </c>
      <c r="BI44">
        <v>0.961538</v>
      </c>
      <c r="BJ44" t="s">
        <v>78</v>
      </c>
      <c r="BK44" t="s">
        <v>79</v>
      </c>
      <c r="BL44" t="s">
        <v>80</v>
      </c>
    </row>
    <row r="45" spans="1:64" x14ac:dyDescent="0.2">
      <c r="A45" s="3" t="s">
        <v>243</v>
      </c>
      <c r="B45" t="str">
        <f>VLOOKUP(A45, IDSLOOKUP!C:E, 2, FALSE)</f>
        <v>Day 0</v>
      </c>
      <c r="C45" t="str">
        <f>VLOOKUP(D45, METADATALOOKUP!$A:$AI, 13, FALSE)</f>
        <v>Oral Cavity</v>
      </c>
      <c r="D45" t="str">
        <f>VLOOKUP(A45, IDSLOOKUP!C:E, 3, FALSE)</f>
        <v>HN04-16</v>
      </c>
      <c r="E45" s="48">
        <f>VLOOKUP(A45,CFDNALOOKUP!AG:AI,2,FALSE)</f>
        <v>44091</v>
      </c>
      <c r="F45" s="48">
        <f>VLOOKUP(A45,CFDNALOOKUP!AG:AI,3,FALSE)</f>
        <v>44179</v>
      </c>
      <c r="G45" s="1">
        <f>VLOOKUP(D45, SURVLOOKUP!$A:$Q, 2, FALSE)</f>
        <v>44054</v>
      </c>
      <c r="H45" s="1">
        <f>VLOOKUP(D45, SURVLOOKUP!$A:$Q, 3, FALSE)</f>
        <v>44063</v>
      </c>
      <c r="I45" s="1">
        <f>VLOOKUP(D45, SURVLOOKUP!$A:$Q, 4, FALSE)</f>
        <v>44067</v>
      </c>
      <c r="J45" s="1">
        <f>VLOOKUP(D45, SURVLOOKUP!$A:$Q, 5, FALSE)</f>
        <v>44074</v>
      </c>
      <c r="K45" s="1">
        <f>VLOOKUP(D45, SURVLOOKUP!$A:$Q, 6, FALSE)</f>
        <v>44109</v>
      </c>
      <c r="L45" s="1">
        <f>VLOOKUP(D45, SURVLOOKUP!$A:$Q, 7, FALSE)</f>
        <v>44154</v>
      </c>
      <c r="M45" s="1">
        <f>VLOOKUP(D45, SURVLOOKUP!$A:$Q, 8, FALSE)</f>
        <v>44102</v>
      </c>
      <c r="N45" s="1">
        <f>VLOOKUP(D45, SURVLOOKUP!$A:$Q, 9, FALSE)</f>
        <v>44217</v>
      </c>
      <c r="O45" s="1" t="str">
        <f>VLOOKUP(D45, SURVLOOKUP!$A:$Q, 10, FALSE)</f>
        <v>NA</v>
      </c>
      <c r="P45" s="1">
        <f>VLOOKUP(D45, OLDSURVLOOKUP!$A:$AA, 19, FALSE)</f>
        <v>44354</v>
      </c>
      <c r="Q45" s="1">
        <f>VLOOKUP(D45, SURVLOOKUP!$A:$Q, 11, FALSE)</f>
        <v>45531</v>
      </c>
      <c r="R45" s="1"/>
      <c r="S45" s="1"/>
      <c r="T45" s="1"/>
      <c r="U45" s="1"/>
      <c r="V45">
        <f>_xlfn.XLOOKUP(D45, OLDSURVLOOKUP!$A:$A, OLDSURVLOOKUP!V:V)</f>
        <v>0</v>
      </c>
      <c r="W45">
        <f>VLOOKUP(D45, SURVLOOKUP!$A:$Q, 14, FALSE)</f>
        <v>0</v>
      </c>
      <c r="X45">
        <f>_xlfn.XLOOKUP(D45, OLDSURVLOOKUP!$A:$A, OLDSURVLOOKUP!X:X)</f>
        <v>0</v>
      </c>
      <c r="Y45">
        <f>VLOOKUP(D45, SURVLOOKUP!$A:$Q, 15, FALSE)</f>
        <v>0</v>
      </c>
      <c r="Z45">
        <f t="shared" si="4"/>
        <v>9.4516129032258061</v>
      </c>
      <c r="AA45">
        <f t="shared" si="5"/>
        <v>48.096774193548384</v>
      </c>
      <c r="AB45">
        <f t="shared" si="6"/>
        <v>9.4516129032258061</v>
      </c>
      <c r="AC45">
        <f t="shared" si="7"/>
        <v>48.096774193548384</v>
      </c>
      <c r="AD45">
        <f t="shared" si="8"/>
        <v>9.2258064516129039</v>
      </c>
      <c r="AE45">
        <f t="shared" si="19"/>
        <v>47.87096774193548</v>
      </c>
      <c r="AF45">
        <f t="shared" si="16"/>
        <v>9.2258064516129039</v>
      </c>
      <c r="AG45">
        <f t="shared" si="17"/>
        <v>47.87096774193548</v>
      </c>
      <c r="AH45">
        <f t="shared" si="9"/>
        <v>8.3333333333333339</v>
      </c>
      <c r="AI45">
        <f t="shared" si="10"/>
        <v>47</v>
      </c>
      <c r="AJ45">
        <f t="shared" si="11"/>
        <v>8.3333333333333339</v>
      </c>
      <c r="AK45">
        <f t="shared" si="12"/>
        <v>47</v>
      </c>
      <c r="AL45">
        <f t="shared" si="13"/>
        <v>2</v>
      </c>
      <c r="AM45" t="str">
        <f t="shared" si="18"/>
        <v>University of Michigan</v>
      </c>
      <c r="AN45">
        <v>0</v>
      </c>
      <c r="AO45">
        <v>17</v>
      </c>
      <c r="AP45">
        <f>VLOOKUP(D45, METADATALOOKUP!$A:$AI, 7, FALSE)</f>
        <v>50</v>
      </c>
      <c r="AQ45" t="str">
        <f>VLOOKUP(D45, METADATALOOKUP!$A:$AI, 8, FALSE)</f>
        <v>Male</v>
      </c>
      <c r="AR45" t="str">
        <f>VLOOKUP(D45, METADATALOOKUP!$A:$AI, 9, FALSE)</f>
        <v>White</v>
      </c>
      <c r="AS45" t="str">
        <f>VLOOKUP(D45, METADATALOOKUP!$A:$AI, 11, FALSE)</f>
        <v>Yes</v>
      </c>
      <c r="AT45" t="str">
        <f>VLOOKUP(D45, METADATALOOKUP!$A:$AI, 10, FALSE)</f>
        <v>Non-Hispanic</v>
      </c>
      <c r="AU45" t="str">
        <f>VLOOKUP(D45, METADATALOOKUP!$A:$AI, 12, FALSE)</f>
        <v>Yes</v>
      </c>
      <c r="AV45" t="str">
        <f>VLOOKUP(D45, METADATALOOKUP!$A:$AI, 14, FALSE)</f>
        <v>cT3N2bM0</v>
      </c>
      <c r="AW45" t="str">
        <f>VLOOKUP(D45, METADATALOOKUP!$A:$AI, 6, FALSE)</f>
        <v xml:space="preserve">High </v>
      </c>
      <c r="AX45" t="str">
        <f>VLOOKUP(D45, METADATALOOKUP!$A:$AI, 19, FALSE)</f>
        <v>Unknown</v>
      </c>
      <c r="AY45">
        <f>LOOKUP(D45, SURVLOOKUP!$A:$A, SURVLOOKUP!$P:$P)</f>
        <v>1</v>
      </c>
      <c r="AZ45" s="46">
        <v>0</v>
      </c>
      <c r="BA45" t="str">
        <f>TEXT(VLOOKUP(D45, METADATALOOKUP!$A:$AI, 34, FALSE), "@")</f>
        <v>&lt;10%</v>
      </c>
      <c r="BB45" s="47" t="str">
        <f t="shared" si="14"/>
        <v>Non-Responder</v>
      </c>
      <c r="BC45">
        <v>0.36</v>
      </c>
      <c r="BE45">
        <v>24</v>
      </c>
      <c r="BF45">
        <v>2.7777780000000001</v>
      </c>
      <c r="BG45">
        <v>47.22222</v>
      </c>
      <c r="BH45">
        <v>26.2</v>
      </c>
      <c r="BI45">
        <v>0.95419799999999999</v>
      </c>
      <c r="BJ45" t="s">
        <v>126</v>
      </c>
      <c r="BK45" t="s">
        <v>127</v>
      </c>
      <c r="BL45" t="s">
        <v>128</v>
      </c>
    </row>
    <row r="46" spans="1:64" x14ac:dyDescent="0.2">
      <c r="A46" s="3" t="s">
        <v>244</v>
      </c>
      <c r="B46" t="str">
        <f>VLOOKUP(A46, IDSLOOKUP!C:E, 2, FALSE)</f>
        <v>Screen</v>
      </c>
      <c r="C46" t="str">
        <f>VLOOKUP(D46, METADATALOOKUP!$A:$AI, 13, FALSE)</f>
        <v>Oral Cavity</v>
      </c>
      <c r="D46" t="str">
        <f>VLOOKUP(A46, IDSLOOKUP!C:E, 3, FALSE)</f>
        <v>HN05-03</v>
      </c>
      <c r="E46" s="48">
        <f>VLOOKUP(A46,CFDNALOOKUP!AG:AI,2,FALSE)</f>
        <v>44091</v>
      </c>
      <c r="F46" s="48">
        <f>VLOOKUP(A46,CFDNALOOKUP!AG:AI,3,FALSE)</f>
        <v>44179</v>
      </c>
      <c r="G46" s="1">
        <f>VLOOKUP(D46, SURVLOOKUP!$A:$Q, 2, FALSE)</f>
        <v>43473</v>
      </c>
      <c r="H46" s="1">
        <f>VLOOKUP(D46, SURVLOOKUP!$A:$Q, 3, FALSE)</f>
        <v>43490</v>
      </c>
      <c r="I46" s="1">
        <f>VLOOKUP(D46, SURVLOOKUP!$A:$Q, 4, FALSE)</f>
        <v>43496</v>
      </c>
      <c r="J46" s="1">
        <f>VLOOKUP(D46, SURVLOOKUP!$A:$Q, 5, FALSE)</f>
        <v>43508</v>
      </c>
      <c r="K46" s="1">
        <f>VLOOKUP(D46, SURVLOOKUP!$A:$Q, 6, FALSE)</f>
        <v>43550</v>
      </c>
      <c r="L46" s="1">
        <f>VLOOKUP(D46, SURVLOOKUP!$A:$Q, 7, FALSE)</f>
        <v>43588</v>
      </c>
      <c r="M46" s="1">
        <f>VLOOKUP(D46, SURVLOOKUP!$A:$Q, 8, FALSE)</f>
        <v>43542</v>
      </c>
      <c r="N46" s="1">
        <f>VLOOKUP(D46, SURVLOOKUP!$A:$Q, 9, FALSE)</f>
        <v>43647</v>
      </c>
      <c r="O46" s="1" t="str">
        <f>VLOOKUP(D46, SURVLOOKUP!$A:$Q, 10, FALSE)</f>
        <v>NA</v>
      </c>
      <c r="P46" s="1">
        <f>VLOOKUP(D46, OLDSURVLOOKUP!$A:$AA, 19, FALSE)</f>
        <v>44281</v>
      </c>
      <c r="Q46" s="1">
        <f>VLOOKUP(D46, SURVLOOKUP!$A:$Q, 11, FALSE)</f>
        <v>45317</v>
      </c>
      <c r="R46" s="1"/>
      <c r="S46" s="1"/>
      <c r="T46" s="1"/>
      <c r="U46" s="1"/>
      <c r="V46">
        <f>_xlfn.XLOOKUP(D46, OLDSURVLOOKUP!$A:$A, OLDSURVLOOKUP!V:V)</f>
        <v>0</v>
      </c>
      <c r="W46">
        <f>VLOOKUP(D46, SURVLOOKUP!$A:$Q, 14, FALSE)</f>
        <v>0</v>
      </c>
      <c r="X46">
        <f>_xlfn.XLOOKUP(D46, OLDSURVLOOKUP!$A:$A, OLDSURVLOOKUP!X:X)</f>
        <v>0</v>
      </c>
      <c r="Y46">
        <f>VLOOKUP(D46, SURVLOOKUP!$A:$Q, 15, FALSE)</f>
        <v>0</v>
      </c>
      <c r="Z46">
        <f t="shared" si="4"/>
        <v>25.741935483870968</v>
      </c>
      <c r="AA46">
        <f t="shared" si="5"/>
        <v>59.838709677419352</v>
      </c>
      <c r="AB46">
        <f t="shared" si="6"/>
        <v>25.741935483870968</v>
      </c>
      <c r="AC46">
        <f t="shared" si="7"/>
        <v>59.838709677419352</v>
      </c>
      <c r="AD46">
        <f t="shared" si="8"/>
        <v>25.5</v>
      </c>
      <c r="AE46">
        <f t="shared" si="19"/>
        <v>59.5</v>
      </c>
      <c r="AF46">
        <f t="shared" si="16"/>
        <v>25.5</v>
      </c>
      <c r="AG46">
        <f t="shared" si="17"/>
        <v>59.5</v>
      </c>
      <c r="AH46">
        <f t="shared" si="9"/>
        <v>24.258064516129032</v>
      </c>
      <c r="AI46">
        <f t="shared" si="10"/>
        <v>58.258064516129032</v>
      </c>
      <c r="AJ46">
        <f t="shared" si="11"/>
        <v>24.258064516129032</v>
      </c>
      <c r="AK46">
        <f t="shared" si="12"/>
        <v>58.258064516129032</v>
      </c>
      <c r="AL46">
        <f t="shared" si="13"/>
        <v>2</v>
      </c>
      <c r="AM46" t="str">
        <f t="shared" si="18"/>
        <v>University of Louisville</v>
      </c>
      <c r="AN46">
        <v>0</v>
      </c>
      <c r="AO46">
        <v>18</v>
      </c>
      <c r="AP46">
        <f>VLOOKUP(D46, METADATALOOKUP!$A:$AI, 7, FALSE)</f>
        <v>35</v>
      </c>
      <c r="AQ46" t="str">
        <f>VLOOKUP(D46, METADATALOOKUP!$A:$AI, 8, FALSE)</f>
        <v>Male</v>
      </c>
      <c r="AR46" t="str">
        <f>VLOOKUP(D46, METADATALOOKUP!$A:$AI, 9, FALSE)</f>
        <v>White</v>
      </c>
      <c r="AS46" t="str">
        <f>VLOOKUP(D46, METADATALOOKUP!$A:$AI, 11, FALSE)</f>
        <v>No</v>
      </c>
      <c r="AT46" t="str">
        <f>VLOOKUP(D46, METADATALOOKUP!$A:$AI, 10, FALSE)</f>
        <v>Non-Hispanic</v>
      </c>
      <c r="AU46" t="str">
        <f>VLOOKUP(D46, METADATALOOKUP!$A:$AI, 12, FALSE)</f>
        <v>No</v>
      </c>
      <c r="AV46" t="str">
        <f>VLOOKUP(D46, METADATALOOKUP!$A:$AI, 14, FALSE)</f>
        <v>T3N1M0</v>
      </c>
      <c r="AW46" t="str">
        <f>VLOOKUP(D46, METADATALOOKUP!$A:$AI, 6, FALSE)</f>
        <v>Intermediate</v>
      </c>
      <c r="AX46" t="str">
        <f>VLOOKUP(D46, METADATALOOKUP!$A:$AI, 19, FALSE)</f>
        <v>Unknown</v>
      </c>
      <c r="AY46">
        <f>LOOKUP(D46, SURVLOOKUP!$A:$A, SURVLOOKUP!$P:$P)</f>
        <v>1</v>
      </c>
      <c r="AZ46" s="46">
        <v>1</v>
      </c>
      <c r="BA46" t="str">
        <f>TEXT(VLOOKUP(D46, METADATALOOKUP!$A:$AI, 34, FALSE), "@")</f>
        <v>10-20% (20-30% fib)</v>
      </c>
      <c r="BB46" s="47" t="str">
        <f t="shared" si="14"/>
        <v>Responder</v>
      </c>
      <c r="BC46">
        <v>0.254</v>
      </c>
      <c r="BE46">
        <v>24</v>
      </c>
      <c r="BF46">
        <v>3.9370080000000001</v>
      </c>
      <c r="BG46">
        <v>46.062989999999999</v>
      </c>
      <c r="BH46">
        <v>13.7</v>
      </c>
      <c r="BI46">
        <v>1.8248180000000001</v>
      </c>
      <c r="BJ46" t="s">
        <v>230</v>
      </c>
      <c r="BK46" t="s">
        <v>231</v>
      </c>
      <c r="BL46" t="s">
        <v>232</v>
      </c>
    </row>
    <row r="47" spans="1:64" x14ac:dyDescent="0.2">
      <c r="A47" s="3" t="s">
        <v>248</v>
      </c>
      <c r="B47" t="str">
        <f>VLOOKUP(A47, IDSLOOKUP!C:E, 2, FALSE)</f>
        <v>Day 0</v>
      </c>
      <c r="C47" t="str">
        <f>VLOOKUP(D47, METADATALOOKUP!$A:$AI, 13, FALSE)</f>
        <v>Oral Cavity</v>
      </c>
      <c r="D47" t="str">
        <f>VLOOKUP(A47, IDSLOOKUP!C:E, 3, FALSE)</f>
        <v>HN05-03</v>
      </c>
      <c r="E47" s="48">
        <f>VLOOKUP(A47,CFDNALOOKUP!AG:AI,2,FALSE)</f>
        <v>44091</v>
      </c>
      <c r="F47" s="48">
        <f>VLOOKUP(A47,CFDNALOOKUP!AG:AI,3,FALSE)</f>
        <v>44180</v>
      </c>
      <c r="G47" s="1">
        <f>VLOOKUP(D47, SURVLOOKUP!$A:$Q, 2, FALSE)</f>
        <v>43473</v>
      </c>
      <c r="H47" s="1">
        <f>VLOOKUP(D47, SURVLOOKUP!$A:$Q, 3, FALSE)</f>
        <v>43490</v>
      </c>
      <c r="I47" s="1">
        <f>VLOOKUP(D47, SURVLOOKUP!$A:$Q, 4, FALSE)</f>
        <v>43496</v>
      </c>
      <c r="J47" s="1">
        <f>VLOOKUP(D47, SURVLOOKUP!$A:$Q, 5, FALSE)</f>
        <v>43508</v>
      </c>
      <c r="K47" s="1">
        <f>VLOOKUP(D47, SURVLOOKUP!$A:$Q, 6, FALSE)</f>
        <v>43550</v>
      </c>
      <c r="L47" s="1">
        <f>VLOOKUP(D47, SURVLOOKUP!$A:$Q, 7, FALSE)</f>
        <v>43588</v>
      </c>
      <c r="M47" s="1">
        <f>VLOOKUP(D47, SURVLOOKUP!$A:$Q, 8, FALSE)</f>
        <v>43542</v>
      </c>
      <c r="N47" s="1">
        <f>VLOOKUP(D47, SURVLOOKUP!$A:$Q, 9, FALSE)</f>
        <v>43647</v>
      </c>
      <c r="O47" s="1" t="str">
        <f>VLOOKUP(D47, SURVLOOKUP!$A:$Q, 10, FALSE)</f>
        <v>NA</v>
      </c>
      <c r="P47" s="1">
        <f>VLOOKUP(D47, OLDSURVLOOKUP!$A:$AA, 19, FALSE)</f>
        <v>44281</v>
      </c>
      <c r="Q47" s="1">
        <f>VLOOKUP(D47, SURVLOOKUP!$A:$Q, 11, FALSE)</f>
        <v>45317</v>
      </c>
      <c r="R47" s="1"/>
      <c r="S47" s="1"/>
      <c r="T47" s="1"/>
      <c r="U47" s="1"/>
      <c r="V47">
        <f>_xlfn.XLOOKUP(D47, OLDSURVLOOKUP!$A:$A, OLDSURVLOOKUP!V:V)</f>
        <v>0</v>
      </c>
      <c r="W47">
        <f>VLOOKUP(D47, SURVLOOKUP!$A:$Q, 14, FALSE)</f>
        <v>0</v>
      </c>
      <c r="X47">
        <f>_xlfn.XLOOKUP(D47, OLDSURVLOOKUP!$A:$A, OLDSURVLOOKUP!X:X)</f>
        <v>0</v>
      </c>
      <c r="Y47">
        <f>VLOOKUP(D47, SURVLOOKUP!$A:$Q, 15, FALSE)</f>
        <v>0</v>
      </c>
      <c r="Z47">
        <f t="shared" si="4"/>
        <v>25.741935483870968</v>
      </c>
      <c r="AA47">
        <f t="shared" si="5"/>
        <v>59.838709677419352</v>
      </c>
      <c r="AB47">
        <f t="shared" si="6"/>
        <v>25.741935483870968</v>
      </c>
      <c r="AC47">
        <f t="shared" si="7"/>
        <v>59.838709677419352</v>
      </c>
      <c r="AD47">
        <f t="shared" si="8"/>
        <v>25.5</v>
      </c>
      <c r="AE47">
        <f t="shared" si="19"/>
        <v>59.5</v>
      </c>
      <c r="AF47">
        <f t="shared" si="16"/>
        <v>25.5</v>
      </c>
      <c r="AG47">
        <f t="shared" si="17"/>
        <v>59.5</v>
      </c>
      <c r="AH47">
        <f t="shared" si="9"/>
        <v>24.258064516129032</v>
      </c>
      <c r="AI47">
        <f t="shared" si="10"/>
        <v>58.258064516129032</v>
      </c>
      <c r="AJ47">
        <f t="shared" si="11"/>
        <v>24.258064516129032</v>
      </c>
      <c r="AK47">
        <f t="shared" si="12"/>
        <v>58.258064516129032</v>
      </c>
      <c r="AL47">
        <f t="shared" si="13"/>
        <v>2</v>
      </c>
      <c r="AM47" t="str">
        <f t="shared" si="18"/>
        <v>University of Louisville</v>
      </c>
      <c r="AN47">
        <v>0</v>
      </c>
      <c r="AO47">
        <v>18</v>
      </c>
      <c r="AP47">
        <f>VLOOKUP(D47, METADATALOOKUP!$A:$AI, 7, FALSE)</f>
        <v>35</v>
      </c>
      <c r="AQ47" t="str">
        <f>VLOOKUP(D47, METADATALOOKUP!$A:$AI, 8, FALSE)</f>
        <v>Male</v>
      </c>
      <c r="AR47" t="str">
        <f>VLOOKUP(D47, METADATALOOKUP!$A:$AI, 9, FALSE)</f>
        <v>White</v>
      </c>
      <c r="AS47" t="str">
        <f>VLOOKUP(D47, METADATALOOKUP!$A:$AI, 11, FALSE)</f>
        <v>No</v>
      </c>
      <c r="AT47" t="str">
        <f>VLOOKUP(D47, METADATALOOKUP!$A:$AI, 10, FALSE)</f>
        <v>Non-Hispanic</v>
      </c>
      <c r="AU47" t="str">
        <f>VLOOKUP(D47, METADATALOOKUP!$A:$AI, 12, FALSE)</f>
        <v>No</v>
      </c>
      <c r="AV47" t="str">
        <f>VLOOKUP(D47, METADATALOOKUP!$A:$AI, 14, FALSE)</f>
        <v>T3N1M0</v>
      </c>
      <c r="AW47" t="str">
        <f>VLOOKUP(D47, METADATALOOKUP!$A:$AI, 6, FALSE)</f>
        <v>Intermediate</v>
      </c>
      <c r="AX47" t="str">
        <f>VLOOKUP(D47, METADATALOOKUP!$A:$AI, 19, FALSE)</f>
        <v>Unknown</v>
      </c>
      <c r="AY47">
        <f>LOOKUP(D47, SURVLOOKUP!$A:$A, SURVLOOKUP!$P:$P)</f>
        <v>1</v>
      </c>
      <c r="AZ47" s="46">
        <v>1</v>
      </c>
      <c r="BA47" t="str">
        <f>TEXT(VLOOKUP(D47, METADATALOOKUP!$A:$AI, 34, FALSE), "@")</f>
        <v>10-20% (20-30% fib)</v>
      </c>
      <c r="BB47" s="47" t="str">
        <f t="shared" si="14"/>
        <v>Responder</v>
      </c>
      <c r="BC47">
        <v>0.88400000000000001</v>
      </c>
      <c r="BE47">
        <v>24</v>
      </c>
      <c r="BF47">
        <v>1.1312219999999999</v>
      </c>
      <c r="BG47">
        <v>48.868780000000001</v>
      </c>
      <c r="BH47">
        <v>8.58</v>
      </c>
      <c r="BI47">
        <v>2.9137529999999998</v>
      </c>
      <c r="BJ47" t="s">
        <v>249</v>
      </c>
      <c r="BK47" t="s">
        <v>250</v>
      </c>
      <c r="BL47" t="s">
        <v>251</v>
      </c>
    </row>
    <row r="48" spans="1:64" x14ac:dyDescent="0.2">
      <c r="A48" s="3" t="s">
        <v>252</v>
      </c>
      <c r="B48" t="str">
        <f>VLOOKUP(A48, IDSLOOKUP!C:E, 2, FALSE)</f>
        <v>Screen</v>
      </c>
      <c r="C48" t="str">
        <f>VLOOKUP(D48, METADATALOOKUP!$A:$AI, 13, FALSE)</f>
        <v>Oral Cavity</v>
      </c>
      <c r="D48" t="str">
        <f>VLOOKUP(A48, IDSLOOKUP!C:E, 3, FALSE)</f>
        <v>HN05-05</v>
      </c>
      <c r="E48" s="48">
        <f>VLOOKUP(A48,CFDNALOOKUP!AG:AI,2,FALSE)</f>
        <v>44091</v>
      </c>
      <c r="F48" s="48">
        <f>VLOOKUP(A48,CFDNALOOKUP!AG:AI,3,FALSE)</f>
        <v>44180</v>
      </c>
      <c r="G48" s="1">
        <f>VLOOKUP(D48, SURVLOOKUP!$A:$Q, 2, FALSE)</f>
        <v>43405</v>
      </c>
      <c r="H48" s="1">
        <f>VLOOKUP(D48, SURVLOOKUP!$A:$Q, 3, FALSE)</f>
        <v>43525</v>
      </c>
      <c r="I48" s="1">
        <f>VLOOKUP(D48, SURVLOOKUP!$A:$Q, 4, FALSE)</f>
        <v>43537</v>
      </c>
      <c r="J48" s="1">
        <f>VLOOKUP(D48, SURVLOOKUP!$A:$Q, 5, FALSE)</f>
        <v>43552</v>
      </c>
      <c r="K48" s="1">
        <f>VLOOKUP(D48, SURVLOOKUP!$A:$Q, 6, FALSE)</f>
        <v>43591</v>
      </c>
      <c r="L48" s="1">
        <f>VLOOKUP(D48, SURVLOOKUP!$A:$Q, 7, FALSE)</f>
        <v>43636</v>
      </c>
      <c r="M48" s="1">
        <f>VLOOKUP(D48, SURVLOOKUP!$A:$Q, 8, FALSE)</f>
        <v>43584</v>
      </c>
      <c r="N48" s="1">
        <f>VLOOKUP(D48, SURVLOOKUP!$A:$Q, 9, FALSE)</f>
        <v>43689</v>
      </c>
      <c r="O48" s="1" t="str">
        <f>VLOOKUP(D48, SURVLOOKUP!$A:$Q, 10, FALSE)</f>
        <v>NA</v>
      </c>
      <c r="P48" s="1">
        <f>VLOOKUP(D48, OLDSURVLOOKUP!$A:$AA, 19, FALSE)</f>
        <v>44092</v>
      </c>
      <c r="Q48" s="1">
        <f>VLOOKUP(D48, SURVLOOKUP!$A:$Q, 11, FALSE)</f>
        <v>44092</v>
      </c>
      <c r="R48" s="1">
        <f>VLOOKUP(D48, OLDSURVLOOKUP!$A:$AA, 20, FALSE)</f>
        <v>43725</v>
      </c>
      <c r="S48" s="1">
        <f>VLOOKUP(D48, SURVLOOKUP!$A:$Q, 12, FALSE)</f>
        <v>43725</v>
      </c>
      <c r="T48" s="1">
        <f>VLOOKUP(D48, OLDSURVLOOKUP!$A:$AA, 21, FALSE)</f>
        <v>44093</v>
      </c>
      <c r="U48" s="1">
        <f>VLOOKUP(D48, SURVLOOKUP!$A:$Q, 13, FALSE)</f>
        <v>44093</v>
      </c>
      <c r="V48">
        <f>_xlfn.XLOOKUP(D48, OLDSURVLOOKUP!$A:$A, OLDSURVLOOKUP!V:V)</f>
        <v>1</v>
      </c>
      <c r="W48">
        <f>VLOOKUP(D48, SURVLOOKUP!$A:$Q, 14, FALSE)</f>
        <v>1</v>
      </c>
      <c r="X48">
        <f>_xlfn.XLOOKUP(D48, OLDSURVLOOKUP!$A:$A, OLDSURVLOOKUP!X:X)</f>
        <v>1</v>
      </c>
      <c r="Y48">
        <f>VLOOKUP(D48, SURVLOOKUP!$A:$Q, 15, FALSE)</f>
        <v>1</v>
      </c>
      <c r="Z48">
        <f t="shared" si="4"/>
        <v>6.129032258064516</v>
      </c>
      <c r="AA48">
        <f t="shared" si="5"/>
        <v>6.129032258064516</v>
      </c>
      <c r="AB48">
        <f t="shared" si="6"/>
        <v>18.193548387096776</v>
      </c>
      <c r="AC48">
        <f t="shared" si="7"/>
        <v>18.193548387096776</v>
      </c>
      <c r="AD48">
        <f t="shared" si="8"/>
        <v>5.645161290322581</v>
      </c>
      <c r="AE48">
        <f t="shared" si="19"/>
        <v>5.645161290322581</v>
      </c>
      <c r="AF48">
        <f t="shared" si="16"/>
        <v>17.70967741935484</v>
      </c>
      <c r="AG48">
        <f t="shared" si="17"/>
        <v>17.70967741935484</v>
      </c>
      <c r="AH48">
        <f t="shared" si="9"/>
        <v>4.6333333333333329</v>
      </c>
      <c r="AI48">
        <f t="shared" si="10"/>
        <v>4.6333333333333329</v>
      </c>
      <c r="AJ48">
        <f t="shared" si="11"/>
        <v>16.7</v>
      </c>
      <c r="AK48">
        <f t="shared" si="12"/>
        <v>16.7</v>
      </c>
      <c r="AL48">
        <f t="shared" si="13"/>
        <v>2</v>
      </c>
      <c r="AM48" t="str">
        <f t="shared" si="18"/>
        <v>University of Louisville</v>
      </c>
      <c r="AN48">
        <v>1</v>
      </c>
      <c r="AO48">
        <v>19</v>
      </c>
      <c r="AP48">
        <f>VLOOKUP(D48, METADATALOOKUP!$A:$AI, 7, FALSE)</f>
        <v>33</v>
      </c>
      <c r="AQ48" t="str">
        <f>VLOOKUP(D48, METADATALOOKUP!$A:$AI, 8, FALSE)</f>
        <v>Male</v>
      </c>
      <c r="AR48" t="str">
        <f>VLOOKUP(D48, METADATALOOKUP!$A:$AI, 9, FALSE)</f>
        <v>White</v>
      </c>
      <c r="AS48" t="str">
        <f>VLOOKUP(D48, METADATALOOKUP!$A:$AI, 11, FALSE)</f>
        <v>Yes</v>
      </c>
      <c r="AT48" t="str">
        <f>VLOOKUP(D48, METADATALOOKUP!$A:$AI, 10, FALSE)</f>
        <v>Non-Hispanic</v>
      </c>
      <c r="AU48" t="str">
        <f>VLOOKUP(D48, METADATALOOKUP!$A:$AI, 12, FALSE)</f>
        <v>No</v>
      </c>
      <c r="AV48" t="str">
        <f>VLOOKUP(D48, METADATALOOKUP!$A:$AI, 14, FALSE)</f>
        <v>T4bN2bM0</v>
      </c>
      <c r="AW48" t="str">
        <f>VLOOKUP(D48, METADATALOOKUP!$A:$AI, 6, FALSE)</f>
        <v xml:space="preserve">High </v>
      </c>
      <c r="AX48" t="str">
        <f>VLOOKUP(D48, METADATALOOKUP!$A:$AI, 19, FALSE)</f>
        <v>Unknown</v>
      </c>
      <c r="AY48">
        <f>LOOKUP(D48, SURVLOOKUP!$A:$A, SURVLOOKUP!$P:$P)</f>
        <v>1</v>
      </c>
      <c r="AZ48" s="46">
        <v>0</v>
      </c>
      <c r="BA48" t="str">
        <f>TEXT(VLOOKUP(D48, METADATALOOKUP!$A:$AI, 34, FALSE), "@")</f>
        <v>&lt;10%</v>
      </c>
      <c r="BB48" s="47" t="str">
        <f t="shared" si="14"/>
        <v>Non-Responder</v>
      </c>
      <c r="BC48">
        <v>1.43</v>
      </c>
      <c r="BE48">
        <v>24</v>
      </c>
      <c r="BF48">
        <v>0.69930099999999995</v>
      </c>
      <c r="BG48">
        <v>49.300699999999999</v>
      </c>
      <c r="BH48">
        <v>6.86</v>
      </c>
      <c r="BI48">
        <v>3.6443150000000002</v>
      </c>
      <c r="BJ48" t="s">
        <v>255</v>
      </c>
      <c r="BK48" t="s">
        <v>256</v>
      </c>
      <c r="BL48" t="s">
        <v>257</v>
      </c>
    </row>
    <row r="49" spans="1:64" x14ac:dyDescent="0.2">
      <c r="A49" s="3" t="s">
        <v>258</v>
      </c>
      <c r="B49" t="str">
        <f>VLOOKUP(A49, IDSLOOKUP!C:E, 2, FALSE)</f>
        <v>Day 0</v>
      </c>
      <c r="C49" t="str">
        <f>VLOOKUP(D49, METADATALOOKUP!$A:$AI, 13, FALSE)</f>
        <v>Oral Cavity</v>
      </c>
      <c r="D49" t="str">
        <f>VLOOKUP(A49, IDSLOOKUP!C:E, 3, FALSE)</f>
        <v>HN05-05</v>
      </c>
      <c r="E49" s="48">
        <f>VLOOKUP(A49,CFDNALOOKUP!AG:AI,2,FALSE)</f>
        <v>44091</v>
      </c>
      <c r="F49" s="48">
        <f>VLOOKUP(A49,CFDNALOOKUP!AG:AI,3,FALSE)</f>
        <v>44179</v>
      </c>
      <c r="G49" s="1">
        <f>VLOOKUP(D49, SURVLOOKUP!$A:$Q, 2, FALSE)</f>
        <v>43405</v>
      </c>
      <c r="H49" s="1">
        <f>VLOOKUP(D49, SURVLOOKUP!$A:$Q, 3, FALSE)</f>
        <v>43525</v>
      </c>
      <c r="I49" s="1">
        <f>VLOOKUP(D49, SURVLOOKUP!$A:$Q, 4, FALSE)</f>
        <v>43537</v>
      </c>
      <c r="J49" s="1">
        <f>VLOOKUP(D49, SURVLOOKUP!$A:$Q, 5, FALSE)</f>
        <v>43552</v>
      </c>
      <c r="K49" s="1">
        <f>VLOOKUP(D49, SURVLOOKUP!$A:$Q, 6, FALSE)</f>
        <v>43591</v>
      </c>
      <c r="L49" s="1">
        <f>VLOOKUP(D49, SURVLOOKUP!$A:$Q, 7, FALSE)</f>
        <v>43636</v>
      </c>
      <c r="M49" s="1">
        <f>VLOOKUP(D49, SURVLOOKUP!$A:$Q, 8, FALSE)</f>
        <v>43584</v>
      </c>
      <c r="N49" s="1">
        <f>VLOOKUP(D49, SURVLOOKUP!$A:$Q, 9, FALSE)</f>
        <v>43689</v>
      </c>
      <c r="O49" s="1" t="str">
        <f>VLOOKUP(D49, SURVLOOKUP!$A:$Q, 10, FALSE)</f>
        <v>NA</v>
      </c>
      <c r="P49" s="1">
        <f>VLOOKUP(D49, OLDSURVLOOKUP!$A:$AA, 19, FALSE)</f>
        <v>44092</v>
      </c>
      <c r="Q49" s="1">
        <f>VLOOKUP(D49, SURVLOOKUP!$A:$Q, 11, FALSE)</f>
        <v>44092</v>
      </c>
      <c r="R49" s="1">
        <f>VLOOKUP(D49, OLDSURVLOOKUP!$A:$AA, 20, FALSE)</f>
        <v>43725</v>
      </c>
      <c r="S49" s="1">
        <f>VLOOKUP(D49, SURVLOOKUP!$A:$Q, 12, FALSE)</f>
        <v>43725</v>
      </c>
      <c r="T49" s="1">
        <f>VLOOKUP(D49, OLDSURVLOOKUP!$A:$AA, 21, FALSE)</f>
        <v>44093</v>
      </c>
      <c r="U49" s="1">
        <f>VLOOKUP(D49, SURVLOOKUP!$A:$Q, 13, FALSE)</f>
        <v>44093</v>
      </c>
      <c r="V49">
        <f>_xlfn.XLOOKUP(D49, OLDSURVLOOKUP!$A:$A, OLDSURVLOOKUP!V:V)</f>
        <v>1</v>
      </c>
      <c r="W49">
        <f>VLOOKUP(D49, SURVLOOKUP!$A:$Q, 14, FALSE)</f>
        <v>1</v>
      </c>
      <c r="X49">
        <f>_xlfn.XLOOKUP(D49, OLDSURVLOOKUP!$A:$A, OLDSURVLOOKUP!X:X)</f>
        <v>1</v>
      </c>
      <c r="Y49">
        <f>VLOOKUP(D49, SURVLOOKUP!$A:$Q, 15, FALSE)</f>
        <v>1</v>
      </c>
      <c r="Z49">
        <f t="shared" si="4"/>
        <v>6.129032258064516</v>
      </c>
      <c r="AA49">
        <f t="shared" si="5"/>
        <v>6.129032258064516</v>
      </c>
      <c r="AB49">
        <f t="shared" si="6"/>
        <v>18.193548387096776</v>
      </c>
      <c r="AC49">
        <f t="shared" si="7"/>
        <v>18.193548387096776</v>
      </c>
      <c r="AD49">
        <f t="shared" si="8"/>
        <v>5.645161290322581</v>
      </c>
      <c r="AE49">
        <f t="shared" si="19"/>
        <v>5.645161290322581</v>
      </c>
      <c r="AF49">
        <f t="shared" si="16"/>
        <v>17.70967741935484</v>
      </c>
      <c r="AG49">
        <f t="shared" si="17"/>
        <v>17.70967741935484</v>
      </c>
      <c r="AH49">
        <f t="shared" si="9"/>
        <v>4.6333333333333329</v>
      </c>
      <c r="AI49">
        <f t="shared" si="10"/>
        <v>4.6333333333333329</v>
      </c>
      <c r="AJ49">
        <f t="shared" si="11"/>
        <v>16.7</v>
      </c>
      <c r="AK49">
        <f t="shared" si="12"/>
        <v>16.7</v>
      </c>
      <c r="AL49">
        <f t="shared" si="13"/>
        <v>2</v>
      </c>
      <c r="AM49" t="str">
        <f t="shared" si="18"/>
        <v>University of Louisville</v>
      </c>
      <c r="AN49">
        <v>1</v>
      </c>
      <c r="AO49">
        <v>19</v>
      </c>
      <c r="AP49">
        <f>VLOOKUP(D49, METADATALOOKUP!$A:$AI, 7, FALSE)</f>
        <v>33</v>
      </c>
      <c r="AQ49" t="str">
        <f>VLOOKUP(D49, METADATALOOKUP!$A:$AI, 8, FALSE)</f>
        <v>Male</v>
      </c>
      <c r="AR49" t="str">
        <f>VLOOKUP(D49, METADATALOOKUP!$A:$AI, 9, FALSE)</f>
        <v>White</v>
      </c>
      <c r="AS49" t="str">
        <f>VLOOKUP(D49, METADATALOOKUP!$A:$AI, 11, FALSE)</f>
        <v>Yes</v>
      </c>
      <c r="AT49" t="str">
        <f>VLOOKUP(D49, METADATALOOKUP!$A:$AI, 10, FALSE)</f>
        <v>Non-Hispanic</v>
      </c>
      <c r="AU49" t="str">
        <f>VLOOKUP(D49, METADATALOOKUP!$A:$AI, 12, FALSE)</f>
        <v>No</v>
      </c>
      <c r="AV49" t="str">
        <f>VLOOKUP(D49, METADATALOOKUP!$A:$AI, 14, FALSE)</f>
        <v>T4bN2bM0</v>
      </c>
      <c r="AW49" t="str">
        <f>VLOOKUP(D49, METADATALOOKUP!$A:$AI, 6, FALSE)</f>
        <v xml:space="preserve">High </v>
      </c>
      <c r="AX49" t="str">
        <f>VLOOKUP(D49, METADATALOOKUP!$A:$AI, 19, FALSE)</f>
        <v>Unknown</v>
      </c>
      <c r="AY49">
        <f>LOOKUP(D49, SURVLOOKUP!$A:$A, SURVLOOKUP!$P:$P)</f>
        <v>1</v>
      </c>
      <c r="AZ49" s="46">
        <v>0</v>
      </c>
      <c r="BA49" t="str">
        <f>TEXT(VLOOKUP(D49, METADATALOOKUP!$A:$AI, 34, FALSE), "@")</f>
        <v>&lt;10%</v>
      </c>
      <c r="BB49" s="47" t="str">
        <f t="shared" si="14"/>
        <v>Non-Responder</v>
      </c>
      <c r="BC49">
        <v>0.60799999999999998</v>
      </c>
      <c r="BE49">
        <v>24</v>
      </c>
      <c r="BF49">
        <v>1.6447369999999999</v>
      </c>
      <c r="BG49">
        <v>48.355260000000001</v>
      </c>
      <c r="BH49">
        <v>10.7</v>
      </c>
      <c r="BI49">
        <v>2.336449</v>
      </c>
      <c r="BJ49" t="s">
        <v>259</v>
      </c>
      <c r="BK49" t="s">
        <v>260</v>
      </c>
      <c r="BL49" t="s">
        <v>261</v>
      </c>
    </row>
    <row r="50" spans="1:64" x14ac:dyDescent="0.2">
      <c r="A50" s="3" t="s">
        <v>262</v>
      </c>
      <c r="B50" t="str">
        <f>VLOOKUP(A50, IDSLOOKUP!C:E, 2, FALSE)</f>
        <v>Adj Wk 1</v>
      </c>
      <c r="C50" t="str">
        <f>VLOOKUP(D50, METADATALOOKUP!$A:$AI, 13, FALSE)</f>
        <v>Oral Cavity</v>
      </c>
      <c r="D50" t="str">
        <f>VLOOKUP(A50, IDSLOOKUP!C:E, 3, FALSE)</f>
        <v>HN05-05</v>
      </c>
      <c r="E50" s="48">
        <f>VLOOKUP(A50,CFDNALOOKUP!AG:AI,2,FALSE)</f>
        <v>44091</v>
      </c>
      <c r="F50" s="48">
        <f>VLOOKUP(A50,CFDNALOOKUP!AG:AI,3,FALSE)</f>
        <v>44180</v>
      </c>
      <c r="G50" s="1">
        <f>VLOOKUP(D50, SURVLOOKUP!$A:$Q, 2, FALSE)</f>
        <v>43405</v>
      </c>
      <c r="H50" s="1">
        <f>VLOOKUP(D50, SURVLOOKUP!$A:$Q, 3, FALSE)</f>
        <v>43525</v>
      </c>
      <c r="I50" s="1">
        <f>VLOOKUP(D50, SURVLOOKUP!$A:$Q, 4, FALSE)</f>
        <v>43537</v>
      </c>
      <c r="J50" s="1">
        <f>VLOOKUP(D50, SURVLOOKUP!$A:$Q, 5, FALSE)</f>
        <v>43552</v>
      </c>
      <c r="K50" s="1">
        <f>VLOOKUP(D50, SURVLOOKUP!$A:$Q, 6, FALSE)</f>
        <v>43591</v>
      </c>
      <c r="L50" s="1">
        <f>VLOOKUP(D50, SURVLOOKUP!$A:$Q, 7, FALSE)</f>
        <v>43636</v>
      </c>
      <c r="M50" s="1">
        <f>VLOOKUP(D50, SURVLOOKUP!$A:$Q, 8, FALSE)</f>
        <v>43584</v>
      </c>
      <c r="N50" s="1">
        <f>VLOOKUP(D50, SURVLOOKUP!$A:$Q, 9, FALSE)</f>
        <v>43689</v>
      </c>
      <c r="O50" s="1" t="str">
        <f>VLOOKUP(D50, SURVLOOKUP!$A:$Q, 10, FALSE)</f>
        <v>NA</v>
      </c>
      <c r="P50" s="1">
        <f>VLOOKUP(D50, OLDSURVLOOKUP!$A:$AA, 19, FALSE)</f>
        <v>44092</v>
      </c>
      <c r="Q50" s="1">
        <f>VLOOKUP(D50, SURVLOOKUP!$A:$Q, 11, FALSE)</f>
        <v>44092</v>
      </c>
      <c r="R50" s="1">
        <f>VLOOKUP(D50, OLDSURVLOOKUP!$A:$AA, 20, FALSE)</f>
        <v>43725</v>
      </c>
      <c r="S50" s="1">
        <f>VLOOKUP(D50, SURVLOOKUP!$A:$Q, 12, FALSE)</f>
        <v>43725</v>
      </c>
      <c r="T50" s="1">
        <f>VLOOKUP(D50, OLDSURVLOOKUP!$A:$AA, 21, FALSE)</f>
        <v>44093</v>
      </c>
      <c r="U50" s="1">
        <f>VLOOKUP(D50, SURVLOOKUP!$A:$Q, 13, FALSE)</f>
        <v>44093</v>
      </c>
      <c r="V50">
        <f>_xlfn.XLOOKUP(D50, OLDSURVLOOKUP!$A:$A, OLDSURVLOOKUP!V:V)</f>
        <v>1</v>
      </c>
      <c r="W50">
        <f>VLOOKUP(D50, SURVLOOKUP!$A:$Q, 14, FALSE)</f>
        <v>1</v>
      </c>
      <c r="X50">
        <f>_xlfn.XLOOKUP(D50, OLDSURVLOOKUP!$A:$A, OLDSURVLOOKUP!X:X)</f>
        <v>1</v>
      </c>
      <c r="Y50">
        <f>VLOOKUP(D50, SURVLOOKUP!$A:$Q, 15, FALSE)</f>
        <v>1</v>
      </c>
      <c r="Z50">
        <f t="shared" si="4"/>
        <v>6.129032258064516</v>
      </c>
      <c r="AA50">
        <f t="shared" si="5"/>
        <v>6.129032258064516</v>
      </c>
      <c r="AB50">
        <f t="shared" si="6"/>
        <v>18.193548387096776</v>
      </c>
      <c r="AC50">
        <f t="shared" si="7"/>
        <v>18.193548387096776</v>
      </c>
      <c r="AD50">
        <f t="shared" si="8"/>
        <v>5.645161290322581</v>
      </c>
      <c r="AE50">
        <f t="shared" si="19"/>
        <v>5.645161290322581</v>
      </c>
      <c r="AF50">
        <f t="shared" si="16"/>
        <v>17.70967741935484</v>
      </c>
      <c r="AG50">
        <f t="shared" si="17"/>
        <v>17.70967741935484</v>
      </c>
      <c r="AH50">
        <f t="shared" si="9"/>
        <v>4.6333333333333329</v>
      </c>
      <c r="AI50">
        <f t="shared" si="10"/>
        <v>4.6333333333333329</v>
      </c>
      <c r="AJ50">
        <f t="shared" si="11"/>
        <v>16.7</v>
      </c>
      <c r="AK50">
        <f t="shared" si="12"/>
        <v>16.7</v>
      </c>
      <c r="AL50">
        <f t="shared" si="13"/>
        <v>2</v>
      </c>
      <c r="AM50" t="str">
        <f t="shared" si="18"/>
        <v>University of Louisville</v>
      </c>
      <c r="AN50">
        <v>1</v>
      </c>
      <c r="AO50">
        <v>19</v>
      </c>
      <c r="AP50">
        <f>VLOOKUP(D50, METADATALOOKUP!$A:$AI, 7, FALSE)</f>
        <v>33</v>
      </c>
      <c r="AQ50" t="str">
        <f>VLOOKUP(D50, METADATALOOKUP!$A:$AI, 8, FALSE)</f>
        <v>Male</v>
      </c>
      <c r="AR50" t="str">
        <f>VLOOKUP(D50, METADATALOOKUP!$A:$AI, 9, FALSE)</f>
        <v>White</v>
      </c>
      <c r="AS50" t="str">
        <f>VLOOKUP(D50, METADATALOOKUP!$A:$AI, 11, FALSE)</f>
        <v>Yes</v>
      </c>
      <c r="AT50" t="str">
        <f>VLOOKUP(D50, METADATALOOKUP!$A:$AI, 10, FALSE)</f>
        <v>Non-Hispanic</v>
      </c>
      <c r="AU50" t="str">
        <f>VLOOKUP(D50, METADATALOOKUP!$A:$AI, 12, FALSE)</f>
        <v>No</v>
      </c>
      <c r="AV50" t="str">
        <f>VLOOKUP(D50, METADATALOOKUP!$A:$AI, 14, FALSE)</f>
        <v>T4bN2bM0</v>
      </c>
      <c r="AW50" t="str">
        <f>VLOOKUP(D50, METADATALOOKUP!$A:$AI, 6, FALSE)</f>
        <v xml:space="preserve">High </v>
      </c>
      <c r="AX50" t="str">
        <f>VLOOKUP(D50, METADATALOOKUP!$A:$AI, 19, FALSE)</f>
        <v>Unknown</v>
      </c>
      <c r="AY50">
        <f>LOOKUP(D50, SURVLOOKUP!$A:$A, SURVLOOKUP!$P:$P)</f>
        <v>1</v>
      </c>
      <c r="AZ50" s="46">
        <v>0</v>
      </c>
      <c r="BA50" t="str">
        <f>TEXT(VLOOKUP(D50, METADATALOOKUP!$A:$AI, 34, FALSE), "@")</f>
        <v>&lt;10%</v>
      </c>
      <c r="BB50" s="47" t="str">
        <f t="shared" si="14"/>
        <v>Non-Responder</v>
      </c>
      <c r="BC50">
        <v>1.2</v>
      </c>
      <c r="BE50">
        <v>24</v>
      </c>
      <c r="BF50">
        <v>0.83333299999999999</v>
      </c>
      <c r="BG50">
        <v>49.166670000000003</v>
      </c>
      <c r="BH50">
        <v>8.6999999999999993</v>
      </c>
      <c r="BI50">
        <v>2.8735629999999999</v>
      </c>
      <c r="BJ50" t="s">
        <v>122</v>
      </c>
      <c r="BK50" t="s">
        <v>123</v>
      </c>
      <c r="BL50" t="s">
        <v>124</v>
      </c>
    </row>
    <row r="51" spans="1:64" x14ac:dyDescent="0.2">
      <c r="A51" s="3" t="s">
        <v>263</v>
      </c>
      <c r="B51" t="str">
        <f>VLOOKUP(A51, IDSLOOKUP!C:E, 2, FALSE)</f>
        <v>Screen</v>
      </c>
      <c r="C51" t="str">
        <f>VLOOKUP(D51, METADATALOOKUP!$A:$AI, 13, FALSE)</f>
        <v>Oral Cavity</v>
      </c>
      <c r="D51" t="str">
        <f>VLOOKUP(A51, IDSLOOKUP!C:E, 3, FALSE)</f>
        <v>HN05-06</v>
      </c>
      <c r="E51" s="48">
        <f>VLOOKUP(A51,CFDNALOOKUP!AG:AI,2,FALSE)</f>
        <v>44091</v>
      </c>
      <c r="F51" s="48">
        <f>VLOOKUP(A51,CFDNALOOKUP!AG:AI,3,FALSE)</f>
        <v>44179</v>
      </c>
      <c r="G51" s="1">
        <f>VLOOKUP(D51, SURVLOOKUP!$A:$Q, 2, FALSE)</f>
        <v>43510</v>
      </c>
      <c r="H51" s="1">
        <f>VLOOKUP(D51, SURVLOOKUP!$A:$Q, 3, FALSE)</f>
        <v>43532</v>
      </c>
      <c r="I51" s="1">
        <f>VLOOKUP(D51, SURVLOOKUP!$A:$Q, 4, FALSE)</f>
        <v>43542</v>
      </c>
      <c r="J51" s="1">
        <f>VLOOKUP(D51, SURVLOOKUP!$A:$Q, 5, FALSE)</f>
        <v>43549</v>
      </c>
      <c r="K51" s="1">
        <f>VLOOKUP(D51, SURVLOOKUP!$A:$Q, 6, FALSE)</f>
        <v>43593</v>
      </c>
      <c r="L51" s="1">
        <f>VLOOKUP(D51, SURVLOOKUP!$A:$Q, 7, FALSE)</f>
        <v>43636</v>
      </c>
      <c r="M51" s="1">
        <f>VLOOKUP(D51, SURVLOOKUP!$A:$Q, 8, FALSE)</f>
        <v>43586</v>
      </c>
      <c r="N51" s="1">
        <f>VLOOKUP(D51, SURVLOOKUP!$A:$Q, 9, FALSE)</f>
        <v>43691</v>
      </c>
      <c r="O51" s="1" t="str">
        <f>VLOOKUP(D51, SURVLOOKUP!$A:$Q, 10, FALSE)</f>
        <v>NA</v>
      </c>
      <c r="P51" s="1">
        <f>VLOOKUP(D51, OLDSURVLOOKUP!$A:$AA, 19, FALSE)</f>
        <v>43914</v>
      </c>
      <c r="Q51" s="1">
        <f>VLOOKUP(D51, SURVLOOKUP!$A:$Q, 11, FALSE)</f>
        <v>43914</v>
      </c>
      <c r="R51" s="1">
        <f>VLOOKUP(D51, OLDSURVLOOKUP!$A:$AA, 20, FALSE)</f>
        <v>43908</v>
      </c>
      <c r="S51" s="1">
        <f>VLOOKUP(D51, SURVLOOKUP!$A:$Q, 12, FALSE)</f>
        <v>43908</v>
      </c>
      <c r="T51" s="1">
        <f>VLOOKUP(D51, OLDSURVLOOKUP!$A:$AA, 21, FALSE)</f>
        <v>43915</v>
      </c>
      <c r="U51" s="1">
        <f>VLOOKUP(D51, SURVLOOKUP!$A:$Q, 13, FALSE)</f>
        <v>43915</v>
      </c>
      <c r="V51">
        <f>_xlfn.XLOOKUP(D51, OLDSURVLOOKUP!$A:$A, OLDSURVLOOKUP!V:V)</f>
        <v>1</v>
      </c>
      <c r="W51">
        <f>VLOOKUP(D51, SURVLOOKUP!$A:$Q, 14, FALSE)</f>
        <v>1</v>
      </c>
      <c r="X51">
        <f>_xlfn.XLOOKUP(D51, OLDSURVLOOKUP!$A:$A, OLDSURVLOOKUP!X:X)</f>
        <v>1</v>
      </c>
      <c r="Y51">
        <f>VLOOKUP(D51, SURVLOOKUP!$A:$Q, 15, FALSE)</f>
        <v>1</v>
      </c>
      <c r="Z51">
        <f t="shared" si="4"/>
        <v>12</v>
      </c>
      <c r="AA51">
        <f t="shared" si="5"/>
        <v>12</v>
      </c>
      <c r="AB51">
        <f t="shared" si="6"/>
        <v>12.225806451612904</v>
      </c>
      <c r="AC51">
        <f t="shared" si="7"/>
        <v>12.225806451612904</v>
      </c>
      <c r="AD51">
        <f t="shared" si="8"/>
        <v>11.709677419354838</v>
      </c>
      <c r="AE51">
        <f t="shared" si="19"/>
        <v>11.709677419354838</v>
      </c>
      <c r="AF51">
        <f t="shared" si="16"/>
        <v>12</v>
      </c>
      <c r="AG51">
        <f t="shared" si="17"/>
        <v>12</v>
      </c>
      <c r="AH51">
        <f t="shared" si="9"/>
        <v>10.548387096774194</v>
      </c>
      <c r="AI51">
        <f t="shared" si="10"/>
        <v>10.548387096774194</v>
      </c>
      <c r="AJ51">
        <f t="shared" si="11"/>
        <v>10.774193548387096</v>
      </c>
      <c r="AK51">
        <f t="shared" si="12"/>
        <v>10.774193548387096</v>
      </c>
      <c r="AL51">
        <f t="shared" si="13"/>
        <v>2</v>
      </c>
      <c r="AM51" t="str">
        <f t="shared" si="18"/>
        <v>University of Louisville</v>
      </c>
      <c r="AN51">
        <v>0</v>
      </c>
      <c r="AO51">
        <v>20</v>
      </c>
      <c r="AP51">
        <f>VLOOKUP(D51, METADATALOOKUP!$A:$AI, 7, FALSE)</f>
        <v>55</v>
      </c>
      <c r="AQ51" t="str">
        <f>VLOOKUP(D51, METADATALOOKUP!$A:$AI, 8, FALSE)</f>
        <v>Male</v>
      </c>
      <c r="AR51" t="str">
        <f>VLOOKUP(D51, METADATALOOKUP!$A:$AI, 9, FALSE)</f>
        <v>White</v>
      </c>
      <c r="AS51" t="str">
        <f>VLOOKUP(D51, METADATALOOKUP!$A:$AI, 11, FALSE)</f>
        <v>Yes</v>
      </c>
      <c r="AT51" t="str">
        <f>VLOOKUP(D51, METADATALOOKUP!$A:$AI, 10, FALSE)</f>
        <v>Unknown</v>
      </c>
      <c r="AU51" t="str">
        <f>VLOOKUP(D51, METADATALOOKUP!$A:$AI, 12, FALSE)</f>
        <v>Yes</v>
      </c>
      <c r="AV51" t="str">
        <f>VLOOKUP(D51, METADATALOOKUP!$A:$AI, 14, FALSE)</f>
        <v>T4aN2bMx</v>
      </c>
      <c r="AW51" t="str">
        <f>VLOOKUP(D51, METADATALOOKUP!$A:$AI, 6, FALSE)</f>
        <v xml:space="preserve">High </v>
      </c>
      <c r="AX51" t="str">
        <f>VLOOKUP(D51, METADATALOOKUP!$A:$AI, 19, FALSE)</f>
        <v>Unknown</v>
      </c>
      <c r="AY51">
        <f>LOOKUP(D51, SURVLOOKUP!$A:$A, SURVLOOKUP!$P:$P)</f>
        <v>0</v>
      </c>
      <c r="AZ51" s="46">
        <v>0</v>
      </c>
      <c r="BA51" t="str">
        <f>TEXT(VLOOKUP(D51, METADATALOOKUP!$A:$AI, 34, FALSE), "@")</f>
        <v>&lt;10%</v>
      </c>
      <c r="BB51" s="47" t="str">
        <f t="shared" si="14"/>
        <v>Non-Responder</v>
      </c>
      <c r="BC51">
        <v>0.192</v>
      </c>
      <c r="BE51">
        <v>24</v>
      </c>
      <c r="BF51">
        <v>5.2083329999999997</v>
      </c>
      <c r="BG51">
        <v>44.791670000000003</v>
      </c>
      <c r="BH51">
        <v>15.4</v>
      </c>
      <c r="BI51">
        <v>1.6233770000000001</v>
      </c>
      <c r="BJ51" t="s">
        <v>205</v>
      </c>
      <c r="BK51" t="s">
        <v>206</v>
      </c>
      <c r="BL51" t="s">
        <v>207</v>
      </c>
    </row>
    <row r="52" spans="1:64" x14ac:dyDescent="0.2">
      <c r="A52" s="3" t="s">
        <v>266</v>
      </c>
      <c r="B52" t="str">
        <f>VLOOKUP(A52, IDSLOOKUP!C:E, 2, FALSE)</f>
        <v>Day 0</v>
      </c>
      <c r="C52" t="str">
        <f>VLOOKUP(D52, METADATALOOKUP!$A:$AI, 13, FALSE)</f>
        <v>Oral Cavity</v>
      </c>
      <c r="D52" t="str">
        <f>VLOOKUP(A52, IDSLOOKUP!C:E, 3, FALSE)</f>
        <v>HN05-06</v>
      </c>
      <c r="E52" s="48">
        <f>VLOOKUP(A52,CFDNALOOKUP!AG:AI,2,FALSE)</f>
        <v>44091</v>
      </c>
      <c r="F52" s="48">
        <f>VLOOKUP(A52,CFDNALOOKUP!AG:AI,3,FALSE)</f>
        <v>44180</v>
      </c>
      <c r="G52" s="1">
        <f>VLOOKUP(D52, SURVLOOKUP!$A:$Q, 2, FALSE)</f>
        <v>43510</v>
      </c>
      <c r="H52" s="1">
        <f>VLOOKUP(D52, SURVLOOKUP!$A:$Q, 3, FALSE)</f>
        <v>43532</v>
      </c>
      <c r="I52" s="1">
        <f>VLOOKUP(D52, SURVLOOKUP!$A:$Q, 4, FALSE)</f>
        <v>43542</v>
      </c>
      <c r="J52" s="1">
        <f>VLOOKUP(D52, SURVLOOKUP!$A:$Q, 5, FALSE)</f>
        <v>43549</v>
      </c>
      <c r="K52" s="1">
        <f>VLOOKUP(D52, SURVLOOKUP!$A:$Q, 6, FALSE)</f>
        <v>43593</v>
      </c>
      <c r="L52" s="1">
        <f>VLOOKUP(D52, SURVLOOKUP!$A:$Q, 7, FALSE)</f>
        <v>43636</v>
      </c>
      <c r="M52" s="1">
        <f>VLOOKUP(D52, SURVLOOKUP!$A:$Q, 8, FALSE)</f>
        <v>43586</v>
      </c>
      <c r="N52" s="1">
        <f>VLOOKUP(D52, SURVLOOKUP!$A:$Q, 9, FALSE)</f>
        <v>43691</v>
      </c>
      <c r="O52" s="1" t="str">
        <f>VLOOKUP(D52, SURVLOOKUP!$A:$Q, 10, FALSE)</f>
        <v>NA</v>
      </c>
      <c r="P52" s="1">
        <f>VLOOKUP(D52, OLDSURVLOOKUP!$A:$AA, 19, FALSE)</f>
        <v>43914</v>
      </c>
      <c r="Q52" s="1">
        <f>VLOOKUP(D52, SURVLOOKUP!$A:$Q, 11, FALSE)</f>
        <v>43914</v>
      </c>
      <c r="R52" s="1">
        <f>VLOOKUP(D52, OLDSURVLOOKUP!$A:$AA, 20, FALSE)</f>
        <v>43908</v>
      </c>
      <c r="S52" s="1">
        <f>VLOOKUP(D52, SURVLOOKUP!$A:$Q, 12, FALSE)</f>
        <v>43908</v>
      </c>
      <c r="T52" s="1">
        <f>VLOOKUP(D52, OLDSURVLOOKUP!$A:$AA, 21, FALSE)</f>
        <v>43915</v>
      </c>
      <c r="U52" s="1">
        <f>VLOOKUP(D52, SURVLOOKUP!$A:$Q, 13, FALSE)</f>
        <v>43915</v>
      </c>
      <c r="V52">
        <f>_xlfn.XLOOKUP(D52, OLDSURVLOOKUP!$A:$A, OLDSURVLOOKUP!V:V)</f>
        <v>1</v>
      </c>
      <c r="W52">
        <f>VLOOKUP(D52, SURVLOOKUP!$A:$Q, 14, FALSE)</f>
        <v>1</v>
      </c>
      <c r="X52">
        <f>_xlfn.XLOOKUP(D52, OLDSURVLOOKUP!$A:$A, OLDSURVLOOKUP!X:X)</f>
        <v>1</v>
      </c>
      <c r="Y52">
        <f>VLOOKUP(D52, SURVLOOKUP!$A:$Q, 15, FALSE)</f>
        <v>1</v>
      </c>
      <c r="Z52">
        <f t="shared" si="4"/>
        <v>12</v>
      </c>
      <c r="AA52">
        <f t="shared" si="5"/>
        <v>12</v>
      </c>
      <c r="AB52">
        <f t="shared" si="6"/>
        <v>12.225806451612904</v>
      </c>
      <c r="AC52">
        <f t="shared" si="7"/>
        <v>12.225806451612904</v>
      </c>
      <c r="AD52">
        <f t="shared" si="8"/>
        <v>11.709677419354838</v>
      </c>
      <c r="AE52">
        <f t="shared" si="19"/>
        <v>11.709677419354838</v>
      </c>
      <c r="AF52">
        <f t="shared" si="16"/>
        <v>12</v>
      </c>
      <c r="AG52">
        <f t="shared" si="17"/>
        <v>12</v>
      </c>
      <c r="AH52">
        <f t="shared" si="9"/>
        <v>10.548387096774194</v>
      </c>
      <c r="AI52">
        <f t="shared" si="10"/>
        <v>10.548387096774194</v>
      </c>
      <c r="AJ52">
        <f t="shared" si="11"/>
        <v>10.774193548387096</v>
      </c>
      <c r="AK52">
        <f t="shared" si="12"/>
        <v>10.774193548387096</v>
      </c>
      <c r="AL52">
        <f t="shared" si="13"/>
        <v>2</v>
      </c>
      <c r="AM52" t="str">
        <f t="shared" si="18"/>
        <v>University of Louisville</v>
      </c>
      <c r="AN52">
        <v>0</v>
      </c>
      <c r="AO52">
        <v>20</v>
      </c>
      <c r="AP52">
        <f>VLOOKUP(D52, METADATALOOKUP!$A:$AI, 7, FALSE)</f>
        <v>55</v>
      </c>
      <c r="AQ52" t="str">
        <f>VLOOKUP(D52, METADATALOOKUP!$A:$AI, 8, FALSE)</f>
        <v>Male</v>
      </c>
      <c r="AR52" t="str">
        <f>VLOOKUP(D52, METADATALOOKUP!$A:$AI, 9, FALSE)</f>
        <v>White</v>
      </c>
      <c r="AS52" t="str">
        <f>VLOOKUP(D52, METADATALOOKUP!$A:$AI, 11, FALSE)</f>
        <v>Yes</v>
      </c>
      <c r="AT52" t="str">
        <f>VLOOKUP(D52, METADATALOOKUP!$A:$AI, 10, FALSE)</f>
        <v>Unknown</v>
      </c>
      <c r="AU52" t="str">
        <f>VLOOKUP(D52, METADATALOOKUP!$A:$AI, 12, FALSE)</f>
        <v>Yes</v>
      </c>
      <c r="AV52" t="str">
        <f>VLOOKUP(D52, METADATALOOKUP!$A:$AI, 14, FALSE)</f>
        <v>T4aN2bMx</v>
      </c>
      <c r="AW52" t="str">
        <f>VLOOKUP(D52, METADATALOOKUP!$A:$AI, 6, FALSE)</f>
        <v xml:space="preserve">High </v>
      </c>
      <c r="AX52" t="str">
        <f>VLOOKUP(D52, METADATALOOKUP!$A:$AI, 19, FALSE)</f>
        <v>Unknown</v>
      </c>
      <c r="AY52">
        <f>LOOKUP(D52, SURVLOOKUP!$A:$A, SURVLOOKUP!$P:$P)</f>
        <v>0</v>
      </c>
      <c r="AZ52" s="46">
        <v>0</v>
      </c>
      <c r="BA52" t="str">
        <f>TEXT(VLOOKUP(D52, METADATALOOKUP!$A:$AI, 34, FALSE), "@")</f>
        <v>&lt;10%</v>
      </c>
      <c r="BB52" s="47" t="str">
        <f t="shared" si="14"/>
        <v>Non-Responder</v>
      </c>
      <c r="BC52">
        <v>0.8</v>
      </c>
      <c r="BE52">
        <v>24</v>
      </c>
      <c r="BF52">
        <v>1.25</v>
      </c>
      <c r="BG52">
        <v>48.75</v>
      </c>
      <c r="BH52">
        <v>9.76</v>
      </c>
      <c r="BI52">
        <v>2.5614750000000002</v>
      </c>
      <c r="BJ52" t="s">
        <v>161</v>
      </c>
      <c r="BK52" t="s">
        <v>162</v>
      </c>
      <c r="BL52" t="s">
        <v>163</v>
      </c>
    </row>
    <row r="53" spans="1:64" x14ac:dyDescent="0.2">
      <c r="A53" s="3" t="s">
        <v>267</v>
      </c>
      <c r="B53" t="str">
        <f>VLOOKUP(A53, IDSLOOKUP!C:E, 2, FALSE)</f>
        <v>Adj Wk 1</v>
      </c>
      <c r="C53" t="str">
        <f>VLOOKUP(D53, METADATALOOKUP!$A:$AI, 13, FALSE)</f>
        <v>Oral Cavity</v>
      </c>
      <c r="D53" t="str">
        <f>VLOOKUP(A53, IDSLOOKUP!C:E, 3, FALSE)</f>
        <v>HN05-06</v>
      </c>
      <c r="E53" s="48">
        <f>VLOOKUP(A53,CFDNALOOKUP!AG:AI,2,FALSE)</f>
        <v>44091</v>
      </c>
      <c r="F53" s="48">
        <f>VLOOKUP(A53,CFDNALOOKUP!AG:AI,3,FALSE)</f>
        <v>44179</v>
      </c>
      <c r="G53" s="1">
        <f>VLOOKUP(D53, SURVLOOKUP!$A:$Q, 2, FALSE)</f>
        <v>43510</v>
      </c>
      <c r="H53" s="1">
        <f>VLOOKUP(D53, SURVLOOKUP!$A:$Q, 3, FALSE)</f>
        <v>43532</v>
      </c>
      <c r="I53" s="1">
        <f>VLOOKUP(D53, SURVLOOKUP!$A:$Q, 4, FALSE)</f>
        <v>43542</v>
      </c>
      <c r="J53" s="1">
        <f>VLOOKUP(D53, SURVLOOKUP!$A:$Q, 5, FALSE)</f>
        <v>43549</v>
      </c>
      <c r="K53" s="1">
        <f>VLOOKUP(D53, SURVLOOKUP!$A:$Q, 6, FALSE)</f>
        <v>43593</v>
      </c>
      <c r="L53" s="1">
        <f>VLOOKUP(D53, SURVLOOKUP!$A:$Q, 7, FALSE)</f>
        <v>43636</v>
      </c>
      <c r="M53" s="1">
        <f>VLOOKUP(D53, SURVLOOKUP!$A:$Q, 8, FALSE)</f>
        <v>43586</v>
      </c>
      <c r="N53" s="1">
        <f>VLOOKUP(D53, SURVLOOKUP!$A:$Q, 9, FALSE)</f>
        <v>43691</v>
      </c>
      <c r="O53" s="1" t="str">
        <f>VLOOKUP(D53, SURVLOOKUP!$A:$Q, 10, FALSE)</f>
        <v>NA</v>
      </c>
      <c r="P53" s="1">
        <f>VLOOKUP(D53, OLDSURVLOOKUP!$A:$AA, 19, FALSE)</f>
        <v>43914</v>
      </c>
      <c r="Q53" s="1">
        <f>VLOOKUP(D53, SURVLOOKUP!$A:$Q, 11, FALSE)</f>
        <v>43914</v>
      </c>
      <c r="R53" s="1">
        <f>VLOOKUP(D53, OLDSURVLOOKUP!$A:$AA, 20, FALSE)</f>
        <v>43908</v>
      </c>
      <c r="S53" s="1">
        <f>VLOOKUP(D53, SURVLOOKUP!$A:$Q, 12, FALSE)</f>
        <v>43908</v>
      </c>
      <c r="T53" s="1">
        <f>VLOOKUP(D53, OLDSURVLOOKUP!$A:$AA, 21, FALSE)</f>
        <v>43915</v>
      </c>
      <c r="U53" s="1">
        <f>VLOOKUP(D53, SURVLOOKUP!$A:$Q, 13, FALSE)</f>
        <v>43915</v>
      </c>
      <c r="V53">
        <f>_xlfn.XLOOKUP(D53, OLDSURVLOOKUP!$A:$A, OLDSURVLOOKUP!V:V)</f>
        <v>1</v>
      </c>
      <c r="W53">
        <f>VLOOKUP(D53, SURVLOOKUP!$A:$Q, 14, FALSE)</f>
        <v>1</v>
      </c>
      <c r="X53">
        <f>_xlfn.XLOOKUP(D53, OLDSURVLOOKUP!$A:$A, OLDSURVLOOKUP!X:X)</f>
        <v>1</v>
      </c>
      <c r="Y53">
        <f>VLOOKUP(D53, SURVLOOKUP!$A:$Q, 15, FALSE)</f>
        <v>1</v>
      </c>
      <c r="Z53">
        <f t="shared" si="4"/>
        <v>12</v>
      </c>
      <c r="AA53">
        <f t="shared" si="5"/>
        <v>12</v>
      </c>
      <c r="AB53">
        <f t="shared" si="6"/>
        <v>12.225806451612904</v>
      </c>
      <c r="AC53">
        <f t="shared" si="7"/>
        <v>12.225806451612904</v>
      </c>
      <c r="AD53">
        <f t="shared" si="8"/>
        <v>11.709677419354838</v>
      </c>
      <c r="AE53">
        <f t="shared" si="19"/>
        <v>11.709677419354838</v>
      </c>
      <c r="AF53">
        <f t="shared" si="16"/>
        <v>12</v>
      </c>
      <c r="AG53">
        <f t="shared" si="17"/>
        <v>12</v>
      </c>
      <c r="AH53">
        <f t="shared" si="9"/>
        <v>10.548387096774194</v>
      </c>
      <c r="AI53">
        <f t="shared" si="10"/>
        <v>10.548387096774194</v>
      </c>
      <c r="AJ53">
        <f t="shared" si="11"/>
        <v>10.774193548387096</v>
      </c>
      <c r="AK53">
        <f t="shared" si="12"/>
        <v>10.774193548387096</v>
      </c>
      <c r="AL53">
        <f t="shared" si="13"/>
        <v>2</v>
      </c>
      <c r="AM53" t="str">
        <f t="shared" si="18"/>
        <v>University of Louisville</v>
      </c>
      <c r="AN53">
        <v>0</v>
      </c>
      <c r="AO53">
        <v>20</v>
      </c>
      <c r="AP53">
        <f>VLOOKUP(D53, METADATALOOKUP!$A:$AI, 7, FALSE)</f>
        <v>55</v>
      </c>
      <c r="AQ53" t="str">
        <f>VLOOKUP(D53, METADATALOOKUP!$A:$AI, 8, FALSE)</f>
        <v>Male</v>
      </c>
      <c r="AR53" t="str">
        <f>VLOOKUP(D53, METADATALOOKUP!$A:$AI, 9, FALSE)</f>
        <v>White</v>
      </c>
      <c r="AS53" t="str">
        <f>VLOOKUP(D53, METADATALOOKUP!$A:$AI, 11, FALSE)</f>
        <v>Yes</v>
      </c>
      <c r="AT53" t="str">
        <f>VLOOKUP(D53, METADATALOOKUP!$A:$AI, 10, FALSE)</f>
        <v>Unknown</v>
      </c>
      <c r="AU53" t="str">
        <f>VLOOKUP(D53, METADATALOOKUP!$A:$AI, 12, FALSE)</f>
        <v>Yes</v>
      </c>
      <c r="AV53" t="str">
        <f>VLOOKUP(D53, METADATALOOKUP!$A:$AI, 14, FALSE)</f>
        <v>T4aN2bMx</v>
      </c>
      <c r="AW53" t="str">
        <f>VLOOKUP(D53, METADATALOOKUP!$A:$AI, 6, FALSE)</f>
        <v xml:space="preserve">High </v>
      </c>
      <c r="AX53" t="str">
        <f>VLOOKUP(D53, METADATALOOKUP!$A:$AI, 19, FALSE)</f>
        <v>Unknown</v>
      </c>
      <c r="AY53">
        <f>LOOKUP(D53, SURVLOOKUP!$A:$A, SURVLOOKUP!$P:$P)</f>
        <v>0</v>
      </c>
      <c r="AZ53" s="46">
        <v>0</v>
      </c>
      <c r="BA53" t="str">
        <f>TEXT(VLOOKUP(D53, METADATALOOKUP!$A:$AI, 34, FALSE), "@")</f>
        <v>&lt;10%</v>
      </c>
      <c r="BB53" s="47" t="str">
        <f t="shared" si="14"/>
        <v>Non-Responder</v>
      </c>
      <c r="BC53">
        <v>2.7</v>
      </c>
      <c r="BE53">
        <v>24</v>
      </c>
      <c r="BF53">
        <v>0.37036999999999998</v>
      </c>
      <c r="BG53">
        <v>49.629629999999999</v>
      </c>
      <c r="BH53">
        <v>13</v>
      </c>
      <c r="BI53">
        <v>1.9230769999999999</v>
      </c>
      <c r="BJ53" t="s">
        <v>268</v>
      </c>
      <c r="BK53" t="s">
        <v>269</v>
      </c>
      <c r="BL53" t="s">
        <v>270</v>
      </c>
    </row>
    <row r="54" spans="1:64" x14ac:dyDescent="0.2">
      <c r="A54" s="3" t="s">
        <v>271</v>
      </c>
      <c r="B54" t="str">
        <f>VLOOKUP(A54, IDSLOOKUP!C:E, 2, FALSE)</f>
        <v>Screen</v>
      </c>
      <c r="C54" t="str">
        <f>VLOOKUP(D54, METADATALOOKUP!$A:$AI, 13, FALSE)</f>
        <v>Oral Cavity</v>
      </c>
      <c r="D54" t="str">
        <f>VLOOKUP(A54, IDSLOOKUP!C:E, 3, FALSE)</f>
        <v>HN05-09</v>
      </c>
      <c r="E54" s="48">
        <f>VLOOKUP(A54,CFDNALOOKUP!AG:AI,2,FALSE)</f>
        <v>44091</v>
      </c>
      <c r="F54" s="48">
        <f>VLOOKUP(A54,CFDNALOOKUP!AG:AI,3,FALSE)</f>
        <v>44180</v>
      </c>
      <c r="G54" s="1">
        <f>VLOOKUP(D54, SURVLOOKUP!$A:$Q, 2, FALSE)</f>
        <v>43740</v>
      </c>
      <c r="H54" s="1">
        <f>VLOOKUP(D54, SURVLOOKUP!$A:$Q, 3, FALSE)</f>
        <v>43766</v>
      </c>
      <c r="I54" s="1">
        <f>VLOOKUP(D54, SURVLOOKUP!$A:$Q, 4, FALSE)</f>
        <v>43770</v>
      </c>
      <c r="J54" s="1">
        <f>VLOOKUP(D54, SURVLOOKUP!$A:$Q, 5, FALSE)</f>
        <v>43780</v>
      </c>
      <c r="K54" s="1">
        <f>VLOOKUP(D54, SURVLOOKUP!$A:$Q, 6, FALSE)</f>
        <v>43817</v>
      </c>
      <c r="L54" s="1">
        <f>VLOOKUP(D54, SURVLOOKUP!$A:$Q, 7, FALSE)</f>
        <v>43864</v>
      </c>
      <c r="M54" s="1">
        <f>VLOOKUP(D54, SURVLOOKUP!$A:$Q, 8, FALSE)</f>
        <v>43810</v>
      </c>
      <c r="N54" s="1">
        <f>VLOOKUP(D54, SURVLOOKUP!$A:$Q, 9, FALSE)</f>
        <v>43915</v>
      </c>
      <c r="O54" s="1" t="str">
        <f>VLOOKUP(D54, SURVLOOKUP!$A:$Q, 10, FALSE)</f>
        <v>NA</v>
      </c>
      <c r="P54" s="1">
        <f>VLOOKUP(D54, OLDSURVLOOKUP!$A:$AA, 19, FALSE)</f>
        <v>44256</v>
      </c>
      <c r="Q54" s="1">
        <f>VLOOKUP(D54, SURVLOOKUP!$A:$Q, 11, FALSE)</f>
        <v>45383</v>
      </c>
      <c r="R54" s="1"/>
      <c r="S54" s="1"/>
      <c r="T54" s="1"/>
      <c r="U54" s="1"/>
      <c r="V54">
        <f>_xlfn.XLOOKUP(D54, OLDSURVLOOKUP!$A:$A, OLDSURVLOOKUP!V:V)</f>
        <v>0</v>
      </c>
      <c r="W54">
        <f>VLOOKUP(D54, SURVLOOKUP!$A:$Q, 14, FALSE)</f>
        <v>0</v>
      </c>
      <c r="X54">
        <f>_xlfn.XLOOKUP(D54, OLDSURVLOOKUP!$A:$A, OLDSURVLOOKUP!X:X)</f>
        <v>0</v>
      </c>
      <c r="Y54">
        <f>VLOOKUP(D54, SURVLOOKUP!$A:$Q, 15, FALSE)</f>
        <v>0</v>
      </c>
      <c r="Z54">
        <f t="shared" si="4"/>
        <v>16</v>
      </c>
      <c r="AA54">
        <f t="shared" si="5"/>
        <v>53</v>
      </c>
      <c r="AB54">
        <f t="shared" si="6"/>
        <v>16</v>
      </c>
      <c r="AC54">
        <f t="shared" si="7"/>
        <v>53</v>
      </c>
      <c r="AD54">
        <f t="shared" si="8"/>
        <v>15.6</v>
      </c>
      <c r="AE54">
        <f t="shared" si="19"/>
        <v>52.7</v>
      </c>
      <c r="AF54">
        <f t="shared" si="16"/>
        <v>15.6</v>
      </c>
      <c r="AG54">
        <f t="shared" si="17"/>
        <v>52.7</v>
      </c>
      <c r="AH54">
        <f t="shared" si="9"/>
        <v>14.580645161290322</v>
      </c>
      <c r="AI54">
        <f t="shared" si="10"/>
        <v>51.677419354838712</v>
      </c>
      <c r="AJ54">
        <f t="shared" si="11"/>
        <v>14.580645161290322</v>
      </c>
      <c r="AK54">
        <f t="shared" si="12"/>
        <v>51.677419354838712</v>
      </c>
      <c r="AL54">
        <f t="shared" si="13"/>
        <v>2</v>
      </c>
      <c r="AM54" t="str">
        <f t="shared" si="18"/>
        <v>University of Louisville</v>
      </c>
      <c r="AN54">
        <v>0</v>
      </c>
      <c r="AO54">
        <v>21</v>
      </c>
      <c r="AP54">
        <f>VLOOKUP(D54, METADATALOOKUP!$A:$AI, 7, FALSE)</f>
        <v>59</v>
      </c>
      <c r="AQ54" t="str">
        <f>VLOOKUP(D54, METADATALOOKUP!$A:$AI, 8, FALSE)</f>
        <v>Male</v>
      </c>
      <c r="AR54" t="str">
        <f>VLOOKUP(D54, METADATALOOKUP!$A:$AI, 9, FALSE)</f>
        <v>White</v>
      </c>
      <c r="AS54" t="str">
        <f>VLOOKUP(D54, METADATALOOKUP!$A:$AI, 11, FALSE)</f>
        <v>Yes</v>
      </c>
      <c r="AT54" t="str">
        <f>VLOOKUP(D54, METADATALOOKUP!$A:$AI, 10, FALSE)</f>
        <v>Non-Hispanic</v>
      </c>
      <c r="AU54" t="str">
        <f>VLOOKUP(D54, METADATALOOKUP!$A:$AI, 12, FALSE)</f>
        <v>Yes</v>
      </c>
      <c r="AV54" t="str">
        <f>VLOOKUP(D54, METADATALOOKUP!$A:$AI, 14, FALSE)</f>
        <v>T4aN0M0</v>
      </c>
      <c r="AW54" t="str">
        <f>VLOOKUP(D54, METADATALOOKUP!$A:$AI, 6, FALSE)</f>
        <v>Intermediate</v>
      </c>
      <c r="AX54" t="str">
        <f>VLOOKUP(D54, METADATALOOKUP!$A:$AI, 19, FALSE)</f>
        <v>Unknown</v>
      </c>
      <c r="AY54">
        <f>LOOKUP(D54, SURVLOOKUP!$A:$A, SURVLOOKUP!$P:$P)</f>
        <v>1</v>
      </c>
      <c r="AZ54" s="46">
        <v>5</v>
      </c>
      <c r="BA54" t="str">
        <f>TEXT(VLOOKUP(D54, METADATALOOKUP!$A:$AI, 34, FALSE), "@")</f>
        <v>0.5</v>
      </c>
      <c r="BB54" s="47" t="str">
        <f t="shared" si="14"/>
        <v>Responder</v>
      </c>
      <c r="BC54">
        <v>0.59</v>
      </c>
      <c r="BE54">
        <v>24</v>
      </c>
      <c r="BF54">
        <v>1.6949149999999999</v>
      </c>
      <c r="BG54">
        <v>48.305079999999997</v>
      </c>
      <c r="BH54">
        <v>6.1</v>
      </c>
      <c r="BI54">
        <v>4.0983609999999997</v>
      </c>
      <c r="BJ54" t="s">
        <v>195</v>
      </c>
      <c r="BK54" t="s">
        <v>196</v>
      </c>
      <c r="BL54" t="s">
        <v>197</v>
      </c>
    </row>
    <row r="55" spans="1:64" x14ac:dyDescent="0.2">
      <c r="A55" s="3" t="s">
        <v>273</v>
      </c>
      <c r="B55" t="str">
        <f>VLOOKUP(A55, IDSLOOKUP!C:E, 2, FALSE)</f>
        <v>Day 0</v>
      </c>
      <c r="C55" t="str">
        <f>VLOOKUP(D55, METADATALOOKUP!$A:$AI, 13, FALSE)</f>
        <v>Oral Cavity</v>
      </c>
      <c r="D55" t="str">
        <f>VLOOKUP(A55, IDSLOOKUP!C:E, 3, FALSE)</f>
        <v>HN05-09</v>
      </c>
      <c r="E55" s="48">
        <f>VLOOKUP(A55,CFDNALOOKUP!AG:AI,2,FALSE)</f>
        <v>44091</v>
      </c>
      <c r="F55" s="48">
        <f>VLOOKUP(A55,CFDNALOOKUP!AG:AI,3,FALSE)</f>
        <v>44179</v>
      </c>
      <c r="G55" s="1">
        <f>VLOOKUP(D55, SURVLOOKUP!$A:$Q, 2, FALSE)</f>
        <v>43740</v>
      </c>
      <c r="H55" s="1">
        <f>VLOOKUP(D55, SURVLOOKUP!$A:$Q, 3, FALSE)</f>
        <v>43766</v>
      </c>
      <c r="I55" s="1">
        <f>VLOOKUP(D55, SURVLOOKUP!$A:$Q, 4, FALSE)</f>
        <v>43770</v>
      </c>
      <c r="J55" s="1">
        <f>VLOOKUP(D55, SURVLOOKUP!$A:$Q, 5, FALSE)</f>
        <v>43780</v>
      </c>
      <c r="K55" s="1">
        <f>VLOOKUP(D55, SURVLOOKUP!$A:$Q, 6, FALSE)</f>
        <v>43817</v>
      </c>
      <c r="L55" s="1">
        <f>VLOOKUP(D55, SURVLOOKUP!$A:$Q, 7, FALSE)</f>
        <v>43864</v>
      </c>
      <c r="M55" s="1">
        <f>VLOOKUP(D55, SURVLOOKUP!$A:$Q, 8, FALSE)</f>
        <v>43810</v>
      </c>
      <c r="N55" s="1">
        <f>VLOOKUP(D55, SURVLOOKUP!$A:$Q, 9, FALSE)</f>
        <v>43915</v>
      </c>
      <c r="O55" s="1" t="str">
        <f>VLOOKUP(D55, SURVLOOKUP!$A:$Q, 10, FALSE)</f>
        <v>NA</v>
      </c>
      <c r="P55" s="1">
        <f>VLOOKUP(D55, OLDSURVLOOKUP!$A:$AA, 19, FALSE)</f>
        <v>44256</v>
      </c>
      <c r="Q55" s="1">
        <f>VLOOKUP(D55, SURVLOOKUP!$A:$Q, 11, FALSE)</f>
        <v>45383</v>
      </c>
      <c r="R55" s="1"/>
      <c r="S55" s="1"/>
      <c r="T55" s="1"/>
      <c r="U55" s="1"/>
      <c r="V55">
        <f>_xlfn.XLOOKUP(D55, OLDSURVLOOKUP!$A:$A, OLDSURVLOOKUP!V:V)</f>
        <v>0</v>
      </c>
      <c r="W55">
        <f>VLOOKUP(D55, SURVLOOKUP!$A:$Q, 14, FALSE)</f>
        <v>0</v>
      </c>
      <c r="X55">
        <f>_xlfn.XLOOKUP(D55, OLDSURVLOOKUP!$A:$A, OLDSURVLOOKUP!X:X)</f>
        <v>0</v>
      </c>
      <c r="Y55">
        <f>VLOOKUP(D55, SURVLOOKUP!$A:$Q, 15, FALSE)</f>
        <v>0</v>
      </c>
      <c r="Z55">
        <f t="shared" si="4"/>
        <v>16</v>
      </c>
      <c r="AA55">
        <f t="shared" si="5"/>
        <v>53</v>
      </c>
      <c r="AB55">
        <f t="shared" si="6"/>
        <v>16</v>
      </c>
      <c r="AC55">
        <f t="shared" si="7"/>
        <v>53</v>
      </c>
      <c r="AD55">
        <f t="shared" si="8"/>
        <v>15.6</v>
      </c>
      <c r="AE55">
        <f t="shared" si="19"/>
        <v>52.7</v>
      </c>
      <c r="AF55">
        <f t="shared" si="16"/>
        <v>15.6</v>
      </c>
      <c r="AG55">
        <f t="shared" si="17"/>
        <v>52.7</v>
      </c>
      <c r="AH55">
        <f t="shared" si="9"/>
        <v>14.580645161290322</v>
      </c>
      <c r="AI55">
        <f t="shared" si="10"/>
        <v>51.677419354838712</v>
      </c>
      <c r="AJ55">
        <f t="shared" si="11"/>
        <v>14.580645161290322</v>
      </c>
      <c r="AK55">
        <f t="shared" si="12"/>
        <v>51.677419354838712</v>
      </c>
      <c r="AL55">
        <f t="shared" si="13"/>
        <v>2</v>
      </c>
      <c r="AM55" t="str">
        <f t="shared" si="18"/>
        <v>University of Louisville</v>
      </c>
      <c r="AN55">
        <v>0</v>
      </c>
      <c r="AO55">
        <v>21</v>
      </c>
      <c r="AP55">
        <f>VLOOKUP(D55, METADATALOOKUP!$A:$AI, 7, FALSE)</f>
        <v>59</v>
      </c>
      <c r="AQ55" t="str">
        <f>VLOOKUP(D55, METADATALOOKUP!$A:$AI, 8, FALSE)</f>
        <v>Male</v>
      </c>
      <c r="AR55" t="str">
        <f>VLOOKUP(D55, METADATALOOKUP!$A:$AI, 9, FALSE)</f>
        <v>White</v>
      </c>
      <c r="AS55" t="str">
        <f>VLOOKUP(D55, METADATALOOKUP!$A:$AI, 11, FALSE)</f>
        <v>Yes</v>
      </c>
      <c r="AT55" t="str">
        <f>VLOOKUP(D55, METADATALOOKUP!$A:$AI, 10, FALSE)</f>
        <v>Non-Hispanic</v>
      </c>
      <c r="AU55" t="str">
        <f>VLOOKUP(D55, METADATALOOKUP!$A:$AI, 12, FALSE)</f>
        <v>Yes</v>
      </c>
      <c r="AV55" t="str">
        <f>VLOOKUP(D55, METADATALOOKUP!$A:$AI, 14, FALSE)</f>
        <v>T4aN0M0</v>
      </c>
      <c r="AW55" t="str">
        <f>VLOOKUP(D55, METADATALOOKUP!$A:$AI, 6, FALSE)</f>
        <v>Intermediate</v>
      </c>
      <c r="AX55" t="str">
        <f>VLOOKUP(D55, METADATALOOKUP!$A:$AI, 19, FALSE)</f>
        <v>Unknown</v>
      </c>
      <c r="AY55">
        <f>LOOKUP(D55, SURVLOOKUP!$A:$A, SURVLOOKUP!$P:$P)</f>
        <v>1</v>
      </c>
      <c r="AZ55" s="46">
        <v>5</v>
      </c>
      <c r="BA55" t="str">
        <f>TEXT(VLOOKUP(D55, METADATALOOKUP!$A:$AI, 34, FALSE), "@")</f>
        <v>0.5</v>
      </c>
      <c r="BB55" s="47" t="str">
        <f t="shared" si="14"/>
        <v>Responder</v>
      </c>
      <c r="BC55">
        <v>0.41199999999999998</v>
      </c>
      <c r="BE55">
        <v>24</v>
      </c>
      <c r="BF55">
        <v>2.427184</v>
      </c>
      <c r="BG55">
        <v>47.57282</v>
      </c>
      <c r="BH55">
        <v>6.7</v>
      </c>
      <c r="BI55">
        <v>3.7313429999999999</v>
      </c>
      <c r="BJ55" t="s">
        <v>274</v>
      </c>
      <c r="BK55" t="s">
        <v>275</v>
      </c>
      <c r="BL55" t="s">
        <v>276</v>
      </c>
    </row>
    <row r="56" spans="1:64" x14ac:dyDescent="0.2">
      <c r="A56" s="3" t="s">
        <v>277</v>
      </c>
      <c r="B56" t="str">
        <f>VLOOKUP(A56, IDSLOOKUP!C:E, 2, FALSE)</f>
        <v>Adj Wk 1</v>
      </c>
      <c r="C56" t="str">
        <f>VLOOKUP(D56, METADATALOOKUP!$A:$AI, 13, FALSE)</f>
        <v>Oral Cavity</v>
      </c>
      <c r="D56" t="str">
        <f>VLOOKUP(A56, IDSLOOKUP!C:E, 3, FALSE)</f>
        <v>HN05-09</v>
      </c>
      <c r="E56" s="48">
        <f>VLOOKUP(A56,CFDNALOOKUP!AG:AI,2,FALSE)</f>
        <v>44091</v>
      </c>
      <c r="F56" s="48">
        <f>VLOOKUP(A56,CFDNALOOKUP!AG:AI,3,FALSE)</f>
        <v>44179</v>
      </c>
      <c r="G56" s="1">
        <f>VLOOKUP(D56, SURVLOOKUP!$A:$Q, 2, FALSE)</f>
        <v>43740</v>
      </c>
      <c r="H56" s="1">
        <f>VLOOKUP(D56, SURVLOOKUP!$A:$Q, 3, FALSE)</f>
        <v>43766</v>
      </c>
      <c r="I56" s="1">
        <f>VLOOKUP(D56, SURVLOOKUP!$A:$Q, 4, FALSE)</f>
        <v>43770</v>
      </c>
      <c r="J56" s="1">
        <f>VLOOKUP(D56, SURVLOOKUP!$A:$Q, 5, FALSE)</f>
        <v>43780</v>
      </c>
      <c r="K56" s="1">
        <f>VLOOKUP(D56, SURVLOOKUP!$A:$Q, 6, FALSE)</f>
        <v>43817</v>
      </c>
      <c r="L56" s="1">
        <f>VLOOKUP(D56, SURVLOOKUP!$A:$Q, 7, FALSE)</f>
        <v>43864</v>
      </c>
      <c r="M56" s="1">
        <f>VLOOKUP(D56, SURVLOOKUP!$A:$Q, 8, FALSE)</f>
        <v>43810</v>
      </c>
      <c r="N56" s="1">
        <f>VLOOKUP(D56, SURVLOOKUP!$A:$Q, 9, FALSE)</f>
        <v>43915</v>
      </c>
      <c r="O56" s="1" t="str">
        <f>VLOOKUP(D56, SURVLOOKUP!$A:$Q, 10, FALSE)</f>
        <v>NA</v>
      </c>
      <c r="P56" s="1">
        <f>VLOOKUP(D56, OLDSURVLOOKUP!$A:$AA, 19, FALSE)</f>
        <v>44256</v>
      </c>
      <c r="Q56" s="1">
        <f>VLOOKUP(D56, SURVLOOKUP!$A:$Q, 11, FALSE)</f>
        <v>45383</v>
      </c>
      <c r="R56" s="1"/>
      <c r="S56" s="1"/>
      <c r="T56" s="1"/>
      <c r="U56" s="1"/>
      <c r="V56">
        <f>_xlfn.XLOOKUP(D56, OLDSURVLOOKUP!$A:$A, OLDSURVLOOKUP!V:V)</f>
        <v>0</v>
      </c>
      <c r="W56">
        <f>VLOOKUP(D56, SURVLOOKUP!$A:$Q, 14, FALSE)</f>
        <v>0</v>
      </c>
      <c r="X56">
        <f>_xlfn.XLOOKUP(D56, OLDSURVLOOKUP!$A:$A, OLDSURVLOOKUP!X:X)</f>
        <v>0</v>
      </c>
      <c r="Y56">
        <f>VLOOKUP(D56, SURVLOOKUP!$A:$Q, 15, FALSE)</f>
        <v>0</v>
      </c>
      <c r="Z56">
        <f t="shared" si="4"/>
        <v>16</v>
      </c>
      <c r="AA56">
        <f t="shared" si="5"/>
        <v>53</v>
      </c>
      <c r="AB56">
        <f t="shared" si="6"/>
        <v>16</v>
      </c>
      <c r="AC56">
        <f t="shared" si="7"/>
        <v>53</v>
      </c>
      <c r="AD56">
        <f t="shared" si="8"/>
        <v>15.6</v>
      </c>
      <c r="AE56">
        <f t="shared" si="19"/>
        <v>52.7</v>
      </c>
      <c r="AF56">
        <f t="shared" si="16"/>
        <v>15.6</v>
      </c>
      <c r="AG56">
        <f t="shared" si="17"/>
        <v>52.7</v>
      </c>
      <c r="AH56">
        <f t="shared" si="9"/>
        <v>14.580645161290322</v>
      </c>
      <c r="AI56">
        <f t="shared" si="10"/>
        <v>51.677419354838712</v>
      </c>
      <c r="AJ56">
        <f t="shared" si="11"/>
        <v>14.580645161290322</v>
      </c>
      <c r="AK56">
        <f t="shared" si="12"/>
        <v>51.677419354838712</v>
      </c>
      <c r="AL56">
        <f t="shared" si="13"/>
        <v>2</v>
      </c>
      <c r="AM56" t="str">
        <f t="shared" si="18"/>
        <v>University of Louisville</v>
      </c>
      <c r="AN56">
        <v>0</v>
      </c>
      <c r="AO56">
        <v>21</v>
      </c>
      <c r="AP56">
        <f>VLOOKUP(D56, METADATALOOKUP!$A:$AI, 7, FALSE)</f>
        <v>59</v>
      </c>
      <c r="AQ56" t="str">
        <f>VLOOKUP(D56, METADATALOOKUP!$A:$AI, 8, FALSE)</f>
        <v>Male</v>
      </c>
      <c r="AR56" t="str">
        <f>VLOOKUP(D56, METADATALOOKUP!$A:$AI, 9, FALSE)</f>
        <v>White</v>
      </c>
      <c r="AS56" t="str">
        <f>VLOOKUP(D56, METADATALOOKUP!$A:$AI, 11, FALSE)</f>
        <v>Yes</v>
      </c>
      <c r="AT56" t="str">
        <f>VLOOKUP(D56, METADATALOOKUP!$A:$AI, 10, FALSE)</f>
        <v>Non-Hispanic</v>
      </c>
      <c r="AU56" t="str">
        <f>VLOOKUP(D56, METADATALOOKUP!$A:$AI, 12, FALSE)</f>
        <v>Yes</v>
      </c>
      <c r="AV56" t="str">
        <f>VLOOKUP(D56, METADATALOOKUP!$A:$AI, 14, FALSE)</f>
        <v>T4aN0M0</v>
      </c>
      <c r="AW56" t="str">
        <f>VLOOKUP(D56, METADATALOOKUP!$A:$AI, 6, FALSE)</f>
        <v>Intermediate</v>
      </c>
      <c r="AX56" t="str">
        <f>VLOOKUP(D56, METADATALOOKUP!$A:$AI, 19, FALSE)</f>
        <v>Unknown</v>
      </c>
      <c r="AY56">
        <f>LOOKUP(D56, SURVLOOKUP!$A:$A, SURVLOOKUP!$P:$P)</f>
        <v>1</v>
      </c>
      <c r="AZ56" s="46">
        <v>5</v>
      </c>
      <c r="BA56" t="str">
        <f>TEXT(VLOOKUP(D56, METADATALOOKUP!$A:$AI, 34, FALSE), "@")</f>
        <v>0.5</v>
      </c>
      <c r="BB56" s="47" t="str">
        <f t="shared" si="14"/>
        <v>Responder</v>
      </c>
      <c r="BC56">
        <v>0.17</v>
      </c>
      <c r="BE56">
        <v>24</v>
      </c>
      <c r="BF56">
        <v>5.8823530000000002</v>
      </c>
      <c r="BG56">
        <v>44.117649999999998</v>
      </c>
      <c r="BH56">
        <v>11.6</v>
      </c>
      <c r="BI56">
        <v>2.1551719999999999</v>
      </c>
      <c r="BJ56" t="s">
        <v>278</v>
      </c>
      <c r="BK56" t="s">
        <v>279</v>
      </c>
      <c r="BL56" t="s">
        <v>280</v>
      </c>
    </row>
    <row r="57" spans="1:64" x14ac:dyDescent="0.2">
      <c r="A57" s="3" t="s">
        <v>281</v>
      </c>
      <c r="B57" t="str">
        <f>VLOOKUP(A57, IDSLOOKUP!C:E, 2, FALSE)</f>
        <v>Screen</v>
      </c>
      <c r="C57" t="str">
        <f>VLOOKUP(D57, METADATALOOKUP!$A:$AI, 13, FALSE)</f>
        <v>Larynx</v>
      </c>
      <c r="D57" t="str">
        <f>VLOOKUP(A57, IDSLOOKUP!C:E, 3, FALSE)</f>
        <v>HN05-11</v>
      </c>
      <c r="E57" s="48">
        <f>VLOOKUP(A57,CFDNALOOKUP!AG:AI,2,FALSE)</f>
        <v>44091</v>
      </c>
      <c r="F57" s="48">
        <f>VLOOKUP(A57,CFDNALOOKUP!AG:AI,3,FALSE)</f>
        <v>44179</v>
      </c>
      <c r="G57" s="1">
        <f>VLOOKUP(D57, SURVLOOKUP!$A:$Q, 2, FALSE)</f>
        <v>43759</v>
      </c>
      <c r="H57" s="1">
        <f>VLOOKUP(D57, SURVLOOKUP!$A:$Q, 3, FALSE)</f>
        <v>43780</v>
      </c>
      <c r="I57" s="1">
        <f>VLOOKUP(D57, SURVLOOKUP!$A:$Q, 4, FALSE)</f>
        <v>43784</v>
      </c>
      <c r="J57" s="1">
        <f>VLOOKUP(D57, SURVLOOKUP!$A:$Q, 5, FALSE)</f>
        <v>43794</v>
      </c>
      <c r="K57" s="1">
        <f>VLOOKUP(D57, SURVLOOKUP!$A:$Q, 6, FALSE)</f>
        <v>43871</v>
      </c>
      <c r="L57" s="1">
        <f>VLOOKUP(D57, SURVLOOKUP!$A:$Q, 7, FALSE)</f>
        <v>43875</v>
      </c>
      <c r="M57" s="1">
        <f>VLOOKUP(D57, SURVLOOKUP!$A:$Q, 8, FALSE)</f>
        <v>43829</v>
      </c>
      <c r="N57" s="1">
        <f>VLOOKUP(D57, SURVLOOKUP!$A:$Q, 9, FALSE)</f>
        <v>43934</v>
      </c>
      <c r="O57" s="1" t="str">
        <f>VLOOKUP(D57, SURVLOOKUP!$A:$Q, 10, FALSE)</f>
        <v>NA</v>
      </c>
      <c r="P57" s="1">
        <f>VLOOKUP(D57, OLDSURVLOOKUP!$A:$AA, 19, FALSE)</f>
        <v>44392</v>
      </c>
      <c r="Q57" s="1">
        <f>VLOOKUP(D57, SURVLOOKUP!$A:$Q, 11, FALSE)</f>
        <v>45397</v>
      </c>
      <c r="R57" s="1"/>
      <c r="S57" s="1"/>
      <c r="T57" s="1"/>
      <c r="U57" s="1"/>
      <c r="V57">
        <f>_xlfn.XLOOKUP(D57, OLDSURVLOOKUP!$A:$A, OLDSURVLOOKUP!V:V)</f>
        <v>0</v>
      </c>
      <c r="W57">
        <f>VLOOKUP(D57, SURVLOOKUP!$A:$Q, 14, FALSE)</f>
        <v>0</v>
      </c>
      <c r="X57">
        <f>_xlfn.XLOOKUP(D57, OLDSURVLOOKUP!$A:$A, OLDSURVLOOKUP!X:X)</f>
        <v>0</v>
      </c>
      <c r="Y57">
        <f>VLOOKUP(D57, SURVLOOKUP!$A:$Q, 15, FALSE)</f>
        <v>0</v>
      </c>
      <c r="Z57">
        <f t="shared" si="4"/>
        <v>20</v>
      </c>
      <c r="AA57">
        <f t="shared" si="5"/>
        <v>53</v>
      </c>
      <c r="AB57">
        <f t="shared" si="6"/>
        <v>20</v>
      </c>
      <c r="AC57">
        <f t="shared" si="7"/>
        <v>53</v>
      </c>
      <c r="AD57">
        <f t="shared" si="8"/>
        <v>19.666666666666668</v>
      </c>
      <c r="AE57">
        <f t="shared" si="19"/>
        <v>52.7</v>
      </c>
      <c r="AF57">
        <f t="shared" si="16"/>
        <v>19.666666666666668</v>
      </c>
      <c r="AG57">
        <f t="shared" si="17"/>
        <v>52.7</v>
      </c>
      <c r="AH57">
        <f t="shared" si="9"/>
        <v>18.483870967741936</v>
      </c>
      <c r="AI57">
        <f t="shared" si="10"/>
        <v>51.516129032258064</v>
      </c>
      <c r="AJ57">
        <f t="shared" si="11"/>
        <v>18.483870967741936</v>
      </c>
      <c r="AK57">
        <f t="shared" si="12"/>
        <v>51.516129032258064</v>
      </c>
      <c r="AL57">
        <f t="shared" si="13"/>
        <v>2</v>
      </c>
      <c r="AM57" t="str">
        <f t="shared" si="18"/>
        <v>University of Louisville</v>
      </c>
      <c r="AN57">
        <v>0</v>
      </c>
      <c r="AO57">
        <v>22</v>
      </c>
      <c r="AP57">
        <f>VLOOKUP(D57, METADATALOOKUP!$A:$AI, 7, FALSE)</f>
        <v>52</v>
      </c>
      <c r="AQ57" t="str">
        <f>VLOOKUP(D57, METADATALOOKUP!$A:$AI, 8, FALSE)</f>
        <v>Male</v>
      </c>
      <c r="AR57" t="str">
        <f>VLOOKUP(D57, METADATALOOKUP!$A:$AI, 9, FALSE)</f>
        <v>White</v>
      </c>
      <c r="AS57" t="str">
        <f>VLOOKUP(D57, METADATALOOKUP!$A:$AI, 11, FALSE)</f>
        <v>Yes</v>
      </c>
      <c r="AT57" t="str">
        <f>VLOOKUP(D57, METADATALOOKUP!$A:$AI, 10, FALSE)</f>
        <v>Non-Hispanic</v>
      </c>
      <c r="AU57" t="str">
        <f>VLOOKUP(D57, METADATALOOKUP!$A:$AI, 12, FALSE)</f>
        <v>Yes</v>
      </c>
      <c r="AV57" t="str">
        <f>VLOOKUP(D57, METADATALOOKUP!$A:$AI, 14, FALSE)</f>
        <v>T4aN0M0</v>
      </c>
      <c r="AW57" t="str">
        <f>VLOOKUP(D57, METADATALOOKUP!$A:$AI, 6, FALSE)</f>
        <v xml:space="preserve">High </v>
      </c>
      <c r="AX57" t="str">
        <f>VLOOKUP(D57, METADATALOOKUP!$A:$AI, 19, FALSE)</f>
        <v>Unknown</v>
      </c>
      <c r="AY57">
        <f>LOOKUP(D57, SURVLOOKUP!$A:$A, SURVLOOKUP!$P:$P)</f>
        <v>0</v>
      </c>
      <c r="AZ57" s="46">
        <v>1</v>
      </c>
      <c r="BA57" t="str">
        <f>TEXT(VLOOKUP(D57, METADATALOOKUP!$A:$AI, 34, FALSE), "@")</f>
        <v>10-20%</v>
      </c>
      <c r="BB57" s="47" t="str">
        <f t="shared" si="14"/>
        <v>Responder</v>
      </c>
      <c r="BC57">
        <v>0.28999999999999998</v>
      </c>
      <c r="BE57">
        <v>24</v>
      </c>
      <c r="BF57">
        <v>3.4482759999999999</v>
      </c>
      <c r="BG57">
        <v>46.551720000000003</v>
      </c>
      <c r="BH57">
        <v>9.08</v>
      </c>
      <c r="BI57">
        <v>2.753304</v>
      </c>
      <c r="BJ57" t="s">
        <v>283</v>
      </c>
      <c r="BK57" t="s">
        <v>284</v>
      </c>
      <c r="BL57" t="s">
        <v>285</v>
      </c>
    </row>
    <row r="58" spans="1:64" x14ac:dyDescent="0.2">
      <c r="A58" s="3" t="s">
        <v>286</v>
      </c>
      <c r="B58" t="str">
        <f>VLOOKUP(A58, IDSLOOKUP!C:E, 2, FALSE)</f>
        <v>Day 0</v>
      </c>
      <c r="C58" t="str">
        <f>VLOOKUP(D58, METADATALOOKUP!$A:$AI, 13, FALSE)</f>
        <v>Larynx</v>
      </c>
      <c r="D58" t="str">
        <f>VLOOKUP(A58, IDSLOOKUP!C:E, 3, FALSE)</f>
        <v>HN05-11</v>
      </c>
      <c r="E58" s="48">
        <f>VLOOKUP(A58,CFDNALOOKUP!AG:AI,2,FALSE)</f>
        <v>44091</v>
      </c>
      <c r="F58" s="48">
        <f>VLOOKUP(A58,CFDNALOOKUP!AG:AI,3,FALSE)</f>
        <v>44180</v>
      </c>
      <c r="G58" s="1">
        <f>VLOOKUP(D58, SURVLOOKUP!$A:$Q, 2, FALSE)</f>
        <v>43759</v>
      </c>
      <c r="H58" s="1">
        <f>VLOOKUP(D58, SURVLOOKUP!$A:$Q, 3, FALSE)</f>
        <v>43780</v>
      </c>
      <c r="I58" s="1">
        <f>VLOOKUP(D58, SURVLOOKUP!$A:$Q, 4, FALSE)</f>
        <v>43784</v>
      </c>
      <c r="J58" s="1">
        <f>VLOOKUP(D58, SURVLOOKUP!$A:$Q, 5, FALSE)</f>
        <v>43794</v>
      </c>
      <c r="K58" s="1">
        <f>VLOOKUP(D58, SURVLOOKUP!$A:$Q, 6, FALSE)</f>
        <v>43871</v>
      </c>
      <c r="L58" s="1">
        <f>VLOOKUP(D58, SURVLOOKUP!$A:$Q, 7, FALSE)</f>
        <v>43875</v>
      </c>
      <c r="M58" s="1">
        <f>VLOOKUP(D58, SURVLOOKUP!$A:$Q, 8, FALSE)</f>
        <v>43829</v>
      </c>
      <c r="N58" s="1">
        <f>VLOOKUP(D58, SURVLOOKUP!$A:$Q, 9, FALSE)</f>
        <v>43934</v>
      </c>
      <c r="O58" s="1" t="str">
        <f>VLOOKUP(D58, SURVLOOKUP!$A:$Q, 10, FALSE)</f>
        <v>NA</v>
      </c>
      <c r="P58" s="1">
        <f>VLOOKUP(D58, OLDSURVLOOKUP!$A:$AA, 19, FALSE)</f>
        <v>44392</v>
      </c>
      <c r="Q58" s="1">
        <f>VLOOKUP(D58, SURVLOOKUP!$A:$Q, 11, FALSE)</f>
        <v>45397</v>
      </c>
      <c r="R58" s="1"/>
      <c r="S58" s="1"/>
      <c r="T58" s="1"/>
      <c r="U58" s="1"/>
      <c r="V58">
        <f>_xlfn.XLOOKUP(D58, OLDSURVLOOKUP!$A:$A, OLDSURVLOOKUP!V:V)</f>
        <v>0</v>
      </c>
      <c r="W58">
        <f>VLOOKUP(D58, SURVLOOKUP!$A:$Q, 14, FALSE)</f>
        <v>0</v>
      </c>
      <c r="X58">
        <f>_xlfn.XLOOKUP(D58, OLDSURVLOOKUP!$A:$A, OLDSURVLOOKUP!X:X)</f>
        <v>0</v>
      </c>
      <c r="Y58">
        <f>VLOOKUP(D58, SURVLOOKUP!$A:$Q, 15, FALSE)</f>
        <v>0</v>
      </c>
      <c r="Z58">
        <f t="shared" si="4"/>
        <v>20</v>
      </c>
      <c r="AA58">
        <f t="shared" si="5"/>
        <v>53</v>
      </c>
      <c r="AB58">
        <f t="shared" si="6"/>
        <v>20</v>
      </c>
      <c r="AC58">
        <f t="shared" si="7"/>
        <v>53</v>
      </c>
      <c r="AD58">
        <f t="shared" si="8"/>
        <v>19.666666666666668</v>
      </c>
      <c r="AE58">
        <f t="shared" si="19"/>
        <v>52.7</v>
      </c>
      <c r="AF58">
        <f t="shared" si="16"/>
        <v>19.666666666666668</v>
      </c>
      <c r="AG58">
        <f t="shared" si="17"/>
        <v>52.7</v>
      </c>
      <c r="AH58">
        <f t="shared" si="9"/>
        <v>18.483870967741936</v>
      </c>
      <c r="AI58">
        <f t="shared" si="10"/>
        <v>51.516129032258064</v>
      </c>
      <c r="AJ58">
        <f t="shared" si="11"/>
        <v>18.483870967741936</v>
      </c>
      <c r="AK58">
        <f t="shared" si="12"/>
        <v>51.516129032258064</v>
      </c>
      <c r="AL58">
        <f t="shared" si="13"/>
        <v>2</v>
      </c>
      <c r="AM58" t="str">
        <f t="shared" si="18"/>
        <v>University of Louisville</v>
      </c>
      <c r="AN58">
        <v>0</v>
      </c>
      <c r="AO58">
        <v>22</v>
      </c>
      <c r="AP58">
        <f>VLOOKUP(D58, METADATALOOKUP!$A:$AI, 7, FALSE)</f>
        <v>52</v>
      </c>
      <c r="AQ58" t="str">
        <f>VLOOKUP(D58, METADATALOOKUP!$A:$AI, 8, FALSE)</f>
        <v>Male</v>
      </c>
      <c r="AR58" t="str">
        <f>VLOOKUP(D58, METADATALOOKUP!$A:$AI, 9, FALSE)</f>
        <v>White</v>
      </c>
      <c r="AS58" t="str">
        <f>VLOOKUP(D58, METADATALOOKUP!$A:$AI, 11, FALSE)</f>
        <v>Yes</v>
      </c>
      <c r="AT58" t="str">
        <f>VLOOKUP(D58, METADATALOOKUP!$A:$AI, 10, FALSE)</f>
        <v>Non-Hispanic</v>
      </c>
      <c r="AU58" t="str">
        <f>VLOOKUP(D58, METADATALOOKUP!$A:$AI, 12, FALSE)</f>
        <v>Yes</v>
      </c>
      <c r="AV58" t="str">
        <f>VLOOKUP(D58, METADATALOOKUP!$A:$AI, 14, FALSE)</f>
        <v>T4aN0M0</v>
      </c>
      <c r="AW58" t="str">
        <f>VLOOKUP(D58, METADATALOOKUP!$A:$AI, 6, FALSE)</f>
        <v xml:space="preserve">High </v>
      </c>
      <c r="AX58" t="str">
        <f>VLOOKUP(D58, METADATALOOKUP!$A:$AI, 19, FALSE)</f>
        <v>Unknown</v>
      </c>
      <c r="AY58">
        <f>LOOKUP(D58, SURVLOOKUP!$A:$A, SURVLOOKUP!$P:$P)</f>
        <v>0</v>
      </c>
      <c r="AZ58" s="46">
        <v>1</v>
      </c>
      <c r="BA58" t="str">
        <f>TEXT(VLOOKUP(D58, METADATALOOKUP!$A:$AI, 34, FALSE), "@")</f>
        <v>10-20%</v>
      </c>
      <c r="BB58" s="47" t="str">
        <f t="shared" si="14"/>
        <v>Responder</v>
      </c>
      <c r="BC58">
        <v>0.4</v>
      </c>
      <c r="BE58">
        <v>24</v>
      </c>
      <c r="BF58">
        <v>2.5</v>
      </c>
      <c r="BG58">
        <v>47.5</v>
      </c>
      <c r="BH58">
        <v>11.3</v>
      </c>
      <c r="BI58">
        <v>2.2123889999999999</v>
      </c>
      <c r="BJ58" t="s">
        <v>283</v>
      </c>
      <c r="BK58" t="s">
        <v>284</v>
      </c>
      <c r="BL58" t="s">
        <v>285</v>
      </c>
    </row>
    <row r="59" spans="1:64" x14ac:dyDescent="0.2">
      <c r="A59" s="3" t="s">
        <v>287</v>
      </c>
      <c r="B59" t="str">
        <f>VLOOKUP(A59, IDSLOOKUP!C:E, 2, FALSE)</f>
        <v>Adj Wk 1</v>
      </c>
      <c r="C59" t="str">
        <f>VLOOKUP(D59, METADATALOOKUP!$A:$AI, 13, FALSE)</f>
        <v>Larynx</v>
      </c>
      <c r="D59" t="str">
        <f>VLOOKUP(A59, IDSLOOKUP!C:E, 3, FALSE)</f>
        <v>HN05-11</v>
      </c>
      <c r="E59" s="48">
        <f>VLOOKUP(A59,CFDNALOOKUP!AG:AI,2,FALSE)</f>
        <v>44091</v>
      </c>
      <c r="F59" s="48">
        <f>VLOOKUP(A59,CFDNALOOKUP!AG:AI,3,FALSE)</f>
        <v>44180</v>
      </c>
      <c r="G59" s="1">
        <f>VLOOKUP(D59, SURVLOOKUP!$A:$Q, 2, FALSE)</f>
        <v>43759</v>
      </c>
      <c r="H59" s="1">
        <f>VLOOKUP(D59, SURVLOOKUP!$A:$Q, 3, FALSE)</f>
        <v>43780</v>
      </c>
      <c r="I59" s="1">
        <f>VLOOKUP(D59, SURVLOOKUP!$A:$Q, 4, FALSE)</f>
        <v>43784</v>
      </c>
      <c r="J59" s="1">
        <f>VLOOKUP(D59, SURVLOOKUP!$A:$Q, 5, FALSE)</f>
        <v>43794</v>
      </c>
      <c r="K59" s="1">
        <f>VLOOKUP(D59, SURVLOOKUP!$A:$Q, 6, FALSE)</f>
        <v>43871</v>
      </c>
      <c r="L59" s="1">
        <f>VLOOKUP(D59, SURVLOOKUP!$A:$Q, 7, FALSE)</f>
        <v>43875</v>
      </c>
      <c r="M59" s="1">
        <f>VLOOKUP(D59, SURVLOOKUP!$A:$Q, 8, FALSE)</f>
        <v>43829</v>
      </c>
      <c r="N59" s="1">
        <f>VLOOKUP(D59, SURVLOOKUP!$A:$Q, 9, FALSE)</f>
        <v>43934</v>
      </c>
      <c r="O59" s="1" t="str">
        <f>VLOOKUP(D59, SURVLOOKUP!$A:$Q, 10, FALSE)</f>
        <v>NA</v>
      </c>
      <c r="P59" s="1">
        <f>VLOOKUP(D59, OLDSURVLOOKUP!$A:$AA, 19, FALSE)</f>
        <v>44392</v>
      </c>
      <c r="Q59" s="1">
        <f>VLOOKUP(D59, SURVLOOKUP!$A:$Q, 11, FALSE)</f>
        <v>45397</v>
      </c>
      <c r="R59" s="1"/>
      <c r="S59" s="1"/>
      <c r="T59" s="1"/>
      <c r="U59" s="1"/>
      <c r="V59">
        <f>_xlfn.XLOOKUP(D59, OLDSURVLOOKUP!$A:$A, OLDSURVLOOKUP!V:V)</f>
        <v>0</v>
      </c>
      <c r="W59">
        <f>VLOOKUP(D59, SURVLOOKUP!$A:$Q, 14, FALSE)</f>
        <v>0</v>
      </c>
      <c r="X59">
        <f>_xlfn.XLOOKUP(D59, OLDSURVLOOKUP!$A:$A, OLDSURVLOOKUP!X:X)</f>
        <v>0</v>
      </c>
      <c r="Y59">
        <f>VLOOKUP(D59, SURVLOOKUP!$A:$Q, 15, FALSE)</f>
        <v>0</v>
      </c>
      <c r="Z59">
        <f t="shared" si="4"/>
        <v>20</v>
      </c>
      <c r="AA59">
        <f t="shared" si="5"/>
        <v>53</v>
      </c>
      <c r="AB59">
        <f t="shared" si="6"/>
        <v>20</v>
      </c>
      <c r="AC59">
        <f t="shared" si="7"/>
        <v>53</v>
      </c>
      <c r="AD59">
        <f t="shared" si="8"/>
        <v>19.666666666666668</v>
      </c>
      <c r="AE59">
        <f t="shared" si="19"/>
        <v>52.7</v>
      </c>
      <c r="AF59">
        <f t="shared" si="16"/>
        <v>19.666666666666668</v>
      </c>
      <c r="AG59">
        <f t="shared" si="17"/>
        <v>52.7</v>
      </c>
      <c r="AH59">
        <f t="shared" si="9"/>
        <v>18.483870967741936</v>
      </c>
      <c r="AI59">
        <f t="shared" si="10"/>
        <v>51.516129032258064</v>
      </c>
      <c r="AJ59">
        <f t="shared" si="11"/>
        <v>18.483870967741936</v>
      </c>
      <c r="AK59">
        <f t="shared" si="12"/>
        <v>51.516129032258064</v>
      </c>
      <c r="AL59">
        <f t="shared" si="13"/>
        <v>2</v>
      </c>
      <c r="AM59" t="str">
        <f t="shared" si="18"/>
        <v>University of Louisville</v>
      </c>
      <c r="AN59">
        <v>0</v>
      </c>
      <c r="AO59">
        <v>22</v>
      </c>
      <c r="AP59">
        <f>VLOOKUP(D59, METADATALOOKUP!$A:$AI, 7, FALSE)</f>
        <v>52</v>
      </c>
      <c r="AQ59" t="str">
        <f>VLOOKUP(D59, METADATALOOKUP!$A:$AI, 8, FALSE)</f>
        <v>Male</v>
      </c>
      <c r="AR59" t="str">
        <f>VLOOKUP(D59, METADATALOOKUP!$A:$AI, 9, FALSE)</f>
        <v>White</v>
      </c>
      <c r="AS59" t="str">
        <f>VLOOKUP(D59, METADATALOOKUP!$A:$AI, 11, FALSE)</f>
        <v>Yes</v>
      </c>
      <c r="AT59" t="str">
        <f>VLOOKUP(D59, METADATALOOKUP!$A:$AI, 10, FALSE)</f>
        <v>Non-Hispanic</v>
      </c>
      <c r="AU59" t="str">
        <f>VLOOKUP(D59, METADATALOOKUP!$A:$AI, 12, FALSE)</f>
        <v>Yes</v>
      </c>
      <c r="AV59" t="str">
        <f>VLOOKUP(D59, METADATALOOKUP!$A:$AI, 14, FALSE)</f>
        <v>T4aN0M0</v>
      </c>
      <c r="AW59" t="str">
        <f>VLOOKUP(D59, METADATALOOKUP!$A:$AI, 6, FALSE)</f>
        <v xml:space="preserve">High </v>
      </c>
      <c r="AX59" t="str">
        <f>VLOOKUP(D59, METADATALOOKUP!$A:$AI, 19, FALSE)</f>
        <v>Unknown</v>
      </c>
      <c r="AY59">
        <f>LOOKUP(D59, SURVLOOKUP!$A:$A, SURVLOOKUP!$P:$P)</f>
        <v>0</v>
      </c>
      <c r="AZ59" s="46">
        <v>1</v>
      </c>
      <c r="BA59" t="str">
        <f>TEXT(VLOOKUP(D59, METADATALOOKUP!$A:$AI, 34, FALSE), "@")</f>
        <v>10-20%</v>
      </c>
      <c r="BB59" s="47" t="str">
        <f t="shared" si="14"/>
        <v>Responder</v>
      </c>
      <c r="BC59">
        <v>0.13200000000000001</v>
      </c>
      <c r="BE59">
        <v>24</v>
      </c>
      <c r="BF59">
        <v>7.5757580000000004</v>
      </c>
      <c r="BG59">
        <v>42.424239999999998</v>
      </c>
      <c r="BH59">
        <v>12.7</v>
      </c>
      <c r="BI59">
        <v>1.968504</v>
      </c>
      <c r="BJ59" t="s">
        <v>88</v>
      </c>
      <c r="BK59" t="s">
        <v>89</v>
      </c>
      <c r="BL59" t="s">
        <v>90</v>
      </c>
    </row>
    <row r="60" spans="1:64" x14ac:dyDescent="0.2">
      <c r="A60" s="3" t="s">
        <v>288</v>
      </c>
      <c r="B60" t="str">
        <f>VLOOKUP(A60, IDSLOOKUP!C:E, 2, FALSE)</f>
        <v>Screen</v>
      </c>
      <c r="C60" t="str">
        <f>VLOOKUP(D60, METADATALOOKUP!$A:$AI, 13, FALSE)</f>
        <v>Oral Cavity</v>
      </c>
      <c r="D60" t="str">
        <f>VLOOKUP(A60, IDSLOOKUP!C:E, 3, FALSE)</f>
        <v>HN06-01</v>
      </c>
      <c r="E60" s="48">
        <f>VLOOKUP(A60,CFDNALOOKUP!AG:AI,2,FALSE)</f>
        <v>44092</v>
      </c>
      <c r="F60" s="48">
        <f>VLOOKUP(A60,CFDNALOOKUP!AG:AI,3,FALSE)</f>
        <v>44179</v>
      </c>
      <c r="G60" s="1">
        <f>VLOOKUP(D60, SURVLOOKUP!$A:$Q, 2, FALSE)</f>
        <v>43515</v>
      </c>
      <c r="H60" s="1">
        <f>VLOOKUP(D60, SURVLOOKUP!$A:$Q, 3, FALSE)</f>
        <v>43558</v>
      </c>
      <c r="I60" s="1">
        <f>VLOOKUP(D60, SURVLOOKUP!$A:$Q, 4, FALSE)</f>
        <v>43587</v>
      </c>
      <c r="J60" s="1">
        <f>VLOOKUP(D60, SURVLOOKUP!$A:$Q, 5, FALSE)</f>
        <v>43601</v>
      </c>
      <c r="K60" s="1">
        <f>VLOOKUP(D60, SURVLOOKUP!$A:$Q, 6, FALSE)</f>
        <v>43640</v>
      </c>
      <c r="L60" s="1">
        <f>VLOOKUP(D60, SURVLOOKUP!$A:$Q, 7, FALSE)</f>
        <v>43672</v>
      </c>
      <c r="M60" s="1">
        <f>VLOOKUP(D60, SURVLOOKUP!$A:$Q, 8, FALSE)</f>
        <v>43628</v>
      </c>
      <c r="N60" s="1">
        <f>VLOOKUP(D60, SURVLOOKUP!$A:$Q, 9, FALSE)</f>
        <v>43740</v>
      </c>
      <c r="O60" s="1" t="str">
        <f>VLOOKUP(D60, SURVLOOKUP!$A:$Q, 10, FALSE)</f>
        <v>NA</v>
      </c>
      <c r="P60" s="1">
        <f>VLOOKUP(D60, OLDSURVLOOKUP!$A:$AA, 19, FALSE)</f>
        <v>44265</v>
      </c>
      <c r="Q60" s="1">
        <f>VLOOKUP(D60, SURVLOOKUP!$A:$Q, 11, FALSE)</f>
        <v>45575</v>
      </c>
      <c r="R60" s="1"/>
      <c r="S60" s="1"/>
      <c r="T60" s="1"/>
      <c r="U60" s="1"/>
      <c r="V60">
        <f>_xlfn.XLOOKUP(D60, OLDSURVLOOKUP!$A:$A, OLDSURVLOOKUP!V:V)</f>
        <v>0</v>
      </c>
      <c r="W60">
        <f>VLOOKUP(D60, SURVLOOKUP!$A:$Q, 14, FALSE)</f>
        <v>0</v>
      </c>
      <c r="X60">
        <f>_xlfn.XLOOKUP(D60, OLDSURVLOOKUP!$A:$A, OLDSURVLOOKUP!X:X)</f>
        <v>0</v>
      </c>
      <c r="Y60">
        <f>VLOOKUP(D60, SURVLOOKUP!$A:$Q, 15, FALSE)</f>
        <v>0</v>
      </c>
      <c r="Z60">
        <f t="shared" si="4"/>
        <v>22.258064516129032</v>
      </c>
      <c r="AA60">
        <f t="shared" si="5"/>
        <v>65.258064516129039</v>
      </c>
      <c r="AB60">
        <f t="shared" si="6"/>
        <v>22.258064516129032</v>
      </c>
      <c r="AC60">
        <f t="shared" si="7"/>
        <v>65.258064516129039</v>
      </c>
      <c r="AD60">
        <f t="shared" si="8"/>
        <v>21.70967741935484</v>
      </c>
      <c r="AE60">
        <f t="shared" si="19"/>
        <v>64.774193548387103</v>
      </c>
      <c r="AF60">
        <f t="shared" si="16"/>
        <v>21.70967741935484</v>
      </c>
      <c r="AG60">
        <f t="shared" si="17"/>
        <v>64.774193548387103</v>
      </c>
      <c r="AH60">
        <f t="shared" si="9"/>
        <v>20.866666666666667</v>
      </c>
      <c r="AI60">
        <f t="shared" si="10"/>
        <v>63.93333333333333</v>
      </c>
      <c r="AJ60">
        <f t="shared" si="11"/>
        <v>20.866666666666667</v>
      </c>
      <c r="AK60">
        <f t="shared" si="12"/>
        <v>63.93333333333333</v>
      </c>
      <c r="AL60">
        <f t="shared" si="13"/>
        <v>2</v>
      </c>
      <c r="AM60" t="str">
        <f t="shared" si="18"/>
        <v>MD Anderson</v>
      </c>
      <c r="AN60">
        <v>0</v>
      </c>
      <c r="AO60">
        <v>23</v>
      </c>
      <c r="AP60">
        <f>VLOOKUP(D60, METADATALOOKUP!$A:$AI, 7, FALSE)</f>
        <v>73</v>
      </c>
      <c r="AQ60" t="str">
        <f>VLOOKUP(D60, METADATALOOKUP!$A:$AI, 8, FALSE)</f>
        <v>Female</v>
      </c>
      <c r="AR60" t="str">
        <f>VLOOKUP(D60, METADATALOOKUP!$A:$AI, 9, FALSE)</f>
        <v>White</v>
      </c>
      <c r="AS60" t="str">
        <f>VLOOKUP(D60, METADATALOOKUP!$A:$AI, 11, FALSE)</f>
        <v>No</v>
      </c>
      <c r="AT60" t="str">
        <f>VLOOKUP(D60, METADATALOOKUP!$A:$AI, 10, FALSE)</f>
        <v>Non-Hispanic</v>
      </c>
      <c r="AU60" t="str">
        <f>VLOOKUP(D60, METADATALOOKUP!$A:$AI, 12, FALSE)</f>
        <v>Yes</v>
      </c>
      <c r="AV60" t="str">
        <f>VLOOKUP(D60, METADATALOOKUP!$A:$AI, 14, FALSE)</f>
        <v>T4aN0M0</v>
      </c>
      <c r="AW60" t="str">
        <f>VLOOKUP(D60, METADATALOOKUP!$A:$AI, 6, FALSE)</f>
        <v>Intermediate</v>
      </c>
      <c r="AX60" t="str">
        <f>VLOOKUP(D60, METADATALOOKUP!$A:$AI, 19, FALSE)</f>
        <v>Unknown</v>
      </c>
      <c r="AY60">
        <f>LOOKUP(D60, SURVLOOKUP!$A:$A, SURVLOOKUP!$P:$P)</f>
        <v>1</v>
      </c>
      <c r="AZ60" s="46">
        <v>1</v>
      </c>
      <c r="BA60" t="str">
        <f>TEXT(VLOOKUP(D60, METADATALOOKUP!$A:$AI, 34, FALSE), "@")</f>
        <v>10-20%</v>
      </c>
      <c r="BB60" s="47" t="str">
        <f t="shared" si="14"/>
        <v>Responder</v>
      </c>
      <c r="BC60">
        <v>2.64</v>
      </c>
      <c r="BE60">
        <v>24</v>
      </c>
      <c r="BF60">
        <v>0.37878800000000001</v>
      </c>
      <c r="BG60">
        <v>49.621209999999998</v>
      </c>
      <c r="BH60">
        <v>10.8</v>
      </c>
      <c r="BI60">
        <v>2.3148149999999998</v>
      </c>
      <c r="BJ60" t="s">
        <v>290</v>
      </c>
      <c r="BK60" t="s">
        <v>291</v>
      </c>
      <c r="BL60" t="s">
        <v>292</v>
      </c>
    </row>
    <row r="61" spans="1:64" x14ac:dyDescent="0.2">
      <c r="A61" s="3" t="s">
        <v>293</v>
      </c>
      <c r="B61" t="str">
        <f>VLOOKUP(A61, IDSLOOKUP!C:E, 2, FALSE)</f>
        <v>Adj Wk 1</v>
      </c>
      <c r="C61" t="str">
        <f>VLOOKUP(D61, METADATALOOKUP!$A:$AI, 13, FALSE)</f>
        <v>Oral Cavity</v>
      </c>
      <c r="D61" t="str">
        <f>VLOOKUP(A61, IDSLOOKUP!C:E, 3, FALSE)</f>
        <v>HN06-01</v>
      </c>
      <c r="E61" s="48">
        <f>VLOOKUP(A61,CFDNALOOKUP!AG:AI,2,FALSE)</f>
        <v>44092</v>
      </c>
      <c r="F61" s="48">
        <f>VLOOKUP(A61,CFDNALOOKUP!AG:AI,3,FALSE)</f>
        <v>44179</v>
      </c>
      <c r="G61" s="1">
        <f>VLOOKUP(D61, SURVLOOKUP!$A:$Q, 2, FALSE)</f>
        <v>43515</v>
      </c>
      <c r="H61" s="1">
        <f>VLOOKUP(D61, SURVLOOKUP!$A:$Q, 3, FALSE)</f>
        <v>43558</v>
      </c>
      <c r="I61" s="1">
        <f>VLOOKUP(D61, SURVLOOKUP!$A:$Q, 4, FALSE)</f>
        <v>43587</v>
      </c>
      <c r="J61" s="1">
        <f>VLOOKUP(D61, SURVLOOKUP!$A:$Q, 5, FALSE)</f>
        <v>43601</v>
      </c>
      <c r="K61" s="1">
        <f>VLOOKUP(D61, SURVLOOKUP!$A:$Q, 6, FALSE)</f>
        <v>43640</v>
      </c>
      <c r="L61" s="1">
        <f>VLOOKUP(D61, SURVLOOKUP!$A:$Q, 7, FALSE)</f>
        <v>43672</v>
      </c>
      <c r="M61" s="1">
        <f>VLOOKUP(D61, SURVLOOKUP!$A:$Q, 8, FALSE)</f>
        <v>43628</v>
      </c>
      <c r="N61" s="1">
        <f>VLOOKUP(D61, SURVLOOKUP!$A:$Q, 9, FALSE)</f>
        <v>43740</v>
      </c>
      <c r="O61" s="1" t="str">
        <f>VLOOKUP(D61, SURVLOOKUP!$A:$Q, 10, FALSE)</f>
        <v>NA</v>
      </c>
      <c r="P61" s="1">
        <f>VLOOKUP(D61, OLDSURVLOOKUP!$A:$AA, 19, FALSE)</f>
        <v>44265</v>
      </c>
      <c r="Q61" s="1">
        <f>VLOOKUP(D61, SURVLOOKUP!$A:$Q, 11, FALSE)</f>
        <v>45575</v>
      </c>
      <c r="R61" s="1"/>
      <c r="S61" s="1"/>
      <c r="T61" s="1"/>
      <c r="U61" s="1"/>
      <c r="V61">
        <f>_xlfn.XLOOKUP(D61, OLDSURVLOOKUP!$A:$A, OLDSURVLOOKUP!V:V)</f>
        <v>0</v>
      </c>
      <c r="W61">
        <f>VLOOKUP(D61, SURVLOOKUP!$A:$Q, 14, FALSE)</f>
        <v>0</v>
      </c>
      <c r="X61">
        <f>_xlfn.XLOOKUP(D61, OLDSURVLOOKUP!$A:$A, OLDSURVLOOKUP!X:X)</f>
        <v>0</v>
      </c>
      <c r="Y61">
        <f>VLOOKUP(D61, SURVLOOKUP!$A:$Q, 15, FALSE)</f>
        <v>0</v>
      </c>
      <c r="Z61">
        <f t="shared" si="4"/>
        <v>22.258064516129032</v>
      </c>
      <c r="AA61">
        <f t="shared" si="5"/>
        <v>65.258064516129039</v>
      </c>
      <c r="AB61">
        <f t="shared" si="6"/>
        <v>22.258064516129032</v>
      </c>
      <c r="AC61">
        <f t="shared" si="7"/>
        <v>65.258064516129039</v>
      </c>
      <c r="AD61">
        <f t="shared" si="8"/>
        <v>21.70967741935484</v>
      </c>
      <c r="AE61">
        <f t="shared" si="19"/>
        <v>64.774193548387103</v>
      </c>
      <c r="AF61">
        <f t="shared" si="16"/>
        <v>21.70967741935484</v>
      </c>
      <c r="AG61">
        <f t="shared" si="17"/>
        <v>64.774193548387103</v>
      </c>
      <c r="AH61">
        <f t="shared" si="9"/>
        <v>20.866666666666667</v>
      </c>
      <c r="AI61">
        <f t="shared" si="10"/>
        <v>63.93333333333333</v>
      </c>
      <c r="AJ61">
        <f t="shared" si="11"/>
        <v>20.866666666666667</v>
      </c>
      <c r="AK61">
        <f t="shared" si="12"/>
        <v>63.93333333333333</v>
      </c>
      <c r="AL61">
        <f t="shared" si="13"/>
        <v>2</v>
      </c>
      <c r="AM61" t="str">
        <f t="shared" si="18"/>
        <v>MD Anderson</v>
      </c>
      <c r="AN61">
        <v>0</v>
      </c>
      <c r="AO61">
        <v>23</v>
      </c>
      <c r="AP61">
        <f>VLOOKUP(D61, METADATALOOKUP!$A:$AI, 7, FALSE)</f>
        <v>73</v>
      </c>
      <c r="AQ61" t="str">
        <f>VLOOKUP(D61, METADATALOOKUP!$A:$AI, 8, FALSE)</f>
        <v>Female</v>
      </c>
      <c r="AR61" t="str">
        <f>VLOOKUP(D61, METADATALOOKUP!$A:$AI, 9, FALSE)</f>
        <v>White</v>
      </c>
      <c r="AS61" t="str">
        <f>VLOOKUP(D61, METADATALOOKUP!$A:$AI, 11, FALSE)</f>
        <v>No</v>
      </c>
      <c r="AT61" t="str">
        <f>VLOOKUP(D61, METADATALOOKUP!$A:$AI, 10, FALSE)</f>
        <v>Non-Hispanic</v>
      </c>
      <c r="AU61" t="str">
        <f>VLOOKUP(D61, METADATALOOKUP!$A:$AI, 12, FALSE)</f>
        <v>Yes</v>
      </c>
      <c r="AV61" t="str">
        <f>VLOOKUP(D61, METADATALOOKUP!$A:$AI, 14, FALSE)</f>
        <v>T4aN0M0</v>
      </c>
      <c r="AW61" t="str">
        <f>VLOOKUP(D61, METADATALOOKUP!$A:$AI, 6, FALSE)</f>
        <v>Intermediate</v>
      </c>
      <c r="AX61" t="str">
        <f>VLOOKUP(D61, METADATALOOKUP!$A:$AI, 19, FALSE)</f>
        <v>Unknown</v>
      </c>
      <c r="AY61">
        <f>LOOKUP(D61, SURVLOOKUP!$A:$A, SURVLOOKUP!$P:$P)</f>
        <v>1</v>
      </c>
      <c r="AZ61" s="46">
        <v>1</v>
      </c>
      <c r="BA61" t="str">
        <f>TEXT(VLOOKUP(D61, METADATALOOKUP!$A:$AI, 34, FALSE), "@")</f>
        <v>10-20%</v>
      </c>
      <c r="BB61" s="47" t="str">
        <f t="shared" si="14"/>
        <v>Responder</v>
      </c>
      <c r="BC61">
        <v>4.16</v>
      </c>
      <c r="BE61">
        <v>24</v>
      </c>
      <c r="BF61">
        <v>0.24038499999999999</v>
      </c>
      <c r="BG61">
        <v>49.759619999999998</v>
      </c>
      <c r="BH61">
        <v>2.86</v>
      </c>
      <c r="BI61">
        <v>8.7412589999999994</v>
      </c>
      <c r="BJ61" t="s">
        <v>294</v>
      </c>
      <c r="BK61" t="s">
        <v>295</v>
      </c>
      <c r="BL61" t="s">
        <v>296</v>
      </c>
    </row>
    <row r="62" spans="1:64" x14ac:dyDescent="0.2">
      <c r="A62" s="3" t="s">
        <v>297</v>
      </c>
      <c r="B62" t="str">
        <f>VLOOKUP(A62, IDSLOOKUP!C:E, 2, FALSE)</f>
        <v>Screen</v>
      </c>
      <c r="C62" t="str">
        <f>VLOOKUP(D62, METADATALOOKUP!$A:$AI, 13, FALSE)</f>
        <v>Oral Cavity</v>
      </c>
      <c r="D62" t="str">
        <f>VLOOKUP(A62, IDSLOOKUP!C:E, 3, FALSE)</f>
        <v>HN06-02</v>
      </c>
      <c r="E62" s="48">
        <f>VLOOKUP(A62,CFDNALOOKUP!AG:AI,2,FALSE)</f>
        <v>44092</v>
      </c>
      <c r="F62" s="48">
        <f>VLOOKUP(A62,CFDNALOOKUP!AG:AI,3,FALSE)</f>
        <v>44179</v>
      </c>
      <c r="G62" s="1">
        <f>VLOOKUP(D62, SURVLOOKUP!$A:$Q, 2, FALSE)</f>
        <v>43565</v>
      </c>
      <c r="H62" s="1">
        <f>VLOOKUP(D62, SURVLOOKUP!$A:$Q, 3, FALSE)</f>
        <v>43601</v>
      </c>
      <c r="I62" s="1">
        <f>VLOOKUP(D62, SURVLOOKUP!$A:$Q, 4, FALSE)</f>
        <v>43615</v>
      </c>
      <c r="J62" s="1">
        <f>VLOOKUP(D62, SURVLOOKUP!$A:$Q, 5, FALSE)</f>
        <v>43626</v>
      </c>
      <c r="K62" s="1">
        <f>VLOOKUP(D62, SURVLOOKUP!$A:$Q, 6, FALSE)</f>
        <v>43661</v>
      </c>
      <c r="L62" s="1">
        <f>VLOOKUP(D62, SURVLOOKUP!$A:$Q, 7, FALSE)</f>
        <v>43697</v>
      </c>
      <c r="M62" s="1">
        <f>VLOOKUP(D62, SURVLOOKUP!$A:$Q, 8, FALSE)</f>
        <v>43657</v>
      </c>
      <c r="N62" s="1">
        <f>VLOOKUP(D62, SURVLOOKUP!$A:$Q, 9, FALSE)</f>
        <v>43760</v>
      </c>
      <c r="O62" s="1" t="str">
        <f>VLOOKUP(D62, SURVLOOKUP!$A:$Q, 10, FALSE)</f>
        <v>NA</v>
      </c>
      <c r="P62" s="1">
        <f>VLOOKUP(D62, OLDSURVLOOKUP!$A:$AA, 19, FALSE)</f>
        <v>44172</v>
      </c>
      <c r="Q62" s="1">
        <f>VLOOKUP(D62, SURVLOOKUP!$A:$Q, 11, FALSE)</f>
        <v>44172</v>
      </c>
      <c r="R62" s="1"/>
      <c r="S62" s="1"/>
      <c r="T62" s="1">
        <f>VLOOKUP(D62, OLDSURVLOOKUP!$A:$AA, 21, FALSE)</f>
        <v>44173</v>
      </c>
      <c r="U62" s="1">
        <f>VLOOKUP(D62, SURVLOOKUP!$A:$Q, 13, FALSE)</f>
        <v>44173</v>
      </c>
      <c r="V62">
        <f>_xlfn.XLOOKUP(D62, OLDSURVLOOKUP!$A:$A, OLDSURVLOOKUP!V:V)</f>
        <v>1</v>
      </c>
      <c r="W62">
        <f>VLOOKUP(D62, SURVLOOKUP!$A:$Q, 14, FALSE)</f>
        <v>1</v>
      </c>
      <c r="X62">
        <f>_xlfn.XLOOKUP(D62, OLDSURVLOOKUP!$A:$A, OLDSURVLOOKUP!X:X)</f>
        <v>1</v>
      </c>
      <c r="Y62">
        <f>VLOOKUP(D62, SURVLOOKUP!$A:$Q, 15, FALSE)</f>
        <v>1</v>
      </c>
      <c r="Z62" s="2">
        <v>18.258064520000001</v>
      </c>
      <c r="AA62" s="2">
        <v>18.258064520000001</v>
      </c>
      <c r="AB62">
        <f t="shared" si="6"/>
        <v>18.258064516129032</v>
      </c>
      <c r="AC62">
        <f t="shared" si="7"/>
        <v>18.258064516129032</v>
      </c>
      <c r="AD62" s="2">
        <v>17.93333333</v>
      </c>
      <c r="AE62" s="2">
        <v>17.93333333</v>
      </c>
      <c r="AF62">
        <f t="shared" si="16"/>
        <v>17.933333333333334</v>
      </c>
      <c r="AG62">
        <f t="shared" si="17"/>
        <v>17.933333333333334</v>
      </c>
      <c r="AH62" s="2">
        <v>16.870967740000001</v>
      </c>
      <c r="AI62" s="2">
        <v>16.870967740000001</v>
      </c>
      <c r="AJ62">
        <f t="shared" si="11"/>
        <v>16.870967741935484</v>
      </c>
      <c r="AK62">
        <f t="shared" si="12"/>
        <v>16.870967741935484</v>
      </c>
      <c r="AL62">
        <f t="shared" si="13"/>
        <v>2</v>
      </c>
      <c r="AM62" t="str">
        <f t="shared" si="18"/>
        <v>MD Anderson</v>
      </c>
      <c r="AN62">
        <v>0</v>
      </c>
      <c r="AO62">
        <v>24</v>
      </c>
      <c r="AP62">
        <f>VLOOKUP(D62, METADATALOOKUP!$A:$AI, 7, FALSE)</f>
        <v>56</v>
      </c>
      <c r="AQ62" t="str">
        <f>VLOOKUP(D62, METADATALOOKUP!$A:$AI, 8, FALSE)</f>
        <v>Male</v>
      </c>
      <c r="AR62" t="str">
        <f>VLOOKUP(D62, METADATALOOKUP!$A:$AI, 9, FALSE)</f>
        <v>White</v>
      </c>
      <c r="AS62" t="str">
        <f>VLOOKUP(D62, METADATALOOKUP!$A:$AI, 11, FALSE)</f>
        <v>Yes</v>
      </c>
      <c r="AT62" t="str">
        <f>VLOOKUP(D62, METADATALOOKUP!$A:$AI, 10, FALSE)</f>
        <v>Non-Hispanic</v>
      </c>
      <c r="AU62" t="str">
        <f>VLOOKUP(D62, METADATALOOKUP!$A:$AI, 12, FALSE)</f>
        <v>Yes</v>
      </c>
      <c r="AV62" t="str">
        <f>VLOOKUP(D62, METADATALOOKUP!$A:$AI, 14, FALSE)</f>
        <v>T4aN2bM0</v>
      </c>
      <c r="AW62" t="str">
        <f>VLOOKUP(D62, METADATALOOKUP!$A:$AI, 6, FALSE)</f>
        <v xml:space="preserve">High </v>
      </c>
      <c r="AX62" t="str">
        <f>VLOOKUP(D62, METADATALOOKUP!$A:$AI, 19, FALSE)</f>
        <v>No</v>
      </c>
      <c r="AY62">
        <f>LOOKUP(D62, SURVLOOKUP!$A:$A, SURVLOOKUP!$P:$P)</f>
        <v>1</v>
      </c>
      <c r="AZ62" s="46">
        <v>1</v>
      </c>
      <c r="BA62" t="str">
        <f>TEXT(VLOOKUP(D62, METADATALOOKUP!$A:$AI, 34, FALSE), "@")</f>
        <v>10-15%</v>
      </c>
      <c r="BB62" s="47" t="str">
        <f t="shared" si="14"/>
        <v>Responder</v>
      </c>
      <c r="BC62">
        <v>1.97</v>
      </c>
      <c r="BE62">
        <v>24</v>
      </c>
      <c r="BF62">
        <v>0.50761400000000001</v>
      </c>
      <c r="BG62">
        <v>49.49239</v>
      </c>
      <c r="BH62">
        <v>8.5</v>
      </c>
      <c r="BI62">
        <v>2.941176</v>
      </c>
      <c r="BJ62" t="s">
        <v>300</v>
      </c>
      <c r="BK62" t="s">
        <v>301</v>
      </c>
      <c r="BL62" t="s">
        <v>302</v>
      </c>
    </row>
    <row r="63" spans="1:64" x14ac:dyDescent="0.2">
      <c r="A63" s="3" t="s">
        <v>303</v>
      </c>
      <c r="B63" t="str">
        <f>VLOOKUP(A63, IDSLOOKUP!C:E, 2, FALSE)</f>
        <v>Day 0</v>
      </c>
      <c r="C63" t="str">
        <f>VLOOKUP(D63, METADATALOOKUP!$A:$AI, 13, FALSE)</f>
        <v>Oral Cavity</v>
      </c>
      <c r="D63" t="str">
        <f>VLOOKUP(A63, IDSLOOKUP!C:E, 3, FALSE)</f>
        <v>HN06-02</v>
      </c>
      <c r="E63" s="48">
        <f>VLOOKUP(A63,CFDNALOOKUP!AG:AI,2,FALSE)</f>
        <v>44092</v>
      </c>
      <c r="F63" s="48">
        <f>VLOOKUP(A63,CFDNALOOKUP!AG:AI,3,FALSE)</f>
        <v>44180</v>
      </c>
      <c r="G63" s="1">
        <f>VLOOKUP(D63, SURVLOOKUP!$A:$Q, 2, FALSE)</f>
        <v>43565</v>
      </c>
      <c r="H63" s="1">
        <f>VLOOKUP(D63, SURVLOOKUP!$A:$Q, 3, FALSE)</f>
        <v>43601</v>
      </c>
      <c r="I63" s="1">
        <f>VLOOKUP(D63, SURVLOOKUP!$A:$Q, 4, FALSE)</f>
        <v>43615</v>
      </c>
      <c r="J63" s="1">
        <f>VLOOKUP(D63, SURVLOOKUP!$A:$Q, 5, FALSE)</f>
        <v>43626</v>
      </c>
      <c r="K63" s="1">
        <f>VLOOKUP(D63, SURVLOOKUP!$A:$Q, 6, FALSE)</f>
        <v>43661</v>
      </c>
      <c r="L63" s="1">
        <f>VLOOKUP(D63, SURVLOOKUP!$A:$Q, 7, FALSE)</f>
        <v>43697</v>
      </c>
      <c r="M63" s="1">
        <f>VLOOKUP(D63, SURVLOOKUP!$A:$Q, 8, FALSE)</f>
        <v>43657</v>
      </c>
      <c r="N63" s="1">
        <f>VLOOKUP(D63, SURVLOOKUP!$A:$Q, 9, FALSE)</f>
        <v>43760</v>
      </c>
      <c r="O63" s="1" t="str">
        <f>VLOOKUP(D63, SURVLOOKUP!$A:$Q, 10, FALSE)</f>
        <v>NA</v>
      </c>
      <c r="P63" s="1">
        <f>VLOOKUP(D63, OLDSURVLOOKUP!$A:$AA, 19, FALSE)</f>
        <v>44172</v>
      </c>
      <c r="Q63" s="1">
        <f>VLOOKUP(D63, SURVLOOKUP!$A:$Q, 11, FALSE)</f>
        <v>44172</v>
      </c>
      <c r="R63" s="1"/>
      <c r="S63" s="1"/>
      <c r="T63" s="1">
        <f>VLOOKUP(D63, OLDSURVLOOKUP!$A:$AA, 21, FALSE)</f>
        <v>44173</v>
      </c>
      <c r="U63" s="1">
        <f>VLOOKUP(D63, SURVLOOKUP!$A:$Q, 13, FALSE)</f>
        <v>44173</v>
      </c>
      <c r="V63">
        <f>_xlfn.XLOOKUP(D63, OLDSURVLOOKUP!$A:$A, OLDSURVLOOKUP!V:V)</f>
        <v>1</v>
      </c>
      <c r="W63">
        <f>VLOOKUP(D63, SURVLOOKUP!$A:$Q, 14, FALSE)</f>
        <v>1</v>
      </c>
      <c r="X63">
        <f>_xlfn.XLOOKUP(D63, OLDSURVLOOKUP!$A:$A, OLDSURVLOOKUP!X:X)</f>
        <v>1</v>
      </c>
      <c r="Y63">
        <f>VLOOKUP(D63, SURVLOOKUP!$A:$Q, 15, FALSE)</f>
        <v>1</v>
      </c>
      <c r="Z63" s="2">
        <v>18.258064520000001</v>
      </c>
      <c r="AA63" s="2">
        <v>18.258064520000001</v>
      </c>
      <c r="AB63">
        <f t="shared" si="6"/>
        <v>18.258064516129032</v>
      </c>
      <c r="AC63">
        <f t="shared" si="7"/>
        <v>18.258064516129032</v>
      </c>
      <c r="AD63" s="2">
        <v>17.93333333</v>
      </c>
      <c r="AE63" s="2">
        <v>17.93333333</v>
      </c>
      <c r="AF63">
        <f t="shared" si="16"/>
        <v>17.933333333333334</v>
      </c>
      <c r="AG63">
        <f t="shared" si="17"/>
        <v>17.933333333333334</v>
      </c>
      <c r="AH63" s="2">
        <v>16.870967740000001</v>
      </c>
      <c r="AI63" s="2">
        <v>16.870967740000001</v>
      </c>
      <c r="AJ63">
        <f t="shared" si="11"/>
        <v>16.870967741935484</v>
      </c>
      <c r="AK63">
        <f t="shared" si="12"/>
        <v>16.870967741935484</v>
      </c>
      <c r="AL63">
        <f t="shared" si="13"/>
        <v>2</v>
      </c>
      <c r="AM63" t="str">
        <f t="shared" si="18"/>
        <v>MD Anderson</v>
      </c>
      <c r="AN63">
        <v>0</v>
      </c>
      <c r="AO63">
        <v>24</v>
      </c>
      <c r="AP63">
        <f>VLOOKUP(D63, METADATALOOKUP!$A:$AI, 7, FALSE)</f>
        <v>56</v>
      </c>
      <c r="AQ63" t="str">
        <f>VLOOKUP(D63, METADATALOOKUP!$A:$AI, 8, FALSE)</f>
        <v>Male</v>
      </c>
      <c r="AR63" t="str">
        <f>VLOOKUP(D63, METADATALOOKUP!$A:$AI, 9, FALSE)</f>
        <v>White</v>
      </c>
      <c r="AS63" t="str">
        <f>VLOOKUP(D63, METADATALOOKUP!$A:$AI, 11, FALSE)</f>
        <v>Yes</v>
      </c>
      <c r="AT63" t="str">
        <f>VLOOKUP(D63, METADATALOOKUP!$A:$AI, 10, FALSE)</f>
        <v>Non-Hispanic</v>
      </c>
      <c r="AU63" t="str">
        <f>VLOOKUP(D63, METADATALOOKUP!$A:$AI, 12, FALSE)</f>
        <v>Yes</v>
      </c>
      <c r="AV63" t="str">
        <f>VLOOKUP(D63, METADATALOOKUP!$A:$AI, 14, FALSE)</f>
        <v>T4aN2bM0</v>
      </c>
      <c r="AW63" t="str">
        <f>VLOOKUP(D63, METADATALOOKUP!$A:$AI, 6, FALSE)</f>
        <v xml:space="preserve">High </v>
      </c>
      <c r="AX63" t="str">
        <f>VLOOKUP(D63, METADATALOOKUP!$A:$AI, 19, FALSE)</f>
        <v>No</v>
      </c>
      <c r="AY63">
        <f>LOOKUP(D63, SURVLOOKUP!$A:$A, SURVLOOKUP!$P:$P)</f>
        <v>1</v>
      </c>
      <c r="AZ63" s="46">
        <v>1</v>
      </c>
      <c r="BA63" t="str">
        <f>TEXT(VLOOKUP(D63, METADATALOOKUP!$A:$AI, 34, FALSE), "@")</f>
        <v>10-15%</v>
      </c>
      <c r="BB63" s="47" t="str">
        <f t="shared" si="14"/>
        <v>Responder</v>
      </c>
      <c r="BC63">
        <v>2.8</v>
      </c>
      <c r="BE63">
        <v>24</v>
      </c>
      <c r="BF63">
        <v>0.35714299999999999</v>
      </c>
      <c r="BG63">
        <v>49.642859999999999</v>
      </c>
      <c r="BH63">
        <v>24.8</v>
      </c>
      <c r="BI63">
        <v>1.008065</v>
      </c>
      <c r="BJ63" t="s">
        <v>294</v>
      </c>
      <c r="BK63" t="s">
        <v>295</v>
      </c>
      <c r="BL63" t="s">
        <v>296</v>
      </c>
    </row>
    <row r="64" spans="1:64" x14ac:dyDescent="0.2">
      <c r="A64" s="3" t="s">
        <v>304</v>
      </c>
      <c r="B64" t="str">
        <f>VLOOKUP(A64, IDSLOOKUP!C:E, 2, FALSE)</f>
        <v>Adj Wk 1</v>
      </c>
      <c r="C64" t="str">
        <f>VLOOKUP(D64, METADATALOOKUP!$A:$AI, 13, FALSE)</f>
        <v>Oral Cavity</v>
      </c>
      <c r="D64" t="str">
        <f>VLOOKUP(A64, IDSLOOKUP!C:E, 3, FALSE)</f>
        <v>HN06-02</v>
      </c>
      <c r="E64" s="48">
        <f>VLOOKUP(A64,CFDNALOOKUP!AG:AI,2,FALSE)</f>
        <v>44092</v>
      </c>
      <c r="F64" s="48">
        <f>VLOOKUP(A64,CFDNALOOKUP!AG:AI,3,FALSE)</f>
        <v>44179</v>
      </c>
      <c r="G64" s="1">
        <f>VLOOKUP(D64, SURVLOOKUP!$A:$Q, 2, FALSE)</f>
        <v>43565</v>
      </c>
      <c r="H64" s="1">
        <f>VLOOKUP(D64, SURVLOOKUP!$A:$Q, 3, FALSE)</f>
        <v>43601</v>
      </c>
      <c r="I64" s="1">
        <f>VLOOKUP(D64, SURVLOOKUP!$A:$Q, 4, FALSE)</f>
        <v>43615</v>
      </c>
      <c r="J64" s="1">
        <f>VLOOKUP(D64, SURVLOOKUP!$A:$Q, 5, FALSE)</f>
        <v>43626</v>
      </c>
      <c r="K64" s="1">
        <f>VLOOKUP(D64, SURVLOOKUP!$A:$Q, 6, FALSE)</f>
        <v>43661</v>
      </c>
      <c r="L64" s="1">
        <f>VLOOKUP(D64, SURVLOOKUP!$A:$Q, 7, FALSE)</f>
        <v>43697</v>
      </c>
      <c r="M64" s="1">
        <f>VLOOKUP(D64, SURVLOOKUP!$A:$Q, 8, FALSE)</f>
        <v>43657</v>
      </c>
      <c r="N64" s="1">
        <f>VLOOKUP(D64, SURVLOOKUP!$A:$Q, 9, FALSE)</f>
        <v>43760</v>
      </c>
      <c r="O64" s="1" t="str">
        <f>VLOOKUP(D64, SURVLOOKUP!$A:$Q, 10, FALSE)</f>
        <v>NA</v>
      </c>
      <c r="P64" s="1">
        <f>VLOOKUP(D64, OLDSURVLOOKUP!$A:$AA, 19, FALSE)</f>
        <v>44172</v>
      </c>
      <c r="Q64" s="1">
        <f>VLOOKUP(D64, SURVLOOKUP!$A:$Q, 11, FALSE)</f>
        <v>44172</v>
      </c>
      <c r="R64" s="1"/>
      <c r="S64" s="1"/>
      <c r="T64" s="1">
        <f>VLOOKUP(D64, OLDSURVLOOKUP!$A:$AA, 21, FALSE)</f>
        <v>44173</v>
      </c>
      <c r="U64" s="1">
        <f>VLOOKUP(D64, SURVLOOKUP!$A:$Q, 13, FALSE)</f>
        <v>44173</v>
      </c>
      <c r="V64">
        <f>_xlfn.XLOOKUP(D64, OLDSURVLOOKUP!$A:$A, OLDSURVLOOKUP!V:V)</f>
        <v>1</v>
      </c>
      <c r="W64">
        <f>VLOOKUP(D64, SURVLOOKUP!$A:$Q, 14, FALSE)</f>
        <v>1</v>
      </c>
      <c r="X64">
        <f>_xlfn.XLOOKUP(D64, OLDSURVLOOKUP!$A:$A, OLDSURVLOOKUP!X:X)</f>
        <v>1</v>
      </c>
      <c r="Y64">
        <f>VLOOKUP(D64, SURVLOOKUP!$A:$Q, 15, FALSE)</f>
        <v>1</v>
      </c>
      <c r="Z64" s="2">
        <v>18.258064520000001</v>
      </c>
      <c r="AA64" s="2">
        <v>18.258064520000001</v>
      </c>
      <c r="AB64">
        <f t="shared" si="6"/>
        <v>18.258064516129032</v>
      </c>
      <c r="AC64">
        <f t="shared" si="7"/>
        <v>18.258064516129032</v>
      </c>
      <c r="AD64" s="2">
        <v>17.93333333</v>
      </c>
      <c r="AE64" s="2">
        <v>17.93333333</v>
      </c>
      <c r="AF64">
        <f t="shared" si="16"/>
        <v>17.933333333333334</v>
      </c>
      <c r="AG64">
        <f t="shared" si="17"/>
        <v>17.933333333333334</v>
      </c>
      <c r="AH64" s="2">
        <v>16.870967740000001</v>
      </c>
      <c r="AI64" s="2">
        <v>16.870967740000001</v>
      </c>
      <c r="AJ64">
        <f t="shared" si="11"/>
        <v>16.870967741935484</v>
      </c>
      <c r="AK64">
        <f t="shared" si="12"/>
        <v>16.870967741935484</v>
      </c>
      <c r="AL64">
        <f t="shared" si="13"/>
        <v>2</v>
      </c>
      <c r="AM64" t="str">
        <f t="shared" si="18"/>
        <v>MD Anderson</v>
      </c>
      <c r="AN64">
        <v>0</v>
      </c>
      <c r="AO64">
        <v>24</v>
      </c>
      <c r="AP64">
        <f>VLOOKUP(D64, METADATALOOKUP!$A:$AI, 7, FALSE)</f>
        <v>56</v>
      </c>
      <c r="AQ64" t="str">
        <f>VLOOKUP(D64, METADATALOOKUP!$A:$AI, 8, FALSE)</f>
        <v>Male</v>
      </c>
      <c r="AR64" t="str">
        <f>VLOOKUP(D64, METADATALOOKUP!$A:$AI, 9, FALSE)</f>
        <v>White</v>
      </c>
      <c r="AS64" t="str">
        <f>VLOOKUP(D64, METADATALOOKUP!$A:$AI, 11, FALSE)</f>
        <v>Yes</v>
      </c>
      <c r="AT64" t="str">
        <f>VLOOKUP(D64, METADATALOOKUP!$A:$AI, 10, FALSE)</f>
        <v>Non-Hispanic</v>
      </c>
      <c r="AU64" t="str">
        <f>VLOOKUP(D64, METADATALOOKUP!$A:$AI, 12, FALSE)</f>
        <v>Yes</v>
      </c>
      <c r="AV64" t="str">
        <f>VLOOKUP(D64, METADATALOOKUP!$A:$AI, 14, FALSE)</f>
        <v>T4aN2bM0</v>
      </c>
      <c r="AW64" t="str">
        <f>VLOOKUP(D64, METADATALOOKUP!$A:$AI, 6, FALSE)</f>
        <v xml:space="preserve">High </v>
      </c>
      <c r="AX64" t="str">
        <f>VLOOKUP(D64, METADATALOOKUP!$A:$AI, 19, FALSE)</f>
        <v>No</v>
      </c>
      <c r="AY64">
        <f>LOOKUP(D64, SURVLOOKUP!$A:$A, SURVLOOKUP!$P:$P)</f>
        <v>1</v>
      </c>
      <c r="AZ64" s="46">
        <v>1</v>
      </c>
      <c r="BA64" t="str">
        <f>TEXT(VLOOKUP(D64, METADATALOOKUP!$A:$AI, 34, FALSE), "@")</f>
        <v>10-15%</v>
      </c>
      <c r="BB64" s="47" t="str">
        <f t="shared" si="14"/>
        <v>Responder</v>
      </c>
      <c r="BC64">
        <v>1.88</v>
      </c>
      <c r="BE64">
        <v>24</v>
      </c>
      <c r="BF64">
        <v>0.53191500000000003</v>
      </c>
      <c r="BG64">
        <v>49.468089999999997</v>
      </c>
      <c r="BH64">
        <v>8.9600000000000009</v>
      </c>
      <c r="BI64">
        <v>2.7901790000000002</v>
      </c>
      <c r="BJ64" t="s">
        <v>305</v>
      </c>
      <c r="BK64" t="s">
        <v>306</v>
      </c>
      <c r="BL64" t="s">
        <v>307</v>
      </c>
    </row>
    <row r="65" spans="1:64" x14ac:dyDescent="0.2">
      <c r="A65" s="3" t="s">
        <v>308</v>
      </c>
      <c r="B65" t="str">
        <f>VLOOKUP(A65, IDSLOOKUP!C:E, 2, FALSE)</f>
        <v>Screen</v>
      </c>
      <c r="C65" t="str">
        <f>VLOOKUP(D65, METADATALOOKUP!$A:$AI, 13, FALSE)</f>
        <v>Oral Cavity</v>
      </c>
      <c r="D65" t="str">
        <f>VLOOKUP(A65, IDSLOOKUP!C:E, 3, FALSE)</f>
        <v>HN06-04</v>
      </c>
      <c r="E65" s="48">
        <f>VLOOKUP(A65,CFDNALOOKUP!AG:AI,2,FALSE)</f>
        <v>44092</v>
      </c>
      <c r="F65" s="48">
        <f>VLOOKUP(A65,CFDNALOOKUP!AG:AI,3,FALSE)</f>
        <v>44179</v>
      </c>
      <c r="G65" s="1">
        <f>VLOOKUP(D65, SURVLOOKUP!$A:$Q, 2, FALSE)</f>
        <v>43608</v>
      </c>
      <c r="H65" s="1">
        <f>VLOOKUP(D65, SURVLOOKUP!$A:$Q, 3, FALSE)</f>
        <v>43647</v>
      </c>
      <c r="I65" s="1">
        <f>VLOOKUP(D65, SURVLOOKUP!$A:$Q, 4, FALSE)</f>
        <v>43663</v>
      </c>
      <c r="J65" s="1">
        <f>VLOOKUP(D65, SURVLOOKUP!$A:$Q, 5, FALSE)</f>
        <v>43684</v>
      </c>
      <c r="K65" s="1">
        <f>VLOOKUP(D65, SURVLOOKUP!$A:$Q, 6, FALSE)</f>
        <v>40430</v>
      </c>
      <c r="L65" s="1">
        <f>VLOOKUP(D65, SURVLOOKUP!$A:$Q, 7, FALSE)</f>
        <v>43754</v>
      </c>
      <c r="M65" s="1">
        <f>VLOOKUP(D65, SURVLOOKUP!$A:$Q, 8, FALSE)</f>
        <v>43711</v>
      </c>
      <c r="N65" s="1">
        <f>VLOOKUP(D65, SURVLOOKUP!$A:$Q, 9, FALSE)</f>
        <v>43816</v>
      </c>
      <c r="O65" s="1" t="str">
        <f>VLOOKUP(D65, SURVLOOKUP!$A:$Q, 10, FALSE)</f>
        <v>NA</v>
      </c>
      <c r="P65" s="1">
        <f>VLOOKUP(D65, OLDSURVLOOKUP!$A:$AA, 19, FALSE)</f>
        <v>44300</v>
      </c>
      <c r="Q65" s="1">
        <f>VLOOKUP(D65, SURVLOOKUP!$A:$Q, 11, FALSE)</f>
        <v>45643</v>
      </c>
      <c r="R65" s="1"/>
      <c r="S65" s="1"/>
      <c r="T65" s="1"/>
      <c r="U65" s="1"/>
      <c r="V65">
        <f>_xlfn.XLOOKUP(D65, OLDSURVLOOKUP!$A:$A, OLDSURVLOOKUP!V:V)</f>
        <v>0</v>
      </c>
      <c r="W65">
        <f>VLOOKUP(D65, SURVLOOKUP!$A:$Q, 14, FALSE)</f>
        <v>0</v>
      </c>
      <c r="X65">
        <f>_xlfn.XLOOKUP(D65, OLDSURVLOOKUP!$A:$A, OLDSURVLOOKUP!X:X)</f>
        <v>0</v>
      </c>
      <c r="Y65">
        <f>VLOOKUP(D65, SURVLOOKUP!$A:$Q, 15, FALSE)</f>
        <v>0</v>
      </c>
      <c r="Z65">
        <f t="shared" si="4"/>
        <v>20.903225806451612</v>
      </c>
      <c r="AA65">
        <f t="shared" si="5"/>
        <v>65</v>
      </c>
      <c r="AB65">
        <f t="shared" si="6"/>
        <v>20.903225806451612</v>
      </c>
      <c r="AC65">
        <f t="shared" si="7"/>
        <v>65</v>
      </c>
      <c r="AD65">
        <f t="shared" si="8"/>
        <v>20.225806451612904</v>
      </c>
      <c r="AE65">
        <f t="shared" ref="AE65:AE72" si="20">IF(W65=0, DATEDIF(J65,Q65,"M")+DATEDIF(J65,Q65,"MD")/DAY(EOMONTH(J65,0)), DATEDIF(J65,S65,"M")+DATEDIF(J65,S65,"MD")/DAY(EOMONTH(J65,0)))</f>
        <v>64.322580645161295</v>
      </c>
      <c r="AF65">
        <f t="shared" si="16"/>
        <v>20.225806451612904</v>
      </c>
      <c r="AG65">
        <f t="shared" si="17"/>
        <v>64.322580645161295</v>
      </c>
      <c r="AH65">
        <f t="shared" si="9"/>
        <v>19.366666666666667</v>
      </c>
      <c r="AI65">
        <f t="shared" si="10"/>
        <v>63.466666666666669</v>
      </c>
      <c r="AJ65">
        <f t="shared" si="11"/>
        <v>19.366666666666667</v>
      </c>
      <c r="AK65">
        <f t="shared" si="12"/>
        <v>63.466666666666669</v>
      </c>
      <c r="AL65">
        <f t="shared" si="13"/>
        <v>2</v>
      </c>
      <c r="AM65" t="str">
        <f t="shared" si="18"/>
        <v>MD Anderson</v>
      </c>
      <c r="AN65">
        <v>0</v>
      </c>
      <c r="AO65">
        <v>25</v>
      </c>
      <c r="AP65">
        <f>VLOOKUP(D65, METADATALOOKUP!$A:$AI, 7, FALSE)</f>
        <v>60</v>
      </c>
      <c r="AQ65" t="str">
        <f>VLOOKUP(D65, METADATALOOKUP!$A:$AI, 8, FALSE)</f>
        <v>Male</v>
      </c>
      <c r="AR65" t="str">
        <f>VLOOKUP(D65, METADATALOOKUP!$A:$AI, 9, FALSE)</f>
        <v>White</v>
      </c>
      <c r="AS65" t="str">
        <f>VLOOKUP(D65, METADATALOOKUP!$A:$AI, 11, FALSE)</f>
        <v>Yes</v>
      </c>
      <c r="AT65" t="str">
        <f>VLOOKUP(D65, METADATALOOKUP!$A:$AI, 10, FALSE)</f>
        <v>Non-Hispanic</v>
      </c>
      <c r="AU65" t="str">
        <f>VLOOKUP(D65, METADATALOOKUP!$A:$AI, 12, FALSE)</f>
        <v>Yes</v>
      </c>
      <c r="AV65" t="str">
        <f>VLOOKUP(D65, METADATALOOKUP!$A:$AI, 14, FALSE)</f>
        <v>T4aN2bM0</v>
      </c>
      <c r="AW65" t="str">
        <f>VLOOKUP(D65, METADATALOOKUP!$A:$AI, 6, FALSE)</f>
        <v xml:space="preserve">High </v>
      </c>
      <c r="AX65" t="str">
        <f>VLOOKUP(D65, METADATALOOKUP!$A:$AI, 19, FALSE)</f>
        <v>Unknown</v>
      </c>
      <c r="AY65">
        <f>LOOKUP(D65, SURVLOOKUP!$A:$A, SURVLOOKUP!$P:$P)</f>
        <v>1</v>
      </c>
      <c r="AZ65" s="46">
        <v>9</v>
      </c>
      <c r="BA65" t="str">
        <f>TEXT(VLOOKUP(D65, METADATALOOKUP!$A:$AI, 34, FALSE), "@")</f>
        <v>0.9</v>
      </c>
      <c r="BB65" s="47" t="str">
        <f t="shared" si="14"/>
        <v>Responder</v>
      </c>
      <c r="BC65">
        <v>0.84599999999999997</v>
      </c>
      <c r="BE65">
        <v>24</v>
      </c>
      <c r="BF65">
        <v>1.1820329999999999</v>
      </c>
      <c r="BG65">
        <v>48.817970000000003</v>
      </c>
      <c r="BH65">
        <v>12.7</v>
      </c>
      <c r="BI65">
        <v>1.968504</v>
      </c>
      <c r="BJ65" t="s">
        <v>141</v>
      </c>
      <c r="BK65" t="s">
        <v>142</v>
      </c>
      <c r="BL65" t="s">
        <v>143</v>
      </c>
    </row>
    <row r="66" spans="1:64" x14ac:dyDescent="0.2">
      <c r="A66" s="3" t="s">
        <v>311</v>
      </c>
      <c r="B66" t="str">
        <f>VLOOKUP(A66, IDSLOOKUP!C:E, 2, FALSE)</f>
        <v>Day 0</v>
      </c>
      <c r="C66" t="str">
        <f>VLOOKUP(D66, METADATALOOKUP!$A:$AI, 13, FALSE)</f>
        <v>Oral Cavity</v>
      </c>
      <c r="D66" t="str">
        <f>VLOOKUP(A66, IDSLOOKUP!C:E, 3, FALSE)</f>
        <v>HN06-04</v>
      </c>
      <c r="E66" s="48">
        <f>VLOOKUP(A66,CFDNALOOKUP!AG:AI,2,FALSE)</f>
        <v>44092</v>
      </c>
      <c r="F66" s="48">
        <f>VLOOKUP(A66,CFDNALOOKUP!AG:AI,3,FALSE)</f>
        <v>44180</v>
      </c>
      <c r="G66" s="1">
        <f>VLOOKUP(D66, SURVLOOKUP!$A:$Q, 2, FALSE)</f>
        <v>43608</v>
      </c>
      <c r="H66" s="1">
        <f>VLOOKUP(D66, SURVLOOKUP!$A:$Q, 3, FALSE)</f>
        <v>43647</v>
      </c>
      <c r="I66" s="1">
        <f>VLOOKUP(D66, SURVLOOKUP!$A:$Q, 4, FALSE)</f>
        <v>43663</v>
      </c>
      <c r="J66" s="1">
        <f>VLOOKUP(D66, SURVLOOKUP!$A:$Q, 5, FALSE)</f>
        <v>43684</v>
      </c>
      <c r="K66" s="1">
        <f>VLOOKUP(D66, SURVLOOKUP!$A:$Q, 6, FALSE)</f>
        <v>40430</v>
      </c>
      <c r="L66" s="1">
        <f>VLOOKUP(D66, SURVLOOKUP!$A:$Q, 7, FALSE)</f>
        <v>43754</v>
      </c>
      <c r="M66" s="1">
        <f>VLOOKUP(D66, SURVLOOKUP!$A:$Q, 8, FALSE)</f>
        <v>43711</v>
      </c>
      <c r="N66" s="1">
        <f>VLOOKUP(D66, SURVLOOKUP!$A:$Q, 9, FALSE)</f>
        <v>43816</v>
      </c>
      <c r="O66" s="1" t="str">
        <f>VLOOKUP(D66, SURVLOOKUP!$A:$Q, 10, FALSE)</f>
        <v>NA</v>
      </c>
      <c r="P66" s="1">
        <f>VLOOKUP(D66, OLDSURVLOOKUP!$A:$AA, 19, FALSE)</f>
        <v>44300</v>
      </c>
      <c r="Q66" s="1">
        <f>VLOOKUP(D66, SURVLOOKUP!$A:$Q, 11, FALSE)</f>
        <v>45643</v>
      </c>
      <c r="R66" s="1"/>
      <c r="S66" s="1"/>
      <c r="T66" s="1"/>
      <c r="U66" s="1"/>
      <c r="V66">
        <f>_xlfn.XLOOKUP(D66, OLDSURVLOOKUP!$A:$A, OLDSURVLOOKUP!V:V)</f>
        <v>0</v>
      </c>
      <c r="W66">
        <f>VLOOKUP(D66, SURVLOOKUP!$A:$Q, 14, FALSE)</f>
        <v>0</v>
      </c>
      <c r="X66">
        <f>_xlfn.XLOOKUP(D66, OLDSURVLOOKUP!$A:$A, OLDSURVLOOKUP!X:X)</f>
        <v>0</v>
      </c>
      <c r="Y66">
        <f>VLOOKUP(D66, SURVLOOKUP!$A:$Q, 15, FALSE)</f>
        <v>0</v>
      </c>
      <c r="Z66">
        <f t="shared" si="4"/>
        <v>20.903225806451612</v>
      </c>
      <c r="AA66">
        <f t="shared" si="5"/>
        <v>65</v>
      </c>
      <c r="AB66">
        <f t="shared" si="6"/>
        <v>20.903225806451612</v>
      </c>
      <c r="AC66">
        <f t="shared" si="7"/>
        <v>65</v>
      </c>
      <c r="AD66">
        <f t="shared" si="8"/>
        <v>20.225806451612904</v>
      </c>
      <c r="AE66">
        <f t="shared" si="20"/>
        <v>64.322580645161295</v>
      </c>
      <c r="AF66">
        <f t="shared" ref="AF66:AF72" si="21">IF(X66=0, DATEDIF(J66,P66,"M")+DATEDIF(J66,P66,"MD")/DAY(EOMONTH(J66,0)), DATEDIF(J66,T66,"M")+DATEDIF(J66,T66,"MD")/DAY(EOMONTH(J66,0)))</f>
        <v>20.225806451612904</v>
      </c>
      <c r="AG66">
        <f t="shared" ref="AG66:AG72" si="22">IF(Y66=0, DATEDIF(J66,Q66,"M")+DATEDIF(J66,Q66,"MD")/DAY(EOMONTH(J66,0)), DATEDIF(J66,U66,"M")+DATEDIF(J66,U66,"MD")/DAY(EOMONTH(J66,0)))</f>
        <v>64.322580645161295</v>
      </c>
      <c r="AH66">
        <f t="shared" si="9"/>
        <v>19.366666666666667</v>
      </c>
      <c r="AI66">
        <f t="shared" si="10"/>
        <v>63.466666666666669</v>
      </c>
      <c r="AJ66">
        <f t="shared" si="11"/>
        <v>19.366666666666667</v>
      </c>
      <c r="AK66">
        <f t="shared" si="12"/>
        <v>63.466666666666669</v>
      </c>
      <c r="AL66">
        <f t="shared" si="13"/>
        <v>2</v>
      </c>
      <c r="AM66" t="str">
        <f t="shared" ref="AM66:AM97" si="23">IFERROR(
  CHOOSE(
    VALUE(MID(D66, FIND("-", D66) - 1, 1)),
    "University of Cincinnati",
    "Ohio State University",
    "Medical University of South Carolina",
    "University of Michigan",
    "University of Louisville",
    "MD Anderson"
  ),
  "Unknown"
)</f>
        <v>MD Anderson</v>
      </c>
      <c r="AN66">
        <v>0</v>
      </c>
      <c r="AO66">
        <v>25</v>
      </c>
      <c r="AP66">
        <f>VLOOKUP(D66, METADATALOOKUP!$A:$AI, 7, FALSE)</f>
        <v>60</v>
      </c>
      <c r="AQ66" t="str">
        <f>VLOOKUP(D66, METADATALOOKUP!$A:$AI, 8, FALSE)</f>
        <v>Male</v>
      </c>
      <c r="AR66" t="str">
        <f>VLOOKUP(D66, METADATALOOKUP!$A:$AI, 9, FALSE)</f>
        <v>White</v>
      </c>
      <c r="AS66" t="str">
        <f>VLOOKUP(D66, METADATALOOKUP!$A:$AI, 11, FALSE)</f>
        <v>Yes</v>
      </c>
      <c r="AT66" t="str">
        <f>VLOOKUP(D66, METADATALOOKUP!$A:$AI, 10, FALSE)</f>
        <v>Non-Hispanic</v>
      </c>
      <c r="AU66" t="str">
        <f>VLOOKUP(D66, METADATALOOKUP!$A:$AI, 12, FALSE)</f>
        <v>Yes</v>
      </c>
      <c r="AV66" t="str">
        <f>VLOOKUP(D66, METADATALOOKUP!$A:$AI, 14, FALSE)</f>
        <v>T4aN2bM0</v>
      </c>
      <c r="AW66" t="str">
        <f>VLOOKUP(D66, METADATALOOKUP!$A:$AI, 6, FALSE)</f>
        <v xml:space="preserve">High </v>
      </c>
      <c r="AX66" t="str">
        <f>VLOOKUP(D66, METADATALOOKUP!$A:$AI, 19, FALSE)</f>
        <v>Unknown</v>
      </c>
      <c r="AY66">
        <f>LOOKUP(D66, SURVLOOKUP!$A:$A, SURVLOOKUP!$P:$P)</f>
        <v>1</v>
      </c>
      <c r="AZ66" s="46">
        <v>9</v>
      </c>
      <c r="BA66" t="str">
        <f>TEXT(VLOOKUP(D66, METADATALOOKUP!$A:$AI, 34, FALSE), "@")</f>
        <v>0.9</v>
      </c>
      <c r="BB66" s="47" t="str">
        <f t="shared" si="14"/>
        <v>Responder</v>
      </c>
      <c r="BC66">
        <v>1.04</v>
      </c>
      <c r="BE66">
        <v>24</v>
      </c>
      <c r="BF66">
        <v>0.961538</v>
      </c>
      <c r="BG66">
        <v>49.038460000000001</v>
      </c>
      <c r="BH66">
        <v>9.2799999999999994</v>
      </c>
      <c r="BI66">
        <v>2.6939660000000001</v>
      </c>
      <c r="BJ66" t="s">
        <v>184</v>
      </c>
      <c r="BK66" t="s">
        <v>185</v>
      </c>
      <c r="BL66" t="s">
        <v>186</v>
      </c>
    </row>
    <row r="67" spans="1:64" x14ac:dyDescent="0.2">
      <c r="A67" s="3" t="s">
        <v>312</v>
      </c>
      <c r="B67" t="str">
        <f>VLOOKUP(A67, IDSLOOKUP!C:E, 2, FALSE)</f>
        <v>Adj Wk 1</v>
      </c>
      <c r="C67" t="str">
        <f>VLOOKUP(D67, METADATALOOKUP!$A:$AI, 13, FALSE)</f>
        <v>Oral Cavity</v>
      </c>
      <c r="D67" t="str">
        <f>VLOOKUP(A67, IDSLOOKUP!C:E, 3, FALSE)</f>
        <v>HN06-04</v>
      </c>
      <c r="E67" s="48">
        <f>VLOOKUP(A67,CFDNALOOKUP!AG:AI,2,FALSE)</f>
        <v>44092</v>
      </c>
      <c r="F67" s="48">
        <f>VLOOKUP(A67,CFDNALOOKUP!AG:AI,3,FALSE)</f>
        <v>44179</v>
      </c>
      <c r="G67" s="1">
        <f>VLOOKUP(D67, SURVLOOKUP!$A:$Q, 2, FALSE)</f>
        <v>43608</v>
      </c>
      <c r="H67" s="1">
        <f>VLOOKUP(D67, SURVLOOKUP!$A:$Q, 3, FALSE)</f>
        <v>43647</v>
      </c>
      <c r="I67" s="1">
        <f>VLOOKUP(D67, SURVLOOKUP!$A:$Q, 4, FALSE)</f>
        <v>43663</v>
      </c>
      <c r="J67" s="1">
        <f>VLOOKUP(D67, SURVLOOKUP!$A:$Q, 5, FALSE)</f>
        <v>43684</v>
      </c>
      <c r="K67" s="1">
        <f>VLOOKUP(D67, SURVLOOKUP!$A:$Q, 6, FALSE)</f>
        <v>40430</v>
      </c>
      <c r="L67" s="1">
        <f>VLOOKUP(D67, SURVLOOKUP!$A:$Q, 7, FALSE)</f>
        <v>43754</v>
      </c>
      <c r="M67" s="1">
        <f>VLOOKUP(D67, SURVLOOKUP!$A:$Q, 8, FALSE)</f>
        <v>43711</v>
      </c>
      <c r="N67" s="1">
        <f>VLOOKUP(D67, SURVLOOKUP!$A:$Q, 9, FALSE)</f>
        <v>43816</v>
      </c>
      <c r="O67" s="1" t="str">
        <f>VLOOKUP(D67, SURVLOOKUP!$A:$Q, 10, FALSE)</f>
        <v>NA</v>
      </c>
      <c r="P67" s="1">
        <f>VLOOKUP(D67, OLDSURVLOOKUP!$A:$AA, 19, FALSE)</f>
        <v>44300</v>
      </c>
      <c r="Q67" s="1">
        <f>VLOOKUP(D67, SURVLOOKUP!$A:$Q, 11, FALSE)</f>
        <v>45643</v>
      </c>
      <c r="R67" s="1"/>
      <c r="S67" s="1"/>
      <c r="T67" s="1"/>
      <c r="U67" s="1"/>
      <c r="V67">
        <f>_xlfn.XLOOKUP(D67, OLDSURVLOOKUP!$A:$A, OLDSURVLOOKUP!V:V)</f>
        <v>0</v>
      </c>
      <c r="W67">
        <f>VLOOKUP(D67, SURVLOOKUP!$A:$Q, 14, FALSE)</f>
        <v>0</v>
      </c>
      <c r="X67">
        <f>_xlfn.XLOOKUP(D67, OLDSURVLOOKUP!$A:$A, OLDSURVLOOKUP!X:X)</f>
        <v>0</v>
      </c>
      <c r="Y67">
        <f>VLOOKUP(D67, SURVLOOKUP!$A:$Q, 15, FALSE)</f>
        <v>0</v>
      </c>
      <c r="Z67">
        <f t="shared" ref="Z67:Z130" si="24">IF(V67=0, DATEDIF(I67,P67,"M")+DATEDIF(I67,P67,"MD")/DAY(EOMONTH(I67,0)), DATEDIF(I67,R67,"M")+DATEDIF(I67,R67,"MD")/DAY(EOMONTH(I67,0)))</f>
        <v>20.903225806451612</v>
      </c>
      <c r="AA67">
        <f t="shared" ref="AA67:AA130" si="25">IF(W67=0, DATEDIF(I67,Q67,"M")+DATEDIF(I67,Q67,"MD")/DAY(EOMONTH(I67,0)), DATEDIF(I67,S67,"M")+DATEDIF(I67,S67,"MD")/DAY(EOMONTH(I67,0)))</f>
        <v>65</v>
      </c>
      <c r="AB67">
        <f t="shared" ref="AB67:AB130" si="26">IF(X67=0, DATEDIF(I67,P67,"M")+DATEDIF(I67,P67,"MD")/DAY(EOMONTH(I67,0)), DATEDIF(I67,T67,"M")+DATEDIF(I67,T67,"MD")/DAY(EOMONTH(I67,0)))</f>
        <v>20.903225806451612</v>
      </c>
      <c r="AC67">
        <f t="shared" ref="AC67:AC130" si="27">IF(Y67=0, DATEDIF(I67,Q67,"M")+DATEDIF(I67,Q67,"MD")/DAY(EOMONTH(I67,0)), DATEDIF(I67,U67,"M")+DATEDIF(I67,U67,"MD")/DAY(EOMONTH(I67,0)))</f>
        <v>65</v>
      </c>
      <c r="AD67">
        <f t="shared" ref="AD67:AD130" si="28">IF(V67=0, DATEDIF(J67,P67,"M")+DATEDIF(J67,P67,"MD")/DAY(EOMONTH(J67,0)), DATEDIF(J67,R67,"M")+DATEDIF(J67,R67,"MD")/DAY(EOMONTH(J67,0)))</f>
        <v>20.225806451612904</v>
      </c>
      <c r="AE67">
        <f t="shared" si="20"/>
        <v>64.322580645161295</v>
      </c>
      <c r="AF67">
        <f t="shared" si="21"/>
        <v>20.225806451612904</v>
      </c>
      <c r="AG67">
        <f t="shared" si="22"/>
        <v>64.322580645161295</v>
      </c>
      <c r="AH67">
        <f t="shared" ref="AH67:AH130" si="29">IF(V67=0, DATEDIF(M67,P67,"M")+DATEDIF(M67,P67,"MD")/DAY(EOMONTH(M67,0)), DATEDIF(M67,R67,"M")+DATEDIF(M67,R67,"MD")/DAY(EOMONTH(M67,0)))</f>
        <v>19.366666666666667</v>
      </c>
      <c r="AI67">
        <f t="shared" ref="AI67:AI130" si="30">IF(W67=0, DATEDIF(M67,Q67,"M")+DATEDIF(M67,Q67,"MD")/DAY(EOMONTH(M67,0)), DATEDIF(M67,S67,"M")+DATEDIF(M67,S67,"MD")/DAY(EOMONTH(M67,0)))</f>
        <v>63.466666666666669</v>
      </c>
      <c r="AJ67">
        <f t="shared" ref="AJ67:AJ130" si="31">IF(X67=0, DATEDIF(M67,P67,"M")+DATEDIF(M67,P67,"MD")/DAY(EOMONTH(M67,0)), DATEDIF(M67,T67,"M")+DATEDIF(M67,T67,"MD")/DAY(EOMONTH(M67,0)))</f>
        <v>19.366666666666667</v>
      </c>
      <c r="AK67">
        <f t="shared" ref="AK67:AK130" si="32">IF(Y67=0, DATEDIF(M67,Q67,"M")+DATEDIF(M67,Q67,"MD")/DAY(EOMONTH(M67,0)), DATEDIF(M67,U67,"M")+DATEDIF(M67,U67,"MD")/DAY(EOMONTH(M67,0)))</f>
        <v>63.466666666666669</v>
      </c>
      <c r="AL67">
        <f t="shared" si="13"/>
        <v>2</v>
      </c>
      <c r="AM67" t="str">
        <f t="shared" si="23"/>
        <v>MD Anderson</v>
      </c>
      <c r="AN67">
        <v>0</v>
      </c>
      <c r="AO67">
        <v>25</v>
      </c>
      <c r="AP67">
        <f>VLOOKUP(D67, METADATALOOKUP!$A:$AI, 7, FALSE)</f>
        <v>60</v>
      </c>
      <c r="AQ67" t="str">
        <f>VLOOKUP(D67, METADATALOOKUP!$A:$AI, 8, FALSE)</f>
        <v>Male</v>
      </c>
      <c r="AR67" t="str">
        <f>VLOOKUP(D67, METADATALOOKUP!$A:$AI, 9, FALSE)</f>
        <v>White</v>
      </c>
      <c r="AS67" t="str">
        <f>VLOOKUP(D67, METADATALOOKUP!$A:$AI, 11, FALSE)</f>
        <v>Yes</v>
      </c>
      <c r="AT67" t="str">
        <f>VLOOKUP(D67, METADATALOOKUP!$A:$AI, 10, FALSE)</f>
        <v>Non-Hispanic</v>
      </c>
      <c r="AU67" t="str">
        <f>VLOOKUP(D67, METADATALOOKUP!$A:$AI, 12, FALSE)</f>
        <v>Yes</v>
      </c>
      <c r="AV67" t="str">
        <f>VLOOKUP(D67, METADATALOOKUP!$A:$AI, 14, FALSE)</f>
        <v>T4aN2bM0</v>
      </c>
      <c r="AW67" t="str">
        <f>VLOOKUP(D67, METADATALOOKUP!$A:$AI, 6, FALSE)</f>
        <v xml:space="preserve">High </v>
      </c>
      <c r="AX67" t="str">
        <f>VLOOKUP(D67, METADATALOOKUP!$A:$AI, 19, FALSE)</f>
        <v>Unknown</v>
      </c>
      <c r="AY67">
        <f>LOOKUP(D67, SURVLOOKUP!$A:$A, SURVLOOKUP!$P:$P)</f>
        <v>1</v>
      </c>
      <c r="AZ67" s="46">
        <v>9</v>
      </c>
      <c r="BA67" t="str">
        <f>TEXT(VLOOKUP(D67, METADATALOOKUP!$A:$AI, 34, FALSE), "@")</f>
        <v>0.9</v>
      </c>
      <c r="BB67" s="47" t="str">
        <f t="shared" ref="BB67:BB130" si="33">IF(AZ67=0, "Non-Responder", "Responder")</f>
        <v>Responder</v>
      </c>
      <c r="BC67">
        <v>1.26</v>
      </c>
      <c r="BE67">
        <v>24</v>
      </c>
      <c r="BF67">
        <v>0.793651</v>
      </c>
      <c r="BG67">
        <v>49.20635</v>
      </c>
      <c r="BH67">
        <v>6.72</v>
      </c>
      <c r="BI67">
        <v>3.7202380000000002</v>
      </c>
      <c r="BJ67" t="s">
        <v>313</v>
      </c>
      <c r="BK67" t="s">
        <v>314</v>
      </c>
      <c r="BL67" t="s">
        <v>315</v>
      </c>
    </row>
    <row r="68" spans="1:64" x14ac:dyDescent="0.2">
      <c r="A68" s="3" t="s">
        <v>316</v>
      </c>
      <c r="B68" t="str">
        <f>VLOOKUP(A68, IDSLOOKUP!C:E, 2, FALSE)</f>
        <v>Screen</v>
      </c>
      <c r="C68" t="str">
        <f>VLOOKUP(D68, METADATALOOKUP!$A:$AI, 13, FALSE)</f>
        <v>Oral Cavity</v>
      </c>
      <c r="D68" t="str">
        <f>VLOOKUP(A68, IDSLOOKUP!C:E, 3, FALSE)</f>
        <v>HN06-05</v>
      </c>
      <c r="E68" s="48">
        <f>VLOOKUP(A68,CFDNALOOKUP!AG:AI,2,FALSE)</f>
        <v>44092</v>
      </c>
      <c r="F68" s="48">
        <f>VLOOKUP(A68,CFDNALOOKUP!AG:AI,3,FALSE)</f>
        <v>44180</v>
      </c>
      <c r="G68" s="1">
        <f>VLOOKUP(D68, SURVLOOKUP!$A:$Q, 2, FALSE)</f>
        <v>43635</v>
      </c>
      <c r="H68" s="1">
        <f>VLOOKUP(D68, SURVLOOKUP!$A:$Q, 3, FALSE)</f>
        <v>43670</v>
      </c>
      <c r="I68" s="1">
        <f>VLOOKUP(D68, SURVLOOKUP!$A:$Q, 4, FALSE)</f>
        <v>43683</v>
      </c>
      <c r="J68" s="1">
        <f>VLOOKUP(D68, SURVLOOKUP!$A:$Q, 5, FALSE)</f>
        <v>43704</v>
      </c>
      <c r="K68" s="1">
        <f>VLOOKUP(D68, SURVLOOKUP!$A:$Q, 6, FALSE)</f>
        <v>43746</v>
      </c>
      <c r="L68" s="1">
        <f>VLOOKUP(D68, SURVLOOKUP!$A:$Q, 7, FALSE)</f>
        <v>43784</v>
      </c>
      <c r="M68" s="1">
        <f>VLOOKUP(D68, SURVLOOKUP!$A:$Q, 8, FALSE)</f>
        <v>43738</v>
      </c>
      <c r="N68" s="1">
        <f>VLOOKUP(D68, SURVLOOKUP!$A:$Q, 9, FALSE)</f>
        <v>43843</v>
      </c>
      <c r="O68" s="1" t="str">
        <f>VLOOKUP(D68, SURVLOOKUP!$A:$Q, 10, FALSE)</f>
        <v>NA</v>
      </c>
      <c r="P68" s="1">
        <f>VLOOKUP(D68, OLDSURVLOOKUP!$A:$AA, 19, FALSE)</f>
        <v>44354</v>
      </c>
      <c r="Q68" s="1">
        <f>VLOOKUP(D68, SURVLOOKUP!$A:$Q, 11, FALSE)</f>
        <v>45486</v>
      </c>
      <c r="R68" s="1"/>
      <c r="S68" s="1"/>
      <c r="T68" s="1"/>
      <c r="U68" s="1"/>
      <c r="V68">
        <f>_xlfn.XLOOKUP(D68, OLDSURVLOOKUP!$A:$A, OLDSURVLOOKUP!V:V)</f>
        <v>0</v>
      </c>
      <c r="W68">
        <f>VLOOKUP(D68, SURVLOOKUP!$A:$Q, 14, FALSE)</f>
        <v>0</v>
      </c>
      <c r="X68">
        <f>_xlfn.XLOOKUP(D68, OLDSURVLOOKUP!$A:$A, OLDSURVLOOKUP!X:X)</f>
        <v>0</v>
      </c>
      <c r="Y68">
        <f>VLOOKUP(D68, SURVLOOKUP!$A:$Q, 15, FALSE)</f>
        <v>0</v>
      </c>
      <c r="Z68">
        <f t="shared" si="24"/>
        <v>22.032258064516128</v>
      </c>
      <c r="AA68">
        <f t="shared" si="25"/>
        <v>59.225806451612904</v>
      </c>
      <c r="AB68">
        <f t="shared" si="26"/>
        <v>22.032258064516128</v>
      </c>
      <c r="AC68">
        <f t="shared" si="27"/>
        <v>59.225806451612904</v>
      </c>
      <c r="AD68">
        <f t="shared" si="28"/>
        <v>21.35483870967742</v>
      </c>
      <c r="AE68">
        <f t="shared" si="20"/>
        <v>58.516129032258064</v>
      </c>
      <c r="AF68">
        <f t="shared" si="21"/>
        <v>21.35483870967742</v>
      </c>
      <c r="AG68">
        <f t="shared" si="22"/>
        <v>58.516129032258064</v>
      </c>
      <c r="AH68">
        <f t="shared" si="29"/>
        <v>20.266666666666666</v>
      </c>
      <c r="AI68">
        <f t="shared" si="30"/>
        <v>57.43333333333333</v>
      </c>
      <c r="AJ68">
        <f t="shared" si="31"/>
        <v>20.266666666666666</v>
      </c>
      <c r="AK68">
        <f t="shared" si="32"/>
        <v>57.43333333333333</v>
      </c>
      <c r="AL68">
        <f t="shared" ref="AL68:AL131" si="34">IF(MID(A68,FIND("_",A68)-1,1)="2", 2, 1)</f>
        <v>2</v>
      </c>
      <c r="AM68" t="str">
        <f t="shared" si="23"/>
        <v>MD Anderson</v>
      </c>
      <c r="AN68">
        <v>0</v>
      </c>
      <c r="AO68">
        <v>26</v>
      </c>
      <c r="AP68">
        <f>VLOOKUP(D68, METADATALOOKUP!$A:$AI, 7, FALSE)</f>
        <v>65</v>
      </c>
      <c r="AQ68" t="str">
        <f>VLOOKUP(D68, METADATALOOKUP!$A:$AI, 8, FALSE)</f>
        <v>Female</v>
      </c>
      <c r="AR68" t="str">
        <f>VLOOKUP(D68, METADATALOOKUP!$A:$AI, 9, FALSE)</f>
        <v>White</v>
      </c>
      <c r="AS68" t="str">
        <f>VLOOKUP(D68, METADATALOOKUP!$A:$AI, 11, FALSE)</f>
        <v>No</v>
      </c>
      <c r="AT68" t="str">
        <f>VLOOKUP(D68, METADATALOOKUP!$A:$AI, 10, FALSE)</f>
        <v>Non-Hispanic</v>
      </c>
      <c r="AU68" t="str">
        <f>VLOOKUP(D68, METADATALOOKUP!$A:$AI, 12, FALSE)</f>
        <v>No</v>
      </c>
      <c r="AV68" t="str">
        <f>VLOOKUP(D68, METADATALOOKUP!$A:$AI, 14, FALSE)</f>
        <v>T4N2bM0</v>
      </c>
      <c r="AW68" t="str">
        <f>VLOOKUP(D68, METADATALOOKUP!$A:$AI, 6, FALSE)</f>
        <v>Intermediate</v>
      </c>
      <c r="AX68" t="str">
        <f>VLOOKUP(D68, METADATALOOKUP!$A:$AI, 19, FALSE)</f>
        <v>Unknown</v>
      </c>
      <c r="AY68">
        <f>LOOKUP(D68, SURVLOOKUP!$A:$A, SURVLOOKUP!$P:$P)</f>
        <v>1</v>
      </c>
      <c r="AZ68" s="46">
        <v>1</v>
      </c>
      <c r="BA68" t="str">
        <f>TEXT(VLOOKUP(D68, METADATALOOKUP!$A:$AI, 34, FALSE), "@")</f>
        <v>0.1</v>
      </c>
      <c r="BB68" s="47" t="str">
        <f t="shared" si="33"/>
        <v>Responder</v>
      </c>
      <c r="BC68">
        <v>0.35599999999999998</v>
      </c>
      <c r="BE68">
        <v>24</v>
      </c>
      <c r="BF68">
        <v>2.808989</v>
      </c>
      <c r="BG68">
        <v>47.191009999999999</v>
      </c>
      <c r="BH68">
        <v>10.3</v>
      </c>
      <c r="BI68">
        <v>2.427184</v>
      </c>
      <c r="BJ68" t="s">
        <v>188</v>
      </c>
      <c r="BK68" t="s">
        <v>189</v>
      </c>
      <c r="BL68" t="s">
        <v>190</v>
      </c>
    </row>
    <row r="69" spans="1:64" x14ac:dyDescent="0.2">
      <c r="A69" s="3" t="s">
        <v>319</v>
      </c>
      <c r="B69" t="str">
        <f>VLOOKUP(A69, IDSLOOKUP!C:E, 2, FALSE)</f>
        <v>Day 0</v>
      </c>
      <c r="C69" t="str">
        <f>VLOOKUP(D69, METADATALOOKUP!$A:$AI, 13, FALSE)</f>
        <v>Oral Cavity</v>
      </c>
      <c r="D69" t="str">
        <f>VLOOKUP(A69, IDSLOOKUP!C:E, 3, FALSE)</f>
        <v>HN06-05</v>
      </c>
      <c r="E69" s="48">
        <f>VLOOKUP(A69,CFDNALOOKUP!AG:AI,2,FALSE)</f>
        <v>44092</v>
      </c>
      <c r="F69" s="48">
        <f>VLOOKUP(A69,CFDNALOOKUP!AG:AI,3,FALSE)</f>
        <v>44179</v>
      </c>
      <c r="G69" s="1">
        <f>VLOOKUP(D69, SURVLOOKUP!$A:$Q, 2, FALSE)</f>
        <v>43635</v>
      </c>
      <c r="H69" s="1">
        <f>VLOOKUP(D69, SURVLOOKUP!$A:$Q, 3, FALSE)</f>
        <v>43670</v>
      </c>
      <c r="I69" s="1">
        <f>VLOOKUP(D69, SURVLOOKUP!$A:$Q, 4, FALSE)</f>
        <v>43683</v>
      </c>
      <c r="J69" s="1">
        <f>VLOOKUP(D69, SURVLOOKUP!$A:$Q, 5, FALSE)</f>
        <v>43704</v>
      </c>
      <c r="K69" s="1">
        <f>VLOOKUP(D69, SURVLOOKUP!$A:$Q, 6, FALSE)</f>
        <v>43746</v>
      </c>
      <c r="L69" s="1">
        <f>VLOOKUP(D69, SURVLOOKUP!$A:$Q, 7, FALSE)</f>
        <v>43784</v>
      </c>
      <c r="M69" s="1">
        <f>VLOOKUP(D69, SURVLOOKUP!$A:$Q, 8, FALSE)</f>
        <v>43738</v>
      </c>
      <c r="N69" s="1">
        <f>VLOOKUP(D69, SURVLOOKUP!$A:$Q, 9, FALSE)</f>
        <v>43843</v>
      </c>
      <c r="O69" s="1" t="str">
        <f>VLOOKUP(D69, SURVLOOKUP!$A:$Q, 10, FALSE)</f>
        <v>NA</v>
      </c>
      <c r="P69" s="1">
        <f>VLOOKUP(D69, OLDSURVLOOKUP!$A:$AA, 19, FALSE)</f>
        <v>44354</v>
      </c>
      <c r="Q69" s="1">
        <f>VLOOKUP(D69, SURVLOOKUP!$A:$Q, 11, FALSE)</f>
        <v>45486</v>
      </c>
      <c r="R69" s="1"/>
      <c r="S69" s="1"/>
      <c r="T69" s="1"/>
      <c r="U69" s="1"/>
      <c r="V69">
        <f>_xlfn.XLOOKUP(D69, OLDSURVLOOKUP!$A:$A, OLDSURVLOOKUP!V:V)</f>
        <v>0</v>
      </c>
      <c r="W69">
        <f>VLOOKUP(D69, SURVLOOKUP!$A:$Q, 14, FALSE)</f>
        <v>0</v>
      </c>
      <c r="X69">
        <f>_xlfn.XLOOKUP(D69, OLDSURVLOOKUP!$A:$A, OLDSURVLOOKUP!X:X)</f>
        <v>0</v>
      </c>
      <c r="Y69">
        <f>VLOOKUP(D69, SURVLOOKUP!$A:$Q, 15, FALSE)</f>
        <v>0</v>
      </c>
      <c r="Z69">
        <f t="shared" si="24"/>
        <v>22.032258064516128</v>
      </c>
      <c r="AA69">
        <f t="shared" si="25"/>
        <v>59.225806451612904</v>
      </c>
      <c r="AB69">
        <f t="shared" si="26"/>
        <v>22.032258064516128</v>
      </c>
      <c r="AC69">
        <f t="shared" si="27"/>
        <v>59.225806451612904</v>
      </c>
      <c r="AD69">
        <f t="shared" si="28"/>
        <v>21.35483870967742</v>
      </c>
      <c r="AE69">
        <f t="shared" si="20"/>
        <v>58.516129032258064</v>
      </c>
      <c r="AF69">
        <f t="shared" si="21"/>
        <v>21.35483870967742</v>
      </c>
      <c r="AG69">
        <f t="shared" si="22"/>
        <v>58.516129032258064</v>
      </c>
      <c r="AH69">
        <f t="shared" si="29"/>
        <v>20.266666666666666</v>
      </c>
      <c r="AI69">
        <f t="shared" si="30"/>
        <v>57.43333333333333</v>
      </c>
      <c r="AJ69">
        <f t="shared" si="31"/>
        <v>20.266666666666666</v>
      </c>
      <c r="AK69">
        <f t="shared" si="32"/>
        <v>57.43333333333333</v>
      </c>
      <c r="AL69">
        <f t="shared" si="34"/>
        <v>2</v>
      </c>
      <c r="AM69" t="str">
        <f t="shared" si="23"/>
        <v>MD Anderson</v>
      </c>
      <c r="AN69">
        <v>0</v>
      </c>
      <c r="AO69">
        <v>26</v>
      </c>
      <c r="AP69">
        <f>VLOOKUP(D69, METADATALOOKUP!$A:$AI, 7, FALSE)</f>
        <v>65</v>
      </c>
      <c r="AQ69" t="str">
        <f>VLOOKUP(D69, METADATALOOKUP!$A:$AI, 8, FALSE)</f>
        <v>Female</v>
      </c>
      <c r="AR69" t="str">
        <f>VLOOKUP(D69, METADATALOOKUP!$A:$AI, 9, FALSE)</f>
        <v>White</v>
      </c>
      <c r="AS69" t="str">
        <f>VLOOKUP(D69, METADATALOOKUP!$A:$AI, 11, FALSE)</f>
        <v>No</v>
      </c>
      <c r="AT69" t="str">
        <f>VLOOKUP(D69, METADATALOOKUP!$A:$AI, 10, FALSE)</f>
        <v>Non-Hispanic</v>
      </c>
      <c r="AU69" t="str">
        <f>VLOOKUP(D69, METADATALOOKUP!$A:$AI, 12, FALSE)</f>
        <v>No</v>
      </c>
      <c r="AV69" t="str">
        <f>VLOOKUP(D69, METADATALOOKUP!$A:$AI, 14, FALSE)</f>
        <v>T4N2bM0</v>
      </c>
      <c r="AW69" t="str">
        <f>VLOOKUP(D69, METADATALOOKUP!$A:$AI, 6, FALSE)</f>
        <v>Intermediate</v>
      </c>
      <c r="AX69" t="str">
        <f>VLOOKUP(D69, METADATALOOKUP!$A:$AI, 19, FALSE)</f>
        <v>Unknown</v>
      </c>
      <c r="AY69">
        <f>LOOKUP(D69, SURVLOOKUP!$A:$A, SURVLOOKUP!$P:$P)</f>
        <v>1</v>
      </c>
      <c r="AZ69" s="46">
        <v>1</v>
      </c>
      <c r="BA69" t="str">
        <f>TEXT(VLOOKUP(D69, METADATALOOKUP!$A:$AI, 34, FALSE), "@")</f>
        <v>0.1</v>
      </c>
      <c r="BB69" s="47" t="str">
        <f t="shared" si="33"/>
        <v>Responder</v>
      </c>
      <c r="BC69">
        <v>1.04</v>
      </c>
      <c r="BE69">
        <v>24</v>
      </c>
      <c r="BF69">
        <v>0.961538</v>
      </c>
      <c r="BG69">
        <v>49.038460000000001</v>
      </c>
      <c r="BH69">
        <v>11.5</v>
      </c>
      <c r="BI69">
        <v>2.1739130000000002</v>
      </c>
      <c r="BJ69" t="s">
        <v>320</v>
      </c>
      <c r="BK69" t="s">
        <v>321</v>
      </c>
      <c r="BL69" t="s">
        <v>322</v>
      </c>
    </row>
    <row r="70" spans="1:64" x14ac:dyDescent="0.2">
      <c r="A70" s="3" t="s">
        <v>323</v>
      </c>
      <c r="B70" t="str">
        <f>VLOOKUP(A70, IDSLOOKUP!C:E, 2, FALSE)</f>
        <v>Screen</v>
      </c>
      <c r="C70" t="str">
        <f>VLOOKUP(D70, METADATALOOKUP!$A:$AI, 13, FALSE)</f>
        <v>Oral Cavity</v>
      </c>
      <c r="D70" t="str">
        <f>VLOOKUP(A70, IDSLOOKUP!C:E, 3, FALSE)</f>
        <v>HN06-08</v>
      </c>
      <c r="E70" s="48">
        <f>VLOOKUP(A70,CFDNALOOKUP!AG:AI,2,FALSE)</f>
        <v>44092</v>
      </c>
      <c r="F70" s="48">
        <f>VLOOKUP(A70,CFDNALOOKUP!AG:AI,3,FALSE)</f>
        <v>44180</v>
      </c>
      <c r="G70" s="1">
        <f>VLOOKUP(D70, SURVLOOKUP!$A:$Q, 2, FALSE)</f>
        <v>43698</v>
      </c>
      <c r="H70" s="1">
        <f>VLOOKUP(D70, SURVLOOKUP!$A:$Q, 3, FALSE)</f>
        <v>43731</v>
      </c>
      <c r="I70" s="1">
        <f>VLOOKUP(D70, SURVLOOKUP!$A:$Q, 4, FALSE)</f>
        <v>43740</v>
      </c>
      <c r="J70" s="1">
        <f>VLOOKUP(D70, SURVLOOKUP!$A:$Q, 5, FALSE)</f>
        <v>43747</v>
      </c>
      <c r="K70" s="1">
        <f>VLOOKUP(D70, SURVLOOKUP!$A:$Q, 6, FALSE)</f>
        <v>43780</v>
      </c>
      <c r="L70" s="1">
        <f>VLOOKUP(D70, SURVLOOKUP!$A:$Q, 7, FALSE)</f>
        <v>43816</v>
      </c>
      <c r="M70" s="1">
        <f>VLOOKUP(D70, SURVLOOKUP!$A:$Q, 8, FALSE)</f>
        <v>43774</v>
      </c>
      <c r="N70" s="1">
        <f>VLOOKUP(D70, SURVLOOKUP!$A:$Q, 9, FALSE)</f>
        <v>43879</v>
      </c>
      <c r="O70" s="1" t="str">
        <f>VLOOKUP(D70, SURVLOOKUP!$A:$Q, 10, FALSE)</f>
        <v>NA</v>
      </c>
      <c r="P70" s="1">
        <f>VLOOKUP(D70, OLDSURVLOOKUP!$A:$AA, 19, FALSE)</f>
        <v>44306</v>
      </c>
      <c r="Q70" s="1">
        <f>VLOOKUP(D70, SURVLOOKUP!$A:$Q, 11, FALSE)</f>
        <v>45522</v>
      </c>
      <c r="R70" s="1"/>
      <c r="S70" s="1"/>
      <c r="T70" s="1"/>
      <c r="U70" s="1"/>
      <c r="V70">
        <f>_xlfn.XLOOKUP(D70, OLDSURVLOOKUP!$A:$A, OLDSURVLOOKUP!V:V)</f>
        <v>0</v>
      </c>
      <c r="W70">
        <f>VLOOKUP(D70, SURVLOOKUP!$A:$Q, 14, FALSE)</f>
        <v>0</v>
      </c>
      <c r="X70">
        <f>_xlfn.XLOOKUP(D70, OLDSURVLOOKUP!$A:$A, OLDSURVLOOKUP!X:X)</f>
        <v>0</v>
      </c>
      <c r="Y70">
        <f>VLOOKUP(D70, SURVLOOKUP!$A:$Q, 15, FALSE)</f>
        <v>0</v>
      </c>
      <c r="Z70">
        <f t="shared" si="24"/>
        <v>18.580645161290324</v>
      </c>
      <c r="AA70">
        <f t="shared" si="25"/>
        <v>58.516129032258064</v>
      </c>
      <c r="AB70">
        <f t="shared" si="26"/>
        <v>18.580645161290324</v>
      </c>
      <c r="AC70">
        <f t="shared" si="27"/>
        <v>58.516129032258064</v>
      </c>
      <c r="AD70">
        <f t="shared" si="28"/>
        <v>18.35483870967742</v>
      </c>
      <c r="AE70">
        <f t="shared" si="20"/>
        <v>58.29032258064516</v>
      </c>
      <c r="AF70">
        <f t="shared" si="21"/>
        <v>18.35483870967742</v>
      </c>
      <c r="AG70">
        <f t="shared" si="22"/>
        <v>58.29032258064516</v>
      </c>
      <c r="AH70">
        <f t="shared" si="29"/>
        <v>17.5</v>
      </c>
      <c r="AI70">
        <f t="shared" si="30"/>
        <v>57.43333333333333</v>
      </c>
      <c r="AJ70">
        <f t="shared" si="31"/>
        <v>17.5</v>
      </c>
      <c r="AK70">
        <f t="shared" si="32"/>
        <v>57.43333333333333</v>
      </c>
      <c r="AL70">
        <f t="shared" si="34"/>
        <v>2</v>
      </c>
      <c r="AM70" t="str">
        <f t="shared" si="23"/>
        <v>MD Anderson</v>
      </c>
      <c r="AN70">
        <v>0</v>
      </c>
      <c r="AO70">
        <v>27</v>
      </c>
      <c r="AP70">
        <f>VLOOKUP(D70, METADATALOOKUP!$A:$AI, 7, FALSE)</f>
        <v>57</v>
      </c>
      <c r="AQ70" t="str">
        <f>VLOOKUP(D70, METADATALOOKUP!$A:$AI, 8, FALSE)</f>
        <v>Male</v>
      </c>
      <c r="AR70" t="str">
        <f>VLOOKUP(D70, METADATALOOKUP!$A:$AI, 9, FALSE)</f>
        <v>White</v>
      </c>
      <c r="AS70" t="str">
        <f>VLOOKUP(D70, METADATALOOKUP!$A:$AI, 11, FALSE)</f>
        <v>Yes</v>
      </c>
      <c r="AT70" t="str">
        <f>VLOOKUP(D70, METADATALOOKUP!$A:$AI, 10, FALSE)</f>
        <v>Non-Hispanic</v>
      </c>
      <c r="AU70" t="str">
        <f>VLOOKUP(D70, METADATALOOKUP!$A:$AI, 12, FALSE)</f>
        <v>No</v>
      </c>
      <c r="AV70" t="str">
        <f>VLOOKUP(D70, METADATALOOKUP!$A:$AI, 14, FALSE)</f>
        <v>T3N2b</v>
      </c>
      <c r="AW70" t="str">
        <f>VLOOKUP(D70, METADATALOOKUP!$A:$AI, 6, FALSE)</f>
        <v xml:space="preserve">High </v>
      </c>
      <c r="AX70" t="str">
        <f>VLOOKUP(D70, METADATALOOKUP!$A:$AI, 19, FALSE)</f>
        <v>No</v>
      </c>
      <c r="AY70">
        <f>LOOKUP(D70, SURVLOOKUP!$A:$A, SURVLOOKUP!$P:$P)</f>
        <v>0</v>
      </c>
      <c r="AZ70" s="46">
        <v>1</v>
      </c>
      <c r="BA70" t="str">
        <f>TEXT(VLOOKUP(D70, METADATALOOKUP!$A:$AI, 34, FALSE), "@")</f>
        <v>0.1</v>
      </c>
      <c r="BB70" s="47" t="str">
        <f t="shared" si="33"/>
        <v>Responder</v>
      </c>
      <c r="BC70">
        <v>1.41</v>
      </c>
      <c r="BE70">
        <v>24</v>
      </c>
      <c r="BF70">
        <v>0.70921999999999996</v>
      </c>
      <c r="BG70">
        <v>49.290779999999998</v>
      </c>
      <c r="BH70">
        <v>4.46</v>
      </c>
      <c r="BI70">
        <v>5.6053810000000004</v>
      </c>
      <c r="BJ70" t="s">
        <v>225</v>
      </c>
      <c r="BK70" t="s">
        <v>226</v>
      </c>
      <c r="BL70" t="s">
        <v>227</v>
      </c>
    </row>
    <row r="71" spans="1:64" x14ac:dyDescent="0.2">
      <c r="A71" s="3" t="s">
        <v>326</v>
      </c>
      <c r="B71" t="str">
        <f>VLOOKUP(A71, IDSLOOKUP!C:E, 2, FALSE)</f>
        <v>Day 0</v>
      </c>
      <c r="C71" t="str">
        <f>VLOOKUP(D71, METADATALOOKUP!$A:$AI, 13, FALSE)</f>
        <v>Oral Cavity</v>
      </c>
      <c r="D71" t="str">
        <f>VLOOKUP(A71, IDSLOOKUP!C:E, 3, FALSE)</f>
        <v>HN06-08</v>
      </c>
      <c r="E71" s="48">
        <f>VLOOKUP(A71,CFDNALOOKUP!AG:AI,2,FALSE)</f>
        <v>44092</v>
      </c>
      <c r="F71" s="48">
        <f>VLOOKUP(A71,CFDNALOOKUP!AG:AI,3,FALSE)</f>
        <v>44180</v>
      </c>
      <c r="G71" s="1">
        <f>VLOOKUP(D71, SURVLOOKUP!$A:$Q, 2, FALSE)</f>
        <v>43698</v>
      </c>
      <c r="H71" s="1">
        <f>VLOOKUP(D71, SURVLOOKUP!$A:$Q, 3, FALSE)</f>
        <v>43731</v>
      </c>
      <c r="I71" s="1">
        <f>VLOOKUP(D71, SURVLOOKUP!$A:$Q, 4, FALSE)</f>
        <v>43740</v>
      </c>
      <c r="J71" s="1">
        <f>VLOOKUP(D71, SURVLOOKUP!$A:$Q, 5, FALSE)</f>
        <v>43747</v>
      </c>
      <c r="K71" s="1">
        <f>VLOOKUP(D71, SURVLOOKUP!$A:$Q, 6, FALSE)</f>
        <v>43780</v>
      </c>
      <c r="L71" s="1">
        <f>VLOOKUP(D71, SURVLOOKUP!$A:$Q, 7, FALSE)</f>
        <v>43816</v>
      </c>
      <c r="M71" s="1">
        <f>VLOOKUP(D71, SURVLOOKUP!$A:$Q, 8, FALSE)</f>
        <v>43774</v>
      </c>
      <c r="N71" s="1">
        <f>VLOOKUP(D71, SURVLOOKUP!$A:$Q, 9, FALSE)</f>
        <v>43879</v>
      </c>
      <c r="O71" s="1" t="str">
        <f>VLOOKUP(D71, SURVLOOKUP!$A:$Q, 10, FALSE)</f>
        <v>NA</v>
      </c>
      <c r="P71" s="1">
        <f>VLOOKUP(D71, OLDSURVLOOKUP!$A:$AA, 19, FALSE)</f>
        <v>44306</v>
      </c>
      <c r="Q71" s="1">
        <f>VLOOKUP(D71, SURVLOOKUP!$A:$Q, 11, FALSE)</f>
        <v>45522</v>
      </c>
      <c r="R71" s="1"/>
      <c r="S71" s="1"/>
      <c r="T71" s="1"/>
      <c r="U71" s="1"/>
      <c r="V71">
        <f>_xlfn.XLOOKUP(D71, OLDSURVLOOKUP!$A:$A, OLDSURVLOOKUP!V:V)</f>
        <v>0</v>
      </c>
      <c r="W71">
        <f>VLOOKUP(D71, SURVLOOKUP!$A:$Q, 14, FALSE)</f>
        <v>0</v>
      </c>
      <c r="X71">
        <f>_xlfn.XLOOKUP(D71, OLDSURVLOOKUP!$A:$A, OLDSURVLOOKUP!X:X)</f>
        <v>0</v>
      </c>
      <c r="Y71">
        <f>VLOOKUP(D71, SURVLOOKUP!$A:$Q, 15, FALSE)</f>
        <v>0</v>
      </c>
      <c r="Z71">
        <f t="shared" si="24"/>
        <v>18.580645161290324</v>
      </c>
      <c r="AA71">
        <f t="shared" si="25"/>
        <v>58.516129032258064</v>
      </c>
      <c r="AB71">
        <f t="shared" si="26"/>
        <v>18.580645161290324</v>
      </c>
      <c r="AC71">
        <f t="shared" si="27"/>
        <v>58.516129032258064</v>
      </c>
      <c r="AD71">
        <f t="shared" si="28"/>
        <v>18.35483870967742</v>
      </c>
      <c r="AE71">
        <f t="shared" si="20"/>
        <v>58.29032258064516</v>
      </c>
      <c r="AF71">
        <f t="shared" si="21"/>
        <v>18.35483870967742</v>
      </c>
      <c r="AG71">
        <f t="shared" si="22"/>
        <v>58.29032258064516</v>
      </c>
      <c r="AH71">
        <f t="shared" si="29"/>
        <v>17.5</v>
      </c>
      <c r="AI71">
        <f t="shared" si="30"/>
        <v>57.43333333333333</v>
      </c>
      <c r="AJ71">
        <f t="shared" si="31"/>
        <v>17.5</v>
      </c>
      <c r="AK71">
        <f t="shared" si="32"/>
        <v>57.43333333333333</v>
      </c>
      <c r="AL71">
        <f t="shared" si="34"/>
        <v>2</v>
      </c>
      <c r="AM71" t="str">
        <f t="shared" si="23"/>
        <v>MD Anderson</v>
      </c>
      <c r="AN71">
        <v>0</v>
      </c>
      <c r="AO71">
        <v>27</v>
      </c>
      <c r="AP71">
        <f>VLOOKUP(D71, METADATALOOKUP!$A:$AI, 7, FALSE)</f>
        <v>57</v>
      </c>
      <c r="AQ71" t="str">
        <f>VLOOKUP(D71, METADATALOOKUP!$A:$AI, 8, FALSE)</f>
        <v>Male</v>
      </c>
      <c r="AR71" t="str">
        <f>VLOOKUP(D71, METADATALOOKUP!$A:$AI, 9, FALSE)</f>
        <v>White</v>
      </c>
      <c r="AS71" t="str">
        <f>VLOOKUP(D71, METADATALOOKUP!$A:$AI, 11, FALSE)</f>
        <v>Yes</v>
      </c>
      <c r="AT71" t="str">
        <f>VLOOKUP(D71, METADATALOOKUP!$A:$AI, 10, FALSE)</f>
        <v>Non-Hispanic</v>
      </c>
      <c r="AU71" t="str">
        <f>VLOOKUP(D71, METADATALOOKUP!$A:$AI, 12, FALSE)</f>
        <v>No</v>
      </c>
      <c r="AV71" t="str">
        <f>VLOOKUP(D71, METADATALOOKUP!$A:$AI, 14, FALSE)</f>
        <v>T3N2b</v>
      </c>
      <c r="AW71" t="str">
        <f>VLOOKUP(D71, METADATALOOKUP!$A:$AI, 6, FALSE)</f>
        <v xml:space="preserve">High </v>
      </c>
      <c r="AX71" t="str">
        <f>VLOOKUP(D71, METADATALOOKUP!$A:$AI, 19, FALSE)</f>
        <v>No</v>
      </c>
      <c r="AY71">
        <f>LOOKUP(D71, SURVLOOKUP!$A:$A, SURVLOOKUP!$P:$P)</f>
        <v>0</v>
      </c>
      <c r="AZ71" s="46">
        <v>1</v>
      </c>
      <c r="BA71" t="str">
        <f>TEXT(VLOOKUP(D71, METADATALOOKUP!$A:$AI, 34, FALSE), "@")</f>
        <v>0.1</v>
      </c>
      <c r="BB71" s="47" t="str">
        <f t="shared" si="33"/>
        <v>Responder</v>
      </c>
      <c r="BC71">
        <v>1.61</v>
      </c>
      <c r="BE71">
        <v>24</v>
      </c>
      <c r="BF71">
        <v>0.62111799999999995</v>
      </c>
      <c r="BG71">
        <v>49.378880000000002</v>
      </c>
      <c r="BH71">
        <v>3.9</v>
      </c>
      <c r="BI71">
        <v>6.4102560000000004</v>
      </c>
      <c r="BJ71" t="s">
        <v>290</v>
      </c>
      <c r="BK71" t="s">
        <v>291</v>
      </c>
      <c r="BL71" t="s">
        <v>292</v>
      </c>
    </row>
    <row r="72" spans="1:64" x14ac:dyDescent="0.2">
      <c r="A72" s="3" t="s">
        <v>327</v>
      </c>
      <c r="B72" t="str">
        <f>VLOOKUP(A72, IDSLOOKUP!C:E, 2, FALSE)</f>
        <v>Adj Wk 1</v>
      </c>
      <c r="C72" t="str">
        <f>VLOOKUP(D72, METADATALOOKUP!$A:$AI, 13, FALSE)</f>
        <v>Oral Cavity</v>
      </c>
      <c r="D72" t="str">
        <f>VLOOKUP(A72, IDSLOOKUP!C:E, 3, FALSE)</f>
        <v>HN06-08</v>
      </c>
      <c r="E72" s="48">
        <f>VLOOKUP(A72,CFDNALOOKUP!AG:AI,2,FALSE)</f>
        <v>44092</v>
      </c>
      <c r="F72" s="48">
        <f>VLOOKUP(A72,CFDNALOOKUP!AG:AI,3,FALSE)</f>
        <v>44180</v>
      </c>
      <c r="G72" s="1">
        <f>VLOOKUP(D72, SURVLOOKUP!$A:$Q, 2, FALSE)</f>
        <v>43698</v>
      </c>
      <c r="H72" s="1">
        <f>VLOOKUP(D72, SURVLOOKUP!$A:$Q, 3, FALSE)</f>
        <v>43731</v>
      </c>
      <c r="I72" s="1">
        <f>VLOOKUP(D72, SURVLOOKUP!$A:$Q, 4, FALSE)</f>
        <v>43740</v>
      </c>
      <c r="J72" s="1">
        <f>VLOOKUP(D72, SURVLOOKUP!$A:$Q, 5, FALSE)</f>
        <v>43747</v>
      </c>
      <c r="K72" s="1">
        <f>VLOOKUP(D72, SURVLOOKUP!$A:$Q, 6, FALSE)</f>
        <v>43780</v>
      </c>
      <c r="L72" s="1">
        <f>VLOOKUP(D72, SURVLOOKUP!$A:$Q, 7, FALSE)</f>
        <v>43816</v>
      </c>
      <c r="M72" s="1">
        <f>VLOOKUP(D72, SURVLOOKUP!$A:$Q, 8, FALSE)</f>
        <v>43774</v>
      </c>
      <c r="N72" s="1">
        <f>VLOOKUP(D72, SURVLOOKUP!$A:$Q, 9, FALSE)</f>
        <v>43879</v>
      </c>
      <c r="O72" s="1" t="str">
        <f>VLOOKUP(D72, SURVLOOKUP!$A:$Q, 10, FALSE)</f>
        <v>NA</v>
      </c>
      <c r="P72" s="1">
        <f>VLOOKUP(D72, OLDSURVLOOKUP!$A:$AA, 19, FALSE)</f>
        <v>44306</v>
      </c>
      <c r="Q72" s="1">
        <f>VLOOKUP(D72, SURVLOOKUP!$A:$Q, 11, FALSE)</f>
        <v>45522</v>
      </c>
      <c r="R72" s="1"/>
      <c r="S72" s="1"/>
      <c r="T72" s="1"/>
      <c r="U72" s="1"/>
      <c r="V72">
        <f>_xlfn.XLOOKUP(D72, OLDSURVLOOKUP!$A:$A, OLDSURVLOOKUP!V:V)</f>
        <v>0</v>
      </c>
      <c r="W72">
        <f>VLOOKUP(D72, SURVLOOKUP!$A:$Q, 14, FALSE)</f>
        <v>0</v>
      </c>
      <c r="X72">
        <f>_xlfn.XLOOKUP(D72, OLDSURVLOOKUP!$A:$A, OLDSURVLOOKUP!X:X)</f>
        <v>0</v>
      </c>
      <c r="Y72">
        <f>VLOOKUP(D72, SURVLOOKUP!$A:$Q, 15, FALSE)</f>
        <v>0</v>
      </c>
      <c r="Z72">
        <f t="shared" si="24"/>
        <v>18.580645161290324</v>
      </c>
      <c r="AA72">
        <f t="shared" si="25"/>
        <v>58.516129032258064</v>
      </c>
      <c r="AB72">
        <f t="shared" si="26"/>
        <v>18.580645161290324</v>
      </c>
      <c r="AC72">
        <f t="shared" si="27"/>
        <v>58.516129032258064</v>
      </c>
      <c r="AD72">
        <f t="shared" si="28"/>
        <v>18.35483870967742</v>
      </c>
      <c r="AE72">
        <f t="shared" si="20"/>
        <v>58.29032258064516</v>
      </c>
      <c r="AF72">
        <f t="shared" si="21"/>
        <v>18.35483870967742</v>
      </c>
      <c r="AG72">
        <f t="shared" si="22"/>
        <v>58.29032258064516</v>
      </c>
      <c r="AH72">
        <f t="shared" si="29"/>
        <v>17.5</v>
      </c>
      <c r="AI72">
        <f t="shared" si="30"/>
        <v>57.43333333333333</v>
      </c>
      <c r="AJ72">
        <f t="shared" si="31"/>
        <v>17.5</v>
      </c>
      <c r="AK72">
        <f t="shared" si="32"/>
        <v>57.43333333333333</v>
      </c>
      <c r="AL72">
        <f t="shared" si="34"/>
        <v>2</v>
      </c>
      <c r="AM72" t="str">
        <f t="shared" si="23"/>
        <v>MD Anderson</v>
      </c>
      <c r="AN72">
        <v>0</v>
      </c>
      <c r="AO72">
        <v>27</v>
      </c>
      <c r="AP72">
        <f>VLOOKUP(D72, METADATALOOKUP!$A:$AI, 7, FALSE)</f>
        <v>57</v>
      </c>
      <c r="AQ72" t="str">
        <f>VLOOKUP(D72, METADATALOOKUP!$A:$AI, 8, FALSE)</f>
        <v>Male</v>
      </c>
      <c r="AR72" t="str">
        <f>VLOOKUP(D72, METADATALOOKUP!$A:$AI, 9, FALSE)</f>
        <v>White</v>
      </c>
      <c r="AS72" t="str">
        <f>VLOOKUP(D72, METADATALOOKUP!$A:$AI, 11, FALSE)</f>
        <v>Yes</v>
      </c>
      <c r="AT72" t="str">
        <f>VLOOKUP(D72, METADATALOOKUP!$A:$AI, 10, FALSE)</f>
        <v>Non-Hispanic</v>
      </c>
      <c r="AU72" t="str">
        <f>VLOOKUP(D72, METADATALOOKUP!$A:$AI, 12, FALSE)</f>
        <v>No</v>
      </c>
      <c r="AV72" t="str">
        <f>VLOOKUP(D72, METADATALOOKUP!$A:$AI, 14, FALSE)</f>
        <v>T3N2b</v>
      </c>
      <c r="AW72" t="str">
        <f>VLOOKUP(D72, METADATALOOKUP!$A:$AI, 6, FALSE)</f>
        <v xml:space="preserve">High </v>
      </c>
      <c r="AX72" t="str">
        <f>VLOOKUP(D72, METADATALOOKUP!$A:$AI, 19, FALSE)</f>
        <v>No</v>
      </c>
      <c r="AY72">
        <f>LOOKUP(D72, SURVLOOKUP!$A:$A, SURVLOOKUP!$P:$P)</f>
        <v>0</v>
      </c>
      <c r="AZ72" s="46">
        <v>1</v>
      </c>
      <c r="BA72" t="str">
        <f>TEXT(VLOOKUP(D72, METADATALOOKUP!$A:$AI, 34, FALSE), "@")</f>
        <v>0.1</v>
      </c>
      <c r="BB72" s="47" t="str">
        <f t="shared" si="33"/>
        <v>Responder</v>
      </c>
      <c r="BC72">
        <v>1.21</v>
      </c>
      <c r="BE72">
        <v>24</v>
      </c>
      <c r="BF72">
        <v>0.82644600000000001</v>
      </c>
      <c r="BG72">
        <v>49.173549999999999</v>
      </c>
      <c r="BH72">
        <v>0.33200000000000002</v>
      </c>
      <c r="BI72">
        <v>5</v>
      </c>
      <c r="BJ72" t="s">
        <v>178</v>
      </c>
      <c r="BK72" t="s">
        <v>179</v>
      </c>
      <c r="BL72" t="s">
        <v>180</v>
      </c>
    </row>
    <row r="73" spans="1:64" x14ac:dyDescent="0.2">
      <c r="A73" s="3" t="s">
        <v>328</v>
      </c>
      <c r="B73" t="str">
        <f>VLOOKUP(A73, IDSLOOKUP!C:E, 2, FALSE)</f>
        <v>Screen</v>
      </c>
      <c r="C73" t="str">
        <f>(_xlfn.XLOOKUP(D73,RAWMETADATALOOKUP_P1!A:A,RAWMETADATALOOKUP_P1!M:M))</f>
        <v>Oral Cavity</v>
      </c>
      <c r="D73" t="str">
        <f>VLOOKUP(A73, IDSLOOKUP!C:E, 3, FALSE)</f>
        <v>HN06-09</v>
      </c>
      <c r="E73" s="48">
        <f>VLOOKUP(A73,CFDNALOOKUP!AG:AI,2,FALSE)</f>
        <v>44092</v>
      </c>
      <c r="F73" s="48">
        <f>VLOOKUP(A73,CFDNALOOKUP!AG:AI,3,FALSE)</f>
        <v>44179</v>
      </c>
      <c r="G73" s="1">
        <f>VLOOKUP(D73, SURVLOOKUP!$A:$Q, 2, FALSE)</f>
        <v>43731</v>
      </c>
      <c r="H73" s="1">
        <f>VLOOKUP(D73, SURVLOOKUP!$A:$Q, 3, FALSE)</f>
        <v>43739</v>
      </c>
      <c r="I73" s="1">
        <f>VLOOKUP(D73, SURVLOOKUP!$A:$Q, 4, FALSE)</f>
        <v>43753</v>
      </c>
      <c r="J73" s="1">
        <f>VLOOKUP(D73, SURVLOOKUP!$A:$Q, 5, FALSE)</f>
        <v>43761</v>
      </c>
      <c r="K73" s="1" t="str">
        <f>VLOOKUP(D73, SURVLOOKUP!$A:$Q, 6, FALSE)</f>
        <v>NA</v>
      </c>
      <c r="L73" s="1" t="str">
        <f>VLOOKUP(D73, SURVLOOKUP!$A:$Q, 7, FALSE)</f>
        <v>NA</v>
      </c>
      <c r="M73" s="1" t="str">
        <f>VLOOKUP(D73, SURVLOOKUP!$A:$Q, 8, FALSE)</f>
        <v>NA</v>
      </c>
      <c r="N73" s="1" t="str">
        <f>VLOOKUP(D73, SURVLOOKUP!$A:$Q, 9, FALSE)</f>
        <v>NA</v>
      </c>
      <c r="O73" s="1" t="str">
        <f>VLOOKUP(D73, SURVLOOKUP!$A:$Q, 10, FALSE)</f>
        <v>NA</v>
      </c>
      <c r="P73" s="1">
        <f>VLOOKUP(D73, OLDSURVLOOKUP!$A:$AA, 19, FALSE)</f>
        <v>43761</v>
      </c>
      <c r="Q73" s="1">
        <f>VLOOKUP(D73, SURVLOOKUP!$A:$Q, 11, FALSE)</f>
        <v>43761</v>
      </c>
      <c r="R73" s="1"/>
      <c r="S73" s="1"/>
      <c r="T73" s="1"/>
      <c r="U73" s="1"/>
      <c r="V73">
        <f>_xlfn.XLOOKUP(D73, OLDSURVLOOKUP!$A:$A, OLDSURVLOOKUP!V:V)</f>
        <v>0</v>
      </c>
      <c r="W73">
        <f>VLOOKUP(D73, SURVLOOKUP!$A:$Q, 14, FALSE)</f>
        <v>0</v>
      </c>
      <c r="X73">
        <f>_xlfn.XLOOKUP(D73, OLDSURVLOOKUP!$A:$A, OLDSURVLOOKUP!X:X)</f>
        <v>0</v>
      </c>
      <c r="Y73">
        <f>VLOOKUP(D73, SURVLOOKUP!$A:$Q, 15, FALSE)</f>
        <v>0</v>
      </c>
      <c r="Z73">
        <f t="shared" si="24"/>
        <v>0.25806451612903225</v>
      </c>
      <c r="AA73">
        <f t="shared" si="25"/>
        <v>0.25806451612903225</v>
      </c>
      <c r="AB73">
        <f t="shared" si="26"/>
        <v>0.25806451612903225</v>
      </c>
      <c r="AC73">
        <f t="shared" si="27"/>
        <v>0.25806451612903225</v>
      </c>
      <c r="AL73">
        <f t="shared" si="34"/>
        <v>2</v>
      </c>
      <c r="AM73" t="str">
        <f t="shared" si="23"/>
        <v>MD Anderson</v>
      </c>
      <c r="AN73">
        <v>0</v>
      </c>
      <c r="AO73">
        <v>28</v>
      </c>
      <c r="AP73">
        <f>(_xlfn.XLOOKUP($D73,RAWMETADATALOOKUP_P1!$A:$A,RAWMETADATALOOKUP_P1!F:F))</f>
        <v>74</v>
      </c>
      <c r="AQ73" t="str">
        <f>(_xlfn.XLOOKUP($D73,RAWMETADATALOOKUP_P1!$A:$A,RAWMETADATALOOKUP_P1!G:G))</f>
        <v>Male</v>
      </c>
      <c r="AR73" t="str">
        <f>(_xlfn.XLOOKUP($D73,RAWMETADATALOOKUP_P1!$A:$A,RAWMETADATALOOKUP_P1!H:H))</f>
        <v>White</v>
      </c>
      <c r="AS73" t="str">
        <f>(_xlfn.XLOOKUP($D73,RAWMETADATALOOKUP_P1!$A:$A,RAWMETADATALOOKUP_P1!I:I))</f>
        <v>No</v>
      </c>
      <c r="AT73" t="str">
        <f>(_xlfn.XLOOKUP($D73,RAWMETADATALOOKUP_P1!$A:$A,RAWMETADATALOOKUP_P1!J:J))</f>
        <v>Non-Hispanic</v>
      </c>
      <c r="AU73" t="str">
        <f>(_xlfn.XLOOKUP($D73,RAWMETADATALOOKUP_P1!$A:$A,RAWMETADATALOOKUP_P1!K:K))</f>
        <v>Yes</v>
      </c>
      <c r="AV73" t="str">
        <f>(_xlfn.XLOOKUP($D73,RAWMETADATALOOKUP_P1!$A:$A,RAWMETADATALOOKUP_P1!Q:Q))</f>
        <v>T3N0M0</v>
      </c>
      <c r="AW73" t="str">
        <f>LEFT(_xlfn.XLOOKUP(D73, RAWMETADATALOOKUP_P2!A:A,RAWMETADATALOOKUP_P2!G:G), FIND(" ", _xlfn.XLOOKUP(D73, RAWMETADATALOOKUP_P2!A:A,RAWMETADATALOOKUP_P2!G:G)&amp;" ")-1)</f>
        <v>Intermediate</v>
      </c>
      <c r="AX73" t="str">
        <f>(_xlfn.XLOOKUP($D73,RAWMETADATALOOKUP_P1!$A:$A,RAWMETADATALOOKUP_P1!R:R))</f>
        <v>Unknown</v>
      </c>
      <c r="AY73">
        <f>LOOKUP(D73, SURVLOOKUP!$A:$A, SURVLOOKUP!$P:$P)</f>
        <v>1</v>
      </c>
      <c r="AZ73" s="46">
        <v>2</v>
      </c>
      <c r="BA73">
        <v>0.2</v>
      </c>
      <c r="BB73" s="47" t="str">
        <f t="shared" si="33"/>
        <v>Responder</v>
      </c>
      <c r="BC73">
        <v>0.15</v>
      </c>
      <c r="BE73">
        <v>24</v>
      </c>
      <c r="BF73">
        <v>6.6666670000000003</v>
      </c>
      <c r="BG73">
        <v>43.333329999999997</v>
      </c>
      <c r="BH73">
        <v>16.7</v>
      </c>
      <c r="BI73">
        <v>1.4970060000000001</v>
      </c>
      <c r="BJ73" t="s">
        <v>330</v>
      </c>
      <c r="BK73" t="s">
        <v>331</v>
      </c>
      <c r="BL73" t="s">
        <v>332</v>
      </c>
    </row>
    <row r="74" spans="1:64" x14ac:dyDescent="0.2">
      <c r="A74" s="3" t="s">
        <v>333</v>
      </c>
      <c r="B74" t="str">
        <f>VLOOKUP(A74, IDSLOOKUP!C:E, 2, FALSE)</f>
        <v>Day 0</v>
      </c>
      <c r="C74" t="str">
        <f>(_xlfn.XLOOKUP(D74,RAWMETADATALOOKUP_P1!A:A,RAWMETADATALOOKUP_P1!M:M))</f>
        <v>Oral Cavity</v>
      </c>
      <c r="D74" t="str">
        <f>VLOOKUP(A74, IDSLOOKUP!C:E, 3, FALSE)</f>
        <v>HN06-09</v>
      </c>
      <c r="E74" s="48">
        <f>VLOOKUP(A74,CFDNALOOKUP!AG:AI,2,FALSE)</f>
        <v>44092</v>
      </c>
      <c r="F74" s="48">
        <f>VLOOKUP(A74,CFDNALOOKUP!AG:AI,3,FALSE)</f>
        <v>44180</v>
      </c>
      <c r="G74" s="1">
        <f>VLOOKUP(D74, SURVLOOKUP!$A:$Q, 2, FALSE)</f>
        <v>43731</v>
      </c>
      <c r="H74" s="1">
        <f>VLOOKUP(D74, SURVLOOKUP!$A:$Q, 3, FALSE)</f>
        <v>43739</v>
      </c>
      <c r="I74" s="1">
        <f>VLOOKUP(D74, SURVLOOKUP!$A:$Q, 4, FALSE)</f>
        <v>43753</v>
      </c>
      <c r="J74" s="1">
        <f>VLOOKUP(D74, SURVLOOKUP!$A:$Q, 5, FALSE)</f>
        <v>43761</v>
      </c>
      <c r="K74" s="1" t="str">
        <f>VLOOKUP(D74, SURVLOOKUP!$A:$Q, 6, FALSE)</f>
        <v>NA</v>
      </c>
      <c r="L74" s="1" t="str">
        <f>VLOOKUP(D74, SURVLOOKUP!$A:$Q, 7, FALSE)</f>
        <v>NA</v>
      </c>
      <c r="M74" s="1" t="str">
        <f>VLOOKUP(D74, SURVLOOKUP!$A:$Q, 8, FALSE)</f>
        <v>NA</v>
      </c>
      <c r="N74" s="1" t="str">
        <f>VLOOKUP(D74, SURVLOOKUP!$A:$Q, 9, FALSE)</f>
        <v>NA</v>
      </c>
      <c r="O74" s="1" t="str">
        <f>VLOOKUP(D74, SURVLOOKUP!$A:$Q, 10, FALSE)</f>
        <v>NA</v>
      </c>
      <c r="P74" s="1">
        <f>VLOOKUP(D74, OLDSURVLOOKUP!$A:$AA, 19, FALSE)</f>
        <v>43761</v>
      </c>
      <c r="Q74" s="1">
        <f>VLOOKUP(D74, SURVLOOKUP!$A:$Q, 11, FALSE)</f>
        <v>43761</v>
      </c>
      <c r="R74" s="1"/>
      <c r="S74" s="1"/>
      <c r="T74" s="1"/>
      <c r="U74" s="1"/>
      <c r="V74">
        <f>_xlfn.XLOOKUP(D74, OLDSURVLOOKUP!$A:$A, OLDSURVLOOKUP!V:V)</f>
        <v>0</v>
      </c>
      <c r="W74">
        <f>VLOOKUP(D74, SURVLOOKUP!$A:$Q, 14, FALSE)</f>
        <v>0</v>
      </c>
      <c r="X74">
        <f>_xlfn.XLOOKUP(D74, OLDSURVLOOKUP!$A:$A, OLDSURVLOOKUP!X:X)</f>
        <v>0</v>
      </c>
      <c r="Y74">
        <f>VLOOKUP(D74, SURVLOOKUP!$A:$Q, 15, FALSE)</f>
        <v>0</v>
      </c>
      <c r="Z74">
        <f t="shared" si="24"/>
        <v>0.25806451612903225</v>
      </c>
      <c r="AA74">
        <f t="shared" si="25"/>
        <v>0.25806451612903225</v>
      </c>
      <c r="AB74">
        <f t="shared" si="26"/>
        <v>0.25806451612903225</v>
      </c>
      <c r="AC74">
        <f t="shared" si="27"/>
        <v>0.25806451612903225</v>
      </c>
      <c r="AL74">
        <f t="shared" si="34"/>
        <v>2</v>
      </c>
      <c r="AM74" t="str">
        <f t="shared" si="23"/>
        <v>MD Anderson</v>
      </c>
      <c r="AN74">
        <v>0</v>
      </c>
      <c r="AO74">
        <v>28</v>
      </c>
      <c r="AP74">
        <f>(_xlfn.XLOOKUP($D74,RAWMETADATALOOKUP_P1!$A:$A,RAWMETADATALOOKUP_P1!F:F))</f>
        <v>74</v>
      </c>
      <c r="AQ74" t="str">
        <f>(_xlfn.XLOOKUP($D74,RAWMETADATALOOKUP_P1!$A:$A,RAWMETADATALOOKUP_P1!G:G))</f>
        <v>Male</v>
      </c>
      <c r="AR74" t="str">
        <f>(_xlfn.XLOOKUP($D74,RAWMETADATALOOKUP_P1!$A:$A,RAWMETADATALOOKUP_P1!H:H))</f>
        <v>White</v>
      </c>
      <c r="AS74" t="str">
        <f>(_xlfn.XLOOKUP($D74,RAWMETADATALOOKUP_P1!$A:$A,RAWMETADATALOOKUP_P1!I:I))</f>
        <v>No</v>
      </c>
      <c r="AT74" t="str">
        <f>(_xlfn.XLOOKUP($D74,RAWMETADATALOOKUP_P1!$A:$A,RAWMETADATALOOKUP_P1!J:J))</f>
        <v>Non-Hispanic</v>
      </c>
      <c r="AU74" t="str">
        <f>(_xlfn.XLOOKUP($D74,RAWMETADATALOOKUP_P1!$A:$A,RAWMETADATALOOKUP_P1!K:K))</f>
        <v>Yes</v>
      </c>
      <c r="AV74" t="str">
        <f>(_xlfn.XLOOKUP($D74,RAWMETADATALOOKUP_P1!$A:$A,RAWMETADATALOOKUP_P1!Q:Q))</f>
        <v>T3N0M0</v>
      </c>
      <c r="AW74" t="str">
        <f>LEFT(_xlfn.XLOOKUP(D74, RAWMETADATALOOKUP_P2!A:A,RAWMETADATALOOKUP_P2!G:G), FIND(" ", _xlfn.XLOOKUP(D74, RAWMETADATALOOKUP_P2!A:A,RAWMETADATALOOKUP_P2!G:G)&amp;" ")-1)</f>
        <v>Intermediate</v>
      </c>
      <c r="AX74" t="str">
        <f>(_xlfn.XLOOKUP($D74,RAWMETADATALOOKUP_P1!$A:$A,RAWMETADATALOOKUP_P1!R:R))</f>
        <v>Unknown</v>
      </c>
      <c r="AY74">
        <f>LOOKUP(D74, SURVLOOKUP!$A:$A, SURVLOOKUP!$P:$P)</f>
        <v>1</v>
      </c>
      <c r="AZ74" s="46">
        <v>2</v>
      </c>
      <c r="BA74">
        <v>0.2</v>
      </c>
      <c r="BB74" s="47" t="str">
        <f t="shared" si="33"/>
        <v>Responder</v>
      </c>
      <c r="BC74">
        <v>0.432</v>
      </c>
      <c r="BE74">
        <v>24</v>
      </c>
      <c r="BF74">
        <v>2.3148149999999998</v>
      </c>
      <c r="BG74">
        <v>47.685189999999999</v>
      </c>
      <c r="BH74">
        <v>13.4</v>
      </c>
      <c r="BI74">
        <v>1.865672</v>
      </c>
      <c r="BJ74" t="s">
        <v>220</v>
      </c>
      <c r="BK74" t="s">
        <v>221</v>
      </c>
      <c r="BL74" t="s">
        <v>222</v>
      </c>
    </row>
    <row r="75" spans="1:64" x14ac:dyDescent="0.2">
      <c r="A75" s="3" t="s">
        <v>334</v>
      </c>
      <c r="B75" t="str">
        <f>VLOOKUP(A75, IDSLOOKUP!C:E, 2, FALSE)</f>
        <v>Screen</v>
      </c>
      <c r="C75" t="str">
        <f>VLOOKUP(D75, METADATALOOKUP!$A:$AI, 13, FALSE)</f>
        <v>Oral Cavity</v>
      </c>
      <c r="D75" t="str">
        <f>VLOOKUP(A75, IDSLOOKUP!C:E, 3, FALSE)</f>
        <v>HN06-13</v>
      </c>
      <c r="E75" s="48">
        <f>VLOOKUP(A75,CFDNALOOKUP!AG:AI,2,FALSE)</f>
        <v>44092</v>
      </c>
      <c r="F75" s="48">
        <f>VLOOKUP(A75,CFDNALOOKUP!AG:AI,3,FALSE)</f>
        <v>44180</v>
      </c>
      <c r="G75" s="1">
        <f>VLOOKUP(D75, SURVLOOKUP!$A:$Q, 2, FALSE)</f>
        <v>43853</v>
      </c>
      <c r="H75" s="1">
        <f>VLOOKUP(D75, SURVLOOKUP!$A:$Q, 3, FALSE)</f>
        <v>43854</v>
      </c>
      <c r="I75" s="1">
        <f>VLOOKUP(D75, SURVLOOKUP!$A:$Q, 4, FALSE)</f>
        <v>43874</v>
      </c>
      <c r="J75" s="1">
        <f>VLOOKUP(D75, SURVLOOKUP!$A:$Q, 5, FALSE)</f>
        <v>43892</v>
      </c>
      <c r="K75" s="1">
        <f>VLOOKUP(D75, SURVLOOKUP!$A:$Q, 6, FALSE)</f>
        <v>43934</v>
      </c>
      <c r="L75" s="1">
        <f>VLOOKUP(D75, SURVLOOKUP!$A:$Q, 7, FALSE)</f>
        <v>43971</v>
      </c>
      <c r="M75" s="1">
        <f>VLOOKUP(D75, SURVLOOKUP!$A:$Q, 8, FALSE)</f>
        <v>43927</v>
      </c>
      <c r="N75" s="1">
        <f>VLOOKUP(D75, SURVLOOKUP!$A:$Q, 9, FALSE)</f>
        <v>44034</v>
      </c>
      <c r="O75" s="1" t="str">
        <f>VLOOKUP(D75, SURVLOOKUP!$A:$Q, 10, FALSE)</f>
        <v>NA</v>
      </c>
      <c r="P75" s="1">
        <f>VLOOKUP(D75, OLDSURVLOOKUP!$A:$AA, 19, FALSE)</f>
        <v>44328</v>
      </c>
      <c r="Q75" s="1">
        <f>VLOOKUP(D75, SURVLOOKUP!$A:$Q, 11, FALSE)</f>
        <v>45495</v>
      </c>
      <c r="R75" s="1"/>
      <c r="S75" s="1"/>
      <c r="T75" s="1"/>
      <c r="U75" s="1"/>
      <c r="V75">
        <f>_xlfn.XLOOKUP(D75, OLDSURVLOOKUP!$A:$A, OLDSURVLOOKUP!V:V)</f>
        <v>0</v>
      </c>
      <c r="W75">
        <f>VLOOKUP(D75, SURVLOOKUP!$A:$Q, 14, FALSE)</f>
        <v>0</v>
      </c>
      <c r="X75">
        <f>_xlfn.XLOOKUP(D75, OLDSURVLOOKUP!$A:$A, OLDSURVLOOKUP!X:X)</f>
        <v>0</v>
      </c>
      <c r="Y75">
        <f>VLOOKUP(D75, SURVLOOKUP!$A:$Q, 15, FALSE)</f>
        <v>0</v>
      </c>
      <c r="Z75">
        <f t="shared" si="24"/>
        <v>15</v>
      </c>
      <c r="AA75">
        <f t="shared" si="25"/>
        <v>53.310344827586206</v>
      </c>
      <c r="AB75">
        <f t="shared" si="26"/>
        <v>15</v>
      </c>
      <c r="AC75">
        <f t="shared" si="27"/>
        <v>53.310344827586206</v>
      </c>
      <c r="AD75">
        <f t="shared" si="28"/>
        <v>14.32258064516129</v>
      </c>
      <c r="AE75">
        <f t="shared" ref="AE75:AE109" si="35">IF(W75=0, DATEDIF(J75,Q75,"M")+DATEDIF(J75,Q75,"MD")/DAY(EOMONTH(J75,0)), DATEDIF(J75,S75,"M")+DATEDIF(J75,S75,"MD")/DAY(EOMONTH(J75,0)))</f>
        <v>52.645161290322584</v>
      </c>
      <c r="AF75">
        <f t="shared" ref="AF75:AF106" si="36">IF(X75=0, DATEDIF(J75,P75,"M")+DATEDIF(J75,P75,"MD")/DAY(EOMONTH(J75,0)), DATEDIF(J75,T75,"M")+DATEDIF(J75,T75,"MD")/DAY(EOMONTH(J75,0)))</f>
        <v>14.32258064516129</v>
      </c>
      <c r="AG75">
        <f t="shared" ref="AG75:AG106" si="37">IF(Y75=0, DATEDIF(J75,Q75,"M")+DATEDIF(J75,Q75,"MD")/DAY(EOMONTH(J75,0)), DATEDIF(J75,U75,"M")+DATEDIF(J75,U75,"MD")/DAY(EOMONTH(J75,0)))</f>
        <v>52.645161290322584</v>
      </c>
      <c r="AH75">
        <f t="shared" si="29"/>
        <v>13.2</v>
      </c>
      <c r="AI75">
        <f t="shared" si="30"/>
        <v>51.533333333333331</v>
      </c>
      <c r="AJ75">
        <f t="shared" si="31"/>
        <v>13.2</v>
      </c>
      <c r="AK75">
        <f t="shared" si="32"/>
        <v>51.533333333333331</v>
      </c>
      <c r="AL75">
        <f t="shared" si="34"/>
        <v>2</v>
      </c>
      <c r="AM75" t="str">
        <f t="shared" si="23"/>
        <v>MD Anderson</v>
      </c>
      <c r="AN75">
        <v>0</v>
      </c>
      <c r="AO75">
        <v>29</v>
      </c>
      <c r="AP75">
        <f>VLOOKUP(D75, METADATALOOKUP!$A:$AI, 7, FALSE)</f>
        <v>49</v>
      </c>
      <c r="AQ75" t="str">
        <f>VLOOKUP(D75, METADATALOOKUP!$A:$AI, 8, FALSE)</f>
        <v>Male</v>
      </c>
      <c r="AR75" t="str">
        <f>VLOOKUP(D75, METADATALOOKUP!$A:$AI, 9, FALSE)</f>
        <v>White</v>
      </c>
      <c r="AS75" t="str">
        <f>VLOOKUP(D75, METADATALOOKUP!$A:$AI, 11, FALSE)</f>
        <v>Yes</v>
      </c>
      <c r="AT75" t="str">
        <f>VLOOKUP(D75, METADATALOOKUP!$A:$AI, 10, FALSE)</f>
        <v>Non-Hispanic</v>
      </c>
      <c r="AU75" t="str">
        <f>VLOOKUP(D75, METADATALOOKUP!$A:$AI, 12, FALSE)</f>
        <v>No</v>
      </c>
      <c r="AV75" t="str">
        <f>VLOOKUP(D75, METADATALOOKUP!$A:$AI, 14, FALSE)</f>
        <v>T1N2C</v>
      </c>
      <c r="AW75" t="str">
        <f>VLOOKUP(D75, METADATALOOKUP!$A:$AI, 6, FALSE)</f>
        <v>Intermediate</v>
      </c>
      <c r="AX75" t="str">
        <f>VLOOKUP(D75, METADATALOOKUP!$A:$AI, 19, FALSE)</f>
        <v>Unknown</v>
      </c>
      <c r="AY75">
        <f>LOOKUP(D75, SURVLOOKUP!$A:$A, SURVLOOKUP!$P:$P)</f>
        <v>2</v>
      </c>
      <c r="AZ75" s="46">
        <v>2</v>
      </c>
      <c r="BA75" t="str">
        <f>TEXT(VLOOKUP(D75, METADATALOOKUP!$A:$AI, 34, FALSE), "@")</f>
        <v>0.2</v>
      </c>
      <c r="BB75" s="47" t="str">
        <f t="shared" si="33"/>
        <v>Responder</v>
      </c>
      <c r="BC75">
        <v>0.56000000000000005</v>
      </c>
      <c r="BE75">
        <v>24</v>
      </c>
      <c r="BF75">
        <v>1.785714</v>
      </c>
      <c r="BG75">
        <v>48.214289999999998</v>
      </c>
      <c r="BH75">
        <v>5.3</v>
      </c>
      <c r="BI75">
        <v>4.7169809999999996</v>
      </c>
      <c r="BJ75" t="s">
        <v>112</v>
      </c>
      <c r="BK75" t="s">
        <v>113</v>
      </c>
      <c r="BL75" t="s">
        <v>114</v>
      </c>
    </row>
    <row r="76" spans="1:64" x14ac:dyDescent="0.2">
      <c r="A76" s="3" t="s">
        <v>337</v>
      </c>
      <c r="B76" t="str">
        <f>VLOOKUP(A76, IDSLOOKUP!C:E, 2, FALSE)</f>
        <v>Day 0</v>
      </c>
      <c r="C76" t="str">
        <f>VLOOKUP(D76, METADATALOOKUP!$A:$AI, 13, FALSE)</f>
        <v>Oral Cavity</v>
      </c>
      <c r="D76" t="str">
        <f>VLOOKUP(A76, IDSLOOKUP!C:E, 3, FALSE)</f>
        <v>HN06-13</v>
      </c>
      <c r="E76" s="48">
        <f>VLOOKUP(A76,CFDNALOOKUP!AG:AI,2,FALSE)</f>
        <v>44092</v>
      </c>
      <c r="F76" s="48">
        <f>VLOOKUP(A76,CFDNALOOKUP!AG:AI,3,FALSE)</f>
        <v>44180</v>
      </c>
      <c r="G76" s="1">
        <f>VLOOKUP(D76, SURVLOOKUP!$A:$Q, 2, FALSE)</f>
        <v>43853</v>
      </c>
      <c r="H76" s="1">
        <f>VLOOKUP(D76, SURVLOOKUP!$A:$Q, 3, FALSE)</f>
        <v>43854</v>
      </c>
      <c r="I76" s="1">
        <f>VLOOKUP(D76, SURVLOOKUP!$A:$Q, 4, FALSE)</f>
        <v>43874</v>
      </c>
      <c r="J76" s="1">
        <f>VLOOKUP(D76, SURVLOOKUP!$A:$Q, 5, FALSE)</f>
        <v>43892</v>
      </c>
      <c r="K76" s="1">
        <f>VLOOKUP(D76, SURVLOOKUP!$A:$Q, 6, FALSE)</f>
        <v>43934</v>
      </c>
      <c r="L76" s="1">
        <f>VLOOKUP(D76, SURVLOOKUP!$A:$Q, 7, FALSE)</f>
        <v>43971</v>
      </c>
      <c r="M76" s="1">
        <f>VLOOKUP(D76, SURVLOOKUP!$A:$Q, 8, FALSE)</f>
        <v>43927</v>
      </c>
      <c r="N76" s="1">
        <f>VLOOKUP(D76, SURVLOOKUP!$A:$Q, 9, FALSE)</f>
        <v>44034</v>
      </c>
      <c r="O76" s="1" t="str">
        <f>VLOOKUP(D76, SURVLOOKUP!$A:$Q, 10, FALSE)</f>
        <v>NA</v>
      </c>
      <c r="P76" s="1">
        <f>VLOOKUP(D76, OLDSURVLOOKUP!$A:$AA, 19, FALSE)</f>
        <v>44328</v>
      </c>
      <c r="Q76" s="1">
        <f>VLOOKUP(D76, SURVLOOKUP!$A:$Q, 11, FALSE)</f>
        <v>45495</v>
      </c>
      <c r="R76" s="1"/>
      <c r="S76" s="1"/>
      <c r="T76" s="1"/>
      <c r="U76" s="1"/>
      <c r="V76">
        <f>_xlfn.XLOOKUP(D76, OLDSURVLOOKUP!$A:$A, OLDSURVLOOKUP!V:V)</f>
        <v>0</v>
      </c>
      <c r="W76">
        <f>VLOOKUP(D76, SURVLOOKUP!$A:$Q, 14, FALSE)</f>
        <v>0</v>
      </c>
      <c r="X76">
        <f>_xlfn.XLOOKUP(D76, OLDSURVLOOKUP!$A:$A, OLDSURVLOOKUP!X:X)</f>
        <v>0</v>
      </c>
      <c r="Y76">
        <f>VLOOKUP(D76, SURVLOOKUP!$A:$Q, 15, FALSE)</f>
        <v>0</v>
      </c>
      <c r="Z76">
        <f t="shared" si="24"/>
        <v>15</v>
      </c>
      <c r="AA76">
        <f t="shared" si="25"/>
        <v>53.310344827586206</v>
      </c>
      <c r="AB76">
        <f t="shared" si="26"/>
        <v>15</v>
      </c>
      <c r="AC76">
        <f t="shared" si="27"/>
        <v>53.310344827586206</v>
      </c>
      <c r="AD76">
        <f t="shared" si="28"/>
        <v>14.32258064516129</v>
      </c>
      <c r="AE76">
        <f t="shared" si="35"/>
        <v>52.645161290322584</v>
      </c>
      <c r="AF76">
        <f t="shared" si="36"/>
        <v>14.32258064516129</v>
      </c>
      <c r="AG76">
        <f t="shared" si="37"/>
        <v>52.645161290322584</v>
      </c>
      <c r="AH76">
        <f t="shared" si="29"/>
        <v>13.2</v>
      </c>
      <c r="AI76">
        <f t="shared" si="30"/>
        <v>51.533333333333331</v>
      </c>
      <c r="AJ76">
        <f t="shared" si="31"/>
        <v>13.2</v>
      </c>
      <c r="AK76">
        <f t="shared" si="32"/>
        <v>51.533333333333331</v>
      </c>
      <c r="AL76">
        <f t="shared" si="34"/>
        <v>2</v>
      </c>
      <c r="AM76" t="str">
        <f t="shared" si="23"/>
        <v>MD Anderson</v>
      </c>
      <c r="AN76">
        <v>0</v>
      </c>
      <c r="AO76">
        <v>29</v>
      </c>
      <c r="AP76">
        <f>VLOOKUP(D76, METADATALOOKUP!$A:$AI, 7, FALSE)</f>
        <v>49</v>
      </c>
      <c r="AQ76" t="str">
        <f>VLOOKUP(D76, METADATALOOKUP!$A:$AI, 8, FALSE)</f>
        <v>Male</v>
      </c>
      <c r="AR76" t="str">
        <f>VLOOKUP(D76, METADATALOOKUP!$A:$AI, 9, FALSE)</f>
        <v>White</v>
      </c>
      <c r="AS76" t="str">
        <f>VLOOKUP(D76, METADATALOOKUP!$A:$AI, 11, FALSE)</f>
        <v>Yes</v>
      </c>
      <c r="AT76" t="str">
        <f>VLOOKUP(D76, METADATALOOKUP!$A:$AI, 10, FALSE)</f>
        <v>Non-Hispanic</v>
      </c>
      <c r="AU76" t="str">
        <f>VLOOKUP(D76, METADATALOOKUP!$A:$AI, 12, FALSE)</f>
        <v>No</v>
      </c>
      <c r="AV76" t="str">
        <f>VLOOKUP(D76, METADATALOOKUP!$A:$AI, 14, FALSE)</f>
        <v>T1N2C</v>
      </c>
      <c r="AW76" t="str">
        <f>VLOOKUP(D76, METADATALOOKUP!$A:$AI, 6, FALSE)</f>
        <v>Intermediate</v>
      </c>
      <c r="AX76" t="str">
        <f>VLOOKUP(D76, METADATALOOKUP!$A:$AI, 19, FALSE)</f>
        <v>Unknown</v>
      </c>
      <c r="AY76">
        <f>LOOKUP(D76, SURVLOOKUP!$A:$A, SURVLOOKUP!$P:$P)</f>
        <v>2</v>
      </c>
      <c r="AZ76" s="46">
        <v>2</v>
      </c>
      <c r="BA76" t="str">
        <f>TEXT(VLOOKUP(D76, METADATALOOKUP!$A:$AI, 34, FALSE), "@")</f>
        <v>0.2</v>
      </c>
      <c r="BB76" s="47" t="str">
        <f t="shared" si="33"/>
        <v>Responder</v>
      </c>
      <c r="BC76">
        <v>1.1399999999999999</v>
      </c>
      <c r="BE76">
        <v>24</v>
      </c>
      <c r="BF76">
        <v>0.877193</v>
      </c>
      <c r="BG76">
        <v>49.122810000000001</v>
      </c>
      <c r="BH76">
        <v>5.18</v>
      </c>
      <c r="BI76">
        <v>4.8262549999999997</v>
      </c>
      <c r="BJ76" t="s">
        <v>320</v>
      </c>
      <c r="BK76" t="s">
        <v>321</v>
      </c>
      <c r="BL76" t="s">
        <v>322</v>
      </c>
    </row>
    <row r="77" spans="1:64" x14ac:dyDescent="0.2">
      <c r="A77" s="3" t="s">
        <v>338</v>
      </c>
      <c r="B77" t="str">
        <f>VLOOKUP(A77, IDSLOOKUP!C:E, 2, FALSE)</f>
        <v>Screen</v>
      </c>
      <c r="C77" t="str">
        <f>VLOOKUP(D77, METADATALOOKUP!$A:$AI, 13, FALSE)</f>
        <v>Oral Cavity</v>
      </c>
      <c r="D77" t="str">
        <f>VLOOKUP(A77, IDSLOOKUP!C:E, 3, FALSE)</f>
        <v>HN06-14</v>
      </c>
      <c r="E77" s="48">
        <f>VLOOKUP(A77,CFDNALOOKUP!AG:AI,2,FALSE)</f>
        <v>44092</v>
      </c>
      <c r="F77" s="48">
        <f>VLOOKUP(A77,CFDNALOOKUP!AG:AI,3,FALSE)</f>
        <v>44180</v>
      </c>
      <c r="G77" s="1">
        <f>VLOOKUP(D77, SURVLOOKUP!$A:$Q, 2, FALSE)</f>
        <v>43788</v>
      </c>
      <c r="H77" s="1">
        <f>VLOOKUP(D77, SURVLOOKUP!$A:$Q, 3, FALSE)</f>
        <v>43867</v>
      </c>
      <c r="I77" s="1">
        <f>VLOOKUP(D77, SURVLOOKUP!$A:$Q, 4, FALSE)</f>
        <v>43875</v>
      </c>
      <c r="J77" s="1">
        <f>VLOOKUP(D77, SURVLOOKUP!$A:$Q, 5, FALSE)</f>
        <v>43882</v>
      </c>
      <c r="K77" s="1">
        <f>VLOOKUP(D77, SURVLOOKUP!$A:$Q, 6, FALSE)</f>
        <v>43920</v>
      </c>
      <c r="L77" s="1">
        <f>VLOOKUP(D77, SURVLOOKUP!$A:$Q, 7, FALSE)</f>
        <v>43959</v>
      </c>
      <c r="M77" s="1">
        <f>VLOOKUP(D77, SURVLOOKUP!$A:$Q, 8, FALSE)</f>
        <v>43913</v>
      </c>
      <c r="N77" s="1">
        <f>VLOOKUP(D77, SURVLOOKUP!$A:$Q, 9, FALSE)</f>
        <v>44021</v>
      </c>
      <c r="O77" s="1" t="str">
        <f>VLOOKUP(D77, SURVLOOKUP!$A:$Q, 10, FALSE)</f>
        <v>NA</v>
      </c>
      <c r="P77" s="1">
        <f>VLOOKUP(D77, OLDSURVLOOKUP!$A:$AA, 19, FALSE)</f>
        <v>44333</v>
      </c>
      <c r="Q77" s="1">
        <f>VLOOKUP(D77, SURVLOOKUP!$A:$Q, 11, FALSE)</f>
        <v>45482</v>
      </c>
      <c r="R77" s="1"/>
      <c r="S77" s="1"/>
      <c r="T77" s="1"/>
      <c r="U77" s="1"/>
      <c r="V77">
        <f>_xlfn.XLOOKUP(D77, OLDSURVLOOKUP!$A:$A, OLDSURVLOOKUP!V:V)</f>
        <v>0</v>
      </c>
      <c r="W77">
        <f>VLOOKUP(D77, SURVLOOKUP!$A:$Q, 14, FALSE)</f>
        <v>0</v>
      </c>
      <c r="X77">
        <f>_xlfn.XLOOKUP(D77, OLDSURVLOOKUP!$A:$A, OLDSURVLOOKUP!X:X)</f>
        <v>0</v>
      </c>
      <c r="Y77">
        <f>VLOOKUP(D77, SURVLOOKUP!$A:$Q, 15, FALSE)</f>
        <v>0</v>
      </c>
      <c r="Z77">
        <f t="shared" si="24"/>
        <v>15.103448275862069</v>
      </c>
      <c r="AA77">
        <f t="shared" si="25"/>
        <v>52.862068965517238</v>
      </c>
      <c r="AB77">
        <f t="shared" si="26"/>
        <v>15.103448275862069</v>
      </c>
      <c r="AC77">
        <f t="shared" si="27"/>
        <v>52.862068965517238</v>
      </c>
      <c r="AD77">
        <f t="shared" si="28"/>
        <v>14.896551724137931</v>
      </c>
      <c r="AE77">
        <f t="shared" si="35"/>
        <v>52.620689655172413</v>
      </c>
      <c r="AF77">
        <f t="shared" si="36"/>
        <v>14.896551724137931</v>
      </c>
      <c r="AG77">
        <f t="shared" si="37"/>
        <v>52.620689655172413</v>
      </c>
      <c r="AH77">
        <f t="shared" si="29"/>
        <v>13.774193548387096</v>
      </c>
      <c r="AI77">
        <f t="shared" si="30"/>
        <v>51.516129032258064</v>
      </c>
      <c r="AJ77">
        <f t="shared" si="31"/>
        <v>13.774193548387096</v>
      </c>
      <c r="AK77">
        <f t="shared" si="32"/>
        <v>51.516129032258064</v>
      </c>
      <c r="AL77">
        <f t="shared" si="34"/>
        <v>2</v>
      </c>
      <c r="AM77" t="str">
        <f t="shared" si="23"/>
        <v>MD Anderson</v>
      </c>
      <c r="AN77">
        <v>0</v>
      </c>
      <c r="AO77">
        <v>30</v>
      </c>
      <c r="AP77">
        <f>VLOOKUP(D77, METADATALOOKUP!$A:$AI, 7, FALSE)</f>
        <v>45</v>
      </c>
      <c r="AQ77" t="str">
        <f>VLOOKUP(D77, METADATALOOKUP!$A:$AI, 8, FALSE)</f>
        <v>Male</v>
      </c>
      <c r="AR77" t="str">
        <f>VLOOKUP(D77, METADATALOOKUP!$A:$AI, 9, FALSE)</f>
        <v>Native Hawaiian or Other Pacific Islander</v>
      </c>
      <c r="AS77" t="str">
        <f>VLOOKUP(D77, METADATALOOKUP!$A:$AI, 11, FALSE)</f>
        <v>No</v>
      </c>
      <c r="AT77" t="str">
        <f>VLOOKUP(D77, METADATALOOKUP!$A:$AI, 10, FALSE)</f>
        <v>Non-Hispanic</v>
      </c>
      <c r="AU77" t="str">
        <f>VLOOKUP(D77, METADATALOOKUP!$A:$AI, 12, FALSE)</f>
        <v>No</v>
      </c>
      <c r="AV77" t="str">
        <f>VLOOKUP(D77, METADATALOOKUP!$A:$AI, 14, FALSE)</f>
        <v>T4aN0M0</v>
      </c>
      <c r="AW77" t="str">
        <f>VLOOKUP(D77, METADATALOOKUP!$A:$AI, 6, FALSE)</f>
        <v>Intermediate</v>
      </c>
      <c r="AX77" t="str">
        <f>VLOOKUP(D77, METADATALOOKUP!$A:$AI, 19, FALSE)</f>
        <v>Unknown</v>
      </c>
      <c r="AY77">
        <f>LOOKUP(D77, SURVLOOKUP!$A:$A, SURVLOOKUP!$P:$P)</f>
        <v>2</v>
      </c>
      <c r="AZ77" s="46">
        <v>8</v>
      </c>
      <c r="BA77" t="str">
        <f>TEXT(VLOOKUP(D77, METADATALOOKUP!$A:$AI, 34, FALSE), "@")</f>
        <v>80-90%</v>
      </c>
      <c r="BB77" s="47" t="str">
        <f t="shared" si="33"/>
        <v>Responder</v>
      </c>
      <c r="BC77">
        <v>0.19800000000000001</v>
      </c>
      <c r="BE77">
        <v>24</v>
      </c>
      <c r="BF77">
        <v>5.0505050000000002</v>
      </c>
      <c r="BG77">
        <v>44.949489999999997</v>
      </c>
      <c r="BH77">
        <v>18.7</v>
      </c>
      <c r="BI77">
        <v>1.3368979999999999</v>
      </c>
      <c r="BJ77" t="s">
        <v>66</v>
      </c>
      <c r="BK77" t="s">
        <v>67</v>
      </c>
      <c r="BL77" t="s">
        <v>68</v>
      </c>
    </row>
    <row r="78" spans="1:64" x14ac:dyDescent="0.2">
      <c r="A78" s="3" t="s">
        <v>342</v>
      </c>
      <c r="B78" t="str">
        <f>VLOOKUP(A78, IDSLOOKUP!C:E, 2, FALSE)</f>
        <v>Day 0</v>
      </c>
      <c r="C78" t="str">
        <f>VLOOKUP(D78, METADATALOOKUP!$A:$AI, 13, FALSE)</f>
        <v>Oral Cavity</v>
      </c>
      <c r="D78" t="str">
        <f>VLOOKUP(A78, IDSLOOKUP!C:E, 3, FALSE)</f>
        <v>HN06-14</v>
      </c>
      <c r="E78" s="48">
        <f>VLOOKUP(A78,CFDNALOOKUP!AG:AI,2,FALSE)</f>
        <v>44092</v>
      </c>
      <c r="F78" s="48">
        <f>VLOOKUP(A78,CFDNALOOKUP!AG:AI,3,FALSE)</f>
        <v>44180</v>
      </c>
      <c r="G78" s="1">
        <f>VLOOKUP(D78, SURVLOOKUP!$A:$Q, 2, FALSE)</f>
        <v>43788</v>
      </c>
      <c r="H78" s="1">
        <f>VLOOKUP(D78, SURVLOOKUP!$A:$Q, 3, FALSE)</f>
        <v>43867</v>
      </c>
      <c r="I78" s="1">
        <f>VLOOKUP(D78, SURVLOOKUP!$A:$Q, 4, FALSE)</f>
        <v>43875</v>
      </c>
      <c r="J78" s="1">
        <f>VLOOKUP(D78, SURVLOOKUP!$A:$Q, 5, FALSE)</f>
        <v>43882</v>
      </c>
      <c r="K78" s="1">
        <f>VLOOKUP(D78, SURVLOOKUP!$A:$Q, 6, FALSE)</f>
        <v>43920</v>
      </c>
      <c r="L78" s="1">
        <f>VLOOKUP(D78, SURVLOOKUP!$A:$Q, 7, FALSE)</f>
        <v>43959</v>
      </c>
      <c r="M78" s="1">
        <f>VLOOKUP(D78, SURVLOOKUP!$A:$Q, 8, FALSE)</f>
        <v>43913</v>
      </c>
      <c r="N78" s="1">
        <f>VLOOKUP(D78, SURVLOOKUP!$A:$Q, 9, FALSE)</f>
        <v>44021</v>
      </c>
      <c r="O78" s="1" t="str">
        <f>VLOOKUP(D78, SURVLOOKUP!$A:$Q, 10, FALSE)</f>
        <v>NA</v>
      </c>
      <c r="P78" s="1">
        <f>VLOOKUP(D78, OLDSURVLOOKUP!$A:$AA, 19, FALSE)</f>
        <v>44333</v>
      </c>
      <c r="Q78" s="1">
        <f>VLOOKUP(D78, SURVLOOKUP!$A:$Q, 11, FALSE)</f>
        <v>45482</v>
      </c>
      <c r="R78" s="1"/>
      <c r="S78" s="1"/>
      <c r="T78" s="1"/>
      <c r="U78" s="1"/>
      <c r="V78">
        <f>_xlfn.XLOOKUP(D78, OLDSURVLOOKUP!$A:$A, OLDSURVLOOKUP!V:V)</f>
        <v>0</v>
      </c>
      <c r="W78">
        <f>VLOOKUP(D78, SURVLOOKUP!$A:$Q, 14, FALSE)</f>
        <v>0</v>
      </c>
      <c r="X78">
        <f>_xlfn.XLOOKUP(D78, OLDSURVLOOKUP!$A:$A, OLDSURVLOOKUP!X:X)</f>
        <v>0</v>
      </c>
      <c r="Y78">
        <f>VLOOKUP(D78, SURVLOOKUP!$A:$Q, 15, FALSE)</f>
        <v>0</v>
      </c>
      <c r="Z78">
        <f t="shared" si="24"/>
        <v>15.103448275862069</v>
      </c>
      <c r="AA78">
        <f t="shared" si="25"/>
        <v>52.862068965517238</v>
      </c>
      <c r="AB78">
        <f t="shared" si="26"/>
        <v>15.103448275862069</v>
      </c>
      <c r="AC78">
        <f t="shared" si="27"/>
        <v>52.862068965517238</v>
      </c>
      <c r="AD78">
        <f t="shared" si="28"/>
        <v>14.896551724137931</v>
      </c>
      <c r="AE78">
        <f t="shared" si="35"/>
        <v>52.620689655172413</v>
      </c>
      <c r="AF78">
        <f t="shared" si="36"/>
        <v>14.896551724137931</v>
      </c>
      <c r="AG78">
        <f t="shared" si="37"/>
        <v>52.620689655172413</v>
      </c>
      <c r="AH78">
        <f t="shared" si="29"/>
        <v>13.774193548387096</v>
      </c>
      <c r="AI78">
        <f t="shared" si="30"/>
        <v>51.516129032258064</v>
      </c>
      <c r="AJ78">
        <f t="shared" si="31"/>
        <v>13.774193548387096</v>
      </c>
      <c r="AK78">
        <f t="shared" si="32"/>
        <v>51.516129032258064</v>
      </c>
      <c r="AL78">
        <f t="shared" si="34"/>
        <v>2</v>
      </c>
      <c r="AM78" t="str">
        <f t="shared" si="23"/>
        <v>MD Anderson</v>
      </c>
      <c r="AN78">
        <v>0</v>
      </c>
      <c r="AO78">
        <v>30</v>
      </c>
      <c r="AP78">
        <f>VLOOKUP(D78, METADATALOOKUP!$A:$AI, 7, FALSE)</f>
        <v>45</v>
      </c>
      <c r="AQ78" t="str">
        <f>VLOOKUP(D78, METADATALOOKUP!$A:$AI, 8, FALSE)</f>
        <v>Male</v>
      </c>
      <c r="AR78" t="str">
        <f>VLOOKUP(D78, METADATALOOKUP!$A:$AI, 9, FALSE)</f>
        <v>Native Hawaiian or Other Pacific Islander</v>
      </c>
      <c r="AS78" t="str">
        <f>VLOOKUP(D78, METADATALOOKUP!$A:$AI, 11, FALSE)</f>
        <v>No</v>
      </c>
      <c r="AT78" t="str">
        <f>VLOOKUP(D78, METADATALOOKUP!$A:$AI, 10, FALSE)</f>
        <v>Non-Hispanic</v>
      </c>
      <c r="AU78" t="str">
        <f>VLOOKUP(D78, METADATALOOKUP!$A:$AI, 12, FALSE)</f>
        <v>No</v>
      </c>
      <c r="AV78" t="str">
        <f>VLOOKUP(D78, METADATALOOKUP!$A:$AI, 14, FALSE)</f>
        <v>T4aN0M0</v>
      </c>
      <c r="AW78" t="str">
        <f>VLOOKUP(D78, METADATALOOKUP!$A:$AI, 6, FALSE)</f>
        <v>Intermediate</v>
      </c>
      <c r="AX78" t="str">
        <f>VLOOKUP(D78, METADATALOOKUP!$A:$AI, 19, FALSE)</f>
        <v>Unknown</v>
      </c>
      <c r="AY78">
        <f>LOOKUP(D78, SURVLOOKUP!$A:$A, SURVLOOKUP!$P:$P)</f>
        <v>2</v>
      </c>
      <c r="AZ78" s="46">
        <v>8</v>
      </c>
      <c r="BA78" t="str">
        <f>TEXT(VLOOKUP(D78, METADATALOOKUP!$A:$AI, 34, FALSE), "@")</f>
        <v>80-90%</v>
      </c>
      <c r="BB78" s="47" t="str">
        <f t="shared" si="33"/>
        <v>Responder</v>
      </c>
      <c r="BC78">
        <v>0.81799999999999995</v>
      </c>
      <c r="BE78">
        <v>24</v>
      </c>
      <c r="BF78">
        <v>1.222494</v>
      </c>
      <c r="BG78">
        <v>48.777509999999999</v>
      </c>
      <c r="BH78">
        <v>10.7</v>
      </c>
      <c r="BI78">
        <v>2.336449</v>
      </c>
      <c r="BJ78" t="s">
        <v>259</v>
      </c>
      <c r="BK78" t="s">
        <v>260</v>
      </c>
      <c r="BL78" t="s">
        <v>261</v>
      </c>
    </row>
    <row r="79" spans="1:64" x14ac:dyDescent="0.2">
      <c r="A79" s="3" t="s">
        <v>343</v>
      </c>
      <c r="B79" t="str">
        <f>VLOOKUP(A79, IDSLOOKUP!C:E, 2, FALSE)</f>
        <v>Screen</v>
      </c>
      <c r="C79" t="str">
        <f>VLOOKUP(D79, METADATALOOKUP!$A:$AI, 13, FALSE)</f>
        <v>Oropharynx</v>
      </c>
      <c r="D79" t="str">
        <f>VLOOKUP(A79, IDSLOOKUP!C:E, 3, FALSE)</f>
        <v>HN06-18</v>
      </c>
      <c r="E79" s="48">
        <f>VLOOKUP(A79,CFDNALOOKUP!AG:AI,2,FALSE)</f>
        <v>44092</v>
      </c>
      <c r="F79" s="48">
        <f>VLOOKUP(A79,CFDNALOOKUP!AG:AI,3,FALSE)</f>
        <v>44180</v>
      </c>
      <c r="G79" s="1">
        <f>VLOOKUP(D79, SURVLOOKUP!$A:$Q, 2, FALSE)</f>
        <v>44008</v>
      </c>
      <c r="H79" s="1">
        <f>VLOOKUP(D79, SURVLOOKUP!$A:$Q, 3, FALSE)</f>
        <v>44022</v>
      </c>
      <c r="I79" s="1">
        <f>VLOOKUP(D79, SURVLOOKUP!$A:$Q, 4, FALSE)</f>
        <v>44033</v>
      </c>
      <c r="J79" s="1">
        <f>VLOOKUP(D79, SURVLOOKUP!$A:$Q, 5, FALSE)</f>
        <v>44040</v>
      </c>
      <c r="K79" s="1">
        <f>VLOOKUP(D79, SURVLOOKUP!$A:$Q, 6, FALSE)</f>
        <v>44082</v>
      </c>
      <c r="L79" s="1">
        <f>VLOOKUP(D79, SURVLOOKUP!$A:$Q, 7, FALSE)</f>
        <v>44120</v>
      </c>
      <c r="M79" s="1">
        <f>VLOOKUP(D79, SURVLOOKUP!$A:$Q, 8, FALSE)</f>
        <v>44074</v>
      </c>
      <c r="N79" s="1">
        <f>VLOOKUP(D79, SURVLOOKUP!$A:$Q, 9, FALSE)</f>
        <v>44179</v>
      </c>
      <c r="O79" s="1" t="str">
        <f>VLOOKUP(D79, SURVLOOKUP!$A:$Q, 10, FALSE)</f>
        <v>NA</v>
      </c>
      <c r="P79" s="1">
        <f>VLOOKUP(D79, OLDSURVLOOKUP!$A:$AA, 19, FALSE)</f>
        <v>44335</v>
      </c>
      <c r="Q79" s="1">
        <f>VLOOKUP(D79, SURVLOOKUP!$A:$Q, 11, FALSE)</f>
        <v>45630</v>
      </c>
      <c r="R79" s="1">
        <f>VLOOKUP(D79, OLDSURVLOOKUP!$A:$AA, 20, FALSE)</f>
        <v>44259</v>
      </c>
      <c r="S79" s="1">
        <f>VLOOKUP(D79, SURVLOOKUP!$A:$Q, 12, FALSE)</f>
        <v>44259</v>
      </c>
      <c r="T79" s="1"/>
      <c r="U79" s="1"/>
      <c r="V79">
        <f>_xlfn.XLOOKUP(D79, OLDSURVLOOKUP!$A:$A, OLDSURVLOOKUP!V:V)</f>
        <v>1</v>
      </c>
      <c r="W79">
        <f>VLOOKUP(D79, SURVLOOKUP!$A:$Q, 14, FALSE)</f>
        <v>1</v>
      </c>
      <c r="X79">
        <f>_xlfn.XLOOKUP(D79, OLDSURVLOOKUP!$A:$A, OLDSURVLOOKUP!X:X)</f>
        <v>0</v>
      </c>
      <c r="Y79">
        <f>VLOOKUP(D79, SURVLOOKUP!$A:$Q, 15, FALSE)</f>
        <v>0</v>
      </c>
      <c r="Z79">
        <f t="shared" si="24"/>
        <v>7.354838709677419</v>
      </c>
      <c r="AA79">
        <f t="shared" si="25"/>
        <v>7.354838709677419</v>
      </c>
      <c r="AB79">
        <f t="shared" si="26"/>
        <v>9.9032258064516121</v>
      </c>
      <c r="AC79">
        <f t="shared" si="27"/>
        <v>52.41935483870968</v>
      </c>
      <c r="AD79">
        <f t="shared" si="28"/>
        <v>7.129032258064516</v>
      </c>
      <c r="AE79">
        <f t="shared" si="35"/>
        <v>7.129032258064516</v>
      </c>
      <c r="AF79">
        <f t="shared" si="36"/>
        <v>9.67741935483871</v>
      </c>
      <c r="AG79">
        <f t="shared" si="37"/>
        <v>52.193548387096776</v>
      </c>
      <c r="AH79">
        <f t="shared" si="29"/>
        <v>6.032258064516129</v>
      </c>
      <c r="AI79">
        <f t="shared" si="30"/>
        <v>6.032258064516129</v>
      </c>
      <c r="AJ79">
        <f t="shared" si="31"/>
        <v>8.5806451612903221</v>
      </c>
      <c r="AK79">
        <f t="shared" si="32"/>
        <v>51.096774193548384</v>
      </c>
      <c r="AL79">
        <f t="shared" si="34"/>
        <v>2</v>
      </c>
      <c r="AM79" t="str">
        <f t="shared" si="23"/>
        <v>MD Anderson</v>
      </c>
      <c r="AN79">
        <v>0</v>
      </c>
      <c r="AO79">
        <v>31</v>
      </c>
      <c r="AP79">
        <f>VLOOKUP(D79, METADATALOOKUP!$A:$AI, 7, FALSE)</f>
        <v>66</v>
      </c>
      <c r="AQ79" t="str">
        <f>VLOOKUP(D79, METADATALOOKUP!$A:$AI, 8, FALSE)</f>
        <v>Male</v>
      </c>
      <c r="AR79" t="str">
        <f>VLOOKUP(D79, METADATALOOKUP!$A:$AI, 9, FALSE)</f>
        <v>White</v>
      </c>
      <c r="AS79" t="str">
        <f>VLOOKUP(D79, METADATALOOKUP!$A:$AI, 11, FALSE)</f>
        <v>No</v>
      </c>
      <c r="AT79" t="str">
        <f>VLOOKUP(D79, METADATALOOKUP!$A:$AI, 10, FALSE)</f>
        <v>Non-Hispanic</v>
      </c>
      <c r="AU79" t="str">
        <f>VLOOKUP(D79, METADATALOOKUP!$A:$AI, 12, FALSE)</f>
        <v>No</v>
      </c>
      <c r="AV79" t="str">
        <f>VLOOKUP(D79, METADATALOOKUP!$A:$AI, 14, FALSE)</f>
        <v>T4bN3</v>
      </c>
      <c r="AW79" t="str">
        <f>VLOOKUP(D79, METADATALOOKUP!$A:$AI, 6, FALSE)</f>
        <v xml:space="preserve">High </v>
      </c>
      <c r="AX79" t="str">
        <f>VLOOKUP(D79, METADATALOOKUP!$A:$AI, 19, FALSE)</f>
        <v>No</v>
      </c>
      <c r="AY79">
        <f>LOOKUP(D79, SURVLOOKUP!$A:$A, SURVLOOKUP!$P:$P)</f>
        <v>0</v>
      </c>
      <c r="AZ79" s="46">
        <v>0</v>
      </c>
      <c r="BA79" t="str">
        <f>TEXT(VLOOKUP(D79, METADATALOOKUP!$A:$AI, 34, FALSE), "@")</f>
        <v>&lt;10%</v>
      </c>
      <c r="BB79" s="47" t="str">
        <f t="shared" si="33"/>
        <v>Non-Responder</v>
      </c>
      <c r="BC79" s="2">
        <v>1.49</v>
      </c>
      <c r="BE79" s="2">
        <v>24</v>
      </c>
      <c r="BF79" s="2">
        <v>0.67114099999999999</v>
      </c>
      <c r="BG79" s="2">
        <v>49.328859999999999</v>
      </c>
      <c r="BH79" s="2">
        <v>5.76</v>
      </c>
      <c r="BI79" s="2">
        <v>4.3402779999999996</v>
      </c>
      <c r="BJ79" s="2" t="s">
        <v>300</v>
      </c>
      <c r="BK79" s="2" t="s">
        <v>301</v>
      </c>
      <c r="BL79" s="2" t="s">
        <v>302</v>
      </c>
    </row>
    <row r="80" spans="1:64" x14ac:dyDescent="0.2">
      <c r="A80" s="3" t="s">
        <v>347</v>
      </c>
      <c r="B80" t="str">
        <f>VLOOKUP(A80, IDSLOOKUP!C:E, 2, FALSE)</f>
        <v>Day 0</v>
      </c>
      <c r="C80" t="str">
        <f>VLOOKUP(D80, METADATALOOKUP!$A:$AI, 13, FALSE)</f>
        <v>Oropharynx</v>
      </c>
      <c r="D80" t="str">
        <f>VLOOKUP(A80, IDSLOOKUP!C:E, 3, FALSE)</f>
        <v>HN06-18</v>
      </c>
      <c r="E80" s="48">
        <f>VLOOKUP(A80,CFDNALOOKUP!AG:AI,2,FALSE)</f>
        <v>44092</v>
      </c>
      <c r="F80" s="48">
        <f>VLOOKUP(A80,CFDNALOOKUP!AG:AI,3,FALSE)</f>
        <v>44180</v>
      </c>
      <c r="G80" s="1">
        <f>VLOOKUP(D80, SURVLOOKUP!$A:$Q, 2, FALSE)</f>
        <v>44008</v>
      </c>
      <c r="H80" s="1">
        <f>VLOOKUP(D80, SURVLOOKUP!$A:$Q, 3, FALSE)</f>
        <v>44022</v>
      </c>
      <c r="I80" s="1">
        <f>VLOOKUP(D80, SURVLOOKUP!$A:$Q, 4, FALSE)</f>
        <v>44033</v>
      </c>
      <c r="J80" s="1">
        <f>VLOOKUP(D80, SURVLOOKUP!$A:$Q, 5, FALSE)</f>
        <v>44040</v>
      </c>
      <c r="K80" s="1">
        <f>VLOOKUP(D80, SURVLOOKUP!$A:$Q, 6, FALSE)</f>
        <v>44082</v>
      </c>
      <c r="L80" s="1">
        <f>VLOOKUP(D80, SURVLOOKUP!$A:$Q, 7, FALSE)</f>
        <v>44120</v>
      </c>
      <c r="M80" s="1">
        <f>VLOOKUP(D80, SURVLOOKUP!$A:$Q, 8, FALSE)</f>
        <v>44074</v>
      </c>
      <c r="N80" s="1">
        <f>VLOOKUP(D80, SURVLOOKUP!$A:$Q, 9, FALSE)</f>
        <v>44179</v>
      </c>
      <c r="O80" s="1" t="str">
        <f>VLOOKUP(D80, SURVLOOKUP!$A:$Q, 10, FALSE)</f>
        <v>NA</v>
      </c>
      <c r="P80" s="1">
        <f>VLOOKUP(D80, OLDSURVLOOKUP!$A:$AA, 19, FALSE)</f>
        <v>44335</v>
      </c>
      <c r="Q80" s="1">
        <f>VLOOKUP(D80, SURVLOOKUP!$A:$Q, 11, FALSE)</f>
        <v>45630</v>
      </c>
      <c r="R80" s="1">
        <f>VLOOKUP(D80, OLDSURVLOOKUP!$A:$AA, 20, FALSE)</f>
        <v>44259</v>
      </c>
      <c r="S80" s="1">
        <f>VLOOKUP(D80, SURVLOOKUP!$A:$Q, 12, FALSE)</f>
        <v>44259</v>
      </c>
      <c r="T80" s="1"/>
      <c r="U80" s="1"/>
      <c r="V80">
        <f>_xlfn.XLOOKUP(D80, OLDSURVLOOKUP!$A:$A, OLDSURVLOOKUP!V:V)</f>
        <v>1</v>
      </c>
      <c r="W80">
        <f>VLOOKUP(D80, SURVLOOKUP!$A:$Q, 14, FALSE)</f>
        <v>1</v>
      </c>
      <c r="X80">
        <f>_xlfn.XLOOKUP(D80, OLDSURVLOOKUP!$A:$A, OLDSURVLOOKUP!X:X)</f>
        <v>0</v>
      </c>
      <c r="Y80">
        <f>VLOOKUP(D80, SURVLOOKUP!$A:$Q, 15, FALSE)</f>
        <v>0</v>
      </c>
      <c r="Z80">
        <f t="shared" si="24"/>
        <v>7.354838709677419</v>
      </c>
      <c r="AA80">
        <f t="shared" si="25"/>
        <v>7.354838709677419</v>
      </c>
      <c r="AB80">
        <f t="shared" si="26"/>
        <v>9.9032258064516121</v>
      </c>
      <c r="AC80">
        <f t="shared" si="27"/>
        <v>52.41935483870968</v>
      </c>
      <c r="AD80">
        <f t="shared" si="28"/>
        <v>7.129032258064516</v>
      </c>
      <c r="AE80">
        <f t="shared" si="35"/>
        <v>7.129032258064516</v>
      </c>
      <c r="AF80">
        <f t="shared" si="36"/>
        <v>9.67741935483871</v>
      </c>
      <c r="AG80">
        <f t="shared" si="37"/>
        <v>52.193548387096776</v>
      </c>
      <c r="AH80">
        <f t="shared" si="29"/>
        <v>6.032258064516129</v>
      </c>
      <c r="AI80">
        <f t="shared" si="30"/>
        <v>6.032258064516129</v>
      </c>
      <c r="AJ80">
        <f t="shared" si="31"/>
        <v>8.5806451612903221</v>
      </c>
      <c r="AK80">
        <f t="shared" si="32"/>
        <v>51.096774193548384</v>
      </c>
      <c r="AL80">
        <f t="shared" si="34"/>
        <v>2</v>
      </c>
      <c r="AM80" t="str">
        <f t="shared" si="23"/>
        <v>MD Anderson</v>
      </c>
      <c r="AN80">
        <v>0</v>
      </c>
      <c r="AO80">
        <v>31</v>
      </c>
      <c r="AP80">
        <f>VLOOKUP(D80, METADATALOOKUP!$A:$AI, 7, FALSE)</f>
        <v>66</v>
      </c>
      <c r="AQ80" t="str">
        <f>VLOOKUP(D80, METADATALOOKUP!$A:$AI, 8, FALSE)</f>
        <v>Male</v>
      </c>
      <c r="AR80" t="str">
        <f>VLOOKUP(D80, METADATALOOKUP!$A:$AI, 9, FALSE)</f>
        <v>White</v>
      </c>
      <c r="AS80" t="str">
        <f>VLOOKUP(D80, METADATALOOKUP!$A:$AI, 11, FALSE)</f>
        <v>No</v>
      </c>
      <c r="AT80" t="str">
        <f>VLOOKUP(D80, METADATALOOKUP!$A:$AI, 10, FALSE)</f>
        <v>Non-Hispanic</v>
      </c>
      <c r="AU80" t="str">
        <f>VLOOKUP(D80, METADATALOOKUP!$A:$AI, 12, FALSE)</f>
        <v>No</v>
      </c>
      <c r="AV80" t="str">
        <f>VLOOKUP(D80, METADATALOOKUP!$A:$AI, 14, FALSE)</f>
        <v>T4bN3</v>
      </c>
      <c r="AW80" t="str">
        <f>VLOOKUP(D80, METADATALOOKUP!$A:$AI, 6, FALSE)</f>
        <v xml:space="preserve">High </v>
      </c>
      <c r="AX80" t="str">
        <f>VLOOKUP(D80, METADATALOOKUP!$A:$AI, 19, FALSE)</f>
        <v>No</v>
      </c>
      <c r="AY80">
        <f>LOOKUP(D80, SURVLOOKUP!$A:$A, SURVLOOKUP!$P:$P)</f>
        <v>0</v>
      </c>
      <c r="AZ80" s="46">
        <v>0</v>
      </c>
      <c r="BA80" t="str">
        <f>TEXT(VLOOKUP(D80, METADATALOOKUP!$A:$AI, 34, FALSE), "@")</f>
        <v>&lt;10%</v>
      </c>
      <c r="BB80" s="47" t="str">
        <f t="shared" si="33"/>
        <v>Non-Responder</v>
      </c>
      <c r="BC80">
        <v>0.64200000000000002</v>
      </c>
      <c r="BE80">
        <v>24</v>
      </c>
      <c r="BF80">
        <v>1.5576319999999999</v>
      </c>
      <c r="BG80">
        <v>48.442369999999997</v>
      </c>
      <c r="BH80">
        <v>14.2</v>
      </c>
      <c r="BI80">
        <v>1.7605630000000001</v>
      </c>
      <c r="BJ80" t="s">
        <v>133</v>
      </c>
      <c r="BK80" t="s">
        <v>134</v>
      </c>
      <c r="BL80" t="s">
        <v>135</v>
      </c>
    </row>
    <row r="81" spans="1:64" x14ac:dyDescent="0.2">
      <c r="A81" s="3" t="s">
        <v>348</v>
      </c>
      <c r="B81" t="str">
        <f>VLOOKUP(A81, IDSLOOKUP!C:E, 2, FALSE)</f>
        <v>Adj Wk 1</v>
      </c>
      <c r="C81" t="str">
        <f>VLOOKUP(D81, METADATALOOKUP!$A:$AI, 13, FALSE)</f>
        <v>Oropharynx</v>
      </c>
      <c r="D81" t="str">
        <f>VLOOKUP(A81, IDSLOOKUP!C:E, 3, FALSE)</f>
        <v>HN06-18</v>
      </c>
      <c r="E81" s="48">
        <f>VLOOKUP(A81,CFDNALOOKUP!AG:AI,2,FALSE)</f>
        <v>44092</v>
      </c>
      <c r="F81" s="48">
        <f>VLOOKUP(A81,CFDNALOOKUP!AG:AI,3,FALSE)</f>
        <v>44180</v>
      </c>
      <c r="G81" s="1">
        <f>VLOOKUP(D81, SURVLOOKUP!$A:$Q, 2, FALSE)</f>
        <v>44008</v>
      </c>
      <c r="H81" s="1">
        <f>VLOOKUP(D81, SURVLOOKUP!$A:$Q, 3, FALSE)</f>
        <v>44022</v>
      </c>
      <c r="I81" s="1">
        <f>VLOOKUP(D81, SURVLOOKUP!$A:$Q, 4, FALSE)</f>
        <v>44033</v>
      </c>
      <c r="J81" s="1">
        <f>VLOOKUP(D81, SURVLOOKUP!$A:$Q, 5, FALSE)</f>
        <v>44040</v>
      </c>
      <c r="K81" s="1">
        <f>VLOOKUP(D81, SURVLOOKUP!$A:$Q, 6, FALSE)</f>
        <v>44082</v>
      </c>
      <c r="L81" s="1">
        <f>VLOOKUP(D81, SURVLOOKUP!$A:$Q, 7, FALSE)</f>
        <v>44120</v>
      </c>
      <c r="M81" s="1">
        <f>VLOOKUP(D81, SURVLOOKUP!$A:$Q, 8, FALSE)</f>
        <v>44074</v>
      </c>
      <c r="N81" s="1">
        <f>VLOOKUP(D81, SURVLOOKUP!$A:$Q, 9, FALSE)</f>
        <v>44179</v>
      </c>
      <c r="O81" s="1" t="str">
        <f>VLOOKUP(D81, SURVLOOKUP!$A:$Q, 10, FALSE)</f>
        <v>NA</v>
      </c>
      <c r="P81" s="1">
        <f>VLOOKUP(D81, OLDSURVLOOKUP!$A:$AA, 19, FALSE)</f>
        <v>44335</v>
      </c>
      <c r="Q81" s="1">
        <f>VLOOKUP(D81, SURVLOOKUP!$A:$Q, 11, FALSE)</f>
        <v>45630</v>
      </c>
      <c r="R81" s="1">
        <f>VLOOKUP(D81, OLDSURVLOOKUP!$A:$AA, 20, FALSE)</f>
        <v>44259</v>
      </c>
      <c r="S81" s="1">
        <f>VLOOKUP(D81, SURVLOOKUP!$A:$Q, 12, FALSE)</f>
        <v>44259</v>
      </c>
      <c r="T81" s="1"/>
      <c r="U81" s="1"/>
      <c r="V81">
        <f>_xlfn.XLOOKUP(D81, OLDSURVLOOKUP!$A:$A, OLDSURVLOOKUP!V:V)</f>
        <v>1</v>
      </c>
      <c r="W81">
        <f>VLOOKUP(D81, SURVLOOKUP!$A:$Q, 14, FALSE)</f>
        <v>1</v>
      </c>
      <c r="X81">
        <f>_xlfn.XLOOKUP(D81, OLDSURVLOOKUP!$A:$A, OLDSURVLOOKUP!X:X)</f>
        <v>0</v>
      </c>
      <c r="Y81">
        <f>VLOOKUP(D81, SURVLOOKUP!$A:$Q, 15, FALSE)</f>
        <v>0</v>
      </c>
      <c r="Z81">
        <f t="shared" si="24"/>
        <v>7.354838709677419</v>
      </c>
      <c r="AA81">
        <f t="shared" si="25"/>
        <v>7.354838709677419</v>
      </c>
      <c r="AB81">
        <f t="shared" si="26"/>
        <v>9.9032258064516121</v>
      </c>
      <c r="AC81">
        <f t="shared" si="27"/>
        <v>52.41935483870968</v>
      </c>
      <c r="AD81">
        <f t="shared" si="28"/>
        <v>7.129032258064516</v>
      </c>
      <c r="AE81">
        <f t="shared" si="35"/>
        <v>7.129032258064516</v>
      </c>
      <c r="AF81">
        <f t="shared" si="36"/>
        <v>9.67741935483871</v>
      </c>
      <c r="AG81">
        <f t="shared" si="37"/>
        <v>52.193548387096776</v>
      </c>
      <c r="AH81">
        <f t="shared" si="29"/>
        <v>6.032258064516129</v>
      </c>
      <c r="AI81">
        <f t="shared" si="30"/>
        <v>6.032258064516129</v>
      </c>
      <c r="AJ81">
        <f t="shared" si="31"/>
        <v>8.5806451612903221</v>
      </c>
      <c r="AK81">
        <f t="shared" si="32"/>
        <v>51.096774193548384</v>
      </c>
      <c r="AL81">
        <f t="shared" si="34"/>
        <v>2</v>
      </c>
      <c r="AM81" t="str">
        <f t="shared" si="23"/>
        <v>MD Anderson</v>
      </c>
      <c r="AN81">
        <v>0</v>
      </c>
      <c r="AO81">
        <v>31</v>
      </c>
      <c r="AP81">
        <f>VLOOKUP(D81, METADATALOOKUP!$A:$AI, 7, FALSE)</f>
        <v>66</v>
      </c>
      <c r="AQ81" t="str">
        <f>VLOOKUP(D81, METADATALOOKUP!$A:$AI, 8, FALSE)</f>
        <v>Male</v>
      </c>
      <c r="AR81" t="str">
        <f>VLOOKUP(D81, METADATALOOKUP!$A:$AI, 9, FALSE)</f>
        <v>White</v>
      </c>
      <c r="AS81" t="str">
        <f>VLOOKUP(D81, METADATALOOKUP!$A:$AI, 11, FALSE)</f>
        <v>No</v>
      </c>
      <c r="AT81" t="str">
        <f>VLOOKUP(D81, METADATALOOKUP!$A:$AI, 10, FALSE)</f>
        <v>Non-Hispanic</v>
      </c>
      <c r="AU81" t="str">
        <f>VLOOKUP(D81, METADATALOOKUP!$A:$AI, 12, FALSE)</f>
        <v>No</v>
      </c>
      <c r="AV81" t="str">
        <f>VLOOKUP(D81, METADATALOOKUP!$A:$AI, 14, FALSE)</f>
        <v>T4bN3</v>
      </c>
      <c r="AW81" t="str">
        <f>VLOOKUP(D81, METADATALOOKUP!$A:$AI, 6, FALSE)</f>
        <v xml:space="preserve">High </v>
      </c>
      <c r="AX81" t="str">
        <f>VLOOKUP(D81, METADATALOOKUP!$A:$AI, 19, FALSE)</f>
        <v>No</v>
      </c>
      <c r="AY81">
        <f>LOOKUP(D81, SURVLOOKUP!$A:$A, SURVLOOKUP!$P:$P)</f>
        <v>0</v>
      </c>
      <c r="AZ81" s="46">
        <v>0</v>
      </c>
      <c r="BA81" t="str">
        <f>TEXT(VLOOKUP(D81, METADATALOOKUP!$A:$AI, 34, FALSE), "@")</f>
        <v>&lt;10%</v>
      </c>
      <c r="BB81" s="47" t="str">
        <f t="shared" si="33"/>
        <v>Non-Responder</v>
      </c>
      <c r="BC81">
        <v>1.77</v>
      </c>
      <c r="BE81">
        <v>24</v>
      </c>
      <c r="BF81">
        <v>0.56497200000000003</v>
      </c>
      <c r="BG81">
        <v>49.435029999999998</v>
      </c>
      <c r="BH81">
        <v>10.5</v>
      </c>
      <c r="BI81">
        <v>2.3809520000000002</v>
      </c>
      <c r="BJ81" t="s">
        <v>268</v>
      </c>
      <c r="BK81" t="s">
        <v>269</v>
      </c>
      <c r="BL81" t="s">
        <v>270</v>
      </c>
    </row>
    <row r="82" spans="1:64" x14ac:dyDescent="0.2">
      <c r="A82" s="3" t="s">
        <v>349</v>
      </c>
      <c r="B82" t="str">
        <f>VLOOKUP(A82, IDSLOOKUP!C:E, 2, FALSE)</f>
        <v>Screen</v>
      </c>
      <c r="C82" t="str">
        <f>VLOOKUP(D82, METADATALOOKUP!$A:$AI, 13, FALSE)</f>
        <v>Oral Cavity</v>
      </c>
      <c r="D82" t="str">
        <f>VLOOKUP(A82, IDSLOOKUP!C:E, 3, FALSE)</f>
        <v>HN06-19</v>
      </c>
      <c r="E82" s="48">
        <f>VLOOKUP(A82,CFDNALOOKUP!AG:AI,2,FALSE)</f>
        <v>44092</v>
      </c>
      <c r="F82" s="48">
        <f>VLOOKUP(A82,CFDNALOOKUP!AG:AI,3,FALSE)</f>
        <v>44179</v>
      </c>
      <c r="G82" s="1">
        <f>VLOOKUP(D82, SURVLOOKUP!$A:$Q, 2, FALSE)</f>
        <v>43985</v>
      </c>
      <c r="H82" s="1">
        <f>VLOOKUP(D82, SURVLOOKUP!$A:$Q, 3, FALSE)</f>
        <v>44036</v>
      </c>
      <c r="I82" s="1">
        <f>VLOOKUP(D82, SURVLOOKUP!$A:$Q, 4, FALSE)</f>
        <v>44041</v>
      </c>
      <c r="J82" s="1">
        <f>VLOOKUP(D82, SURVLOOKUP!$A:$Q, 5, FALSE)</f>
        <v>44048</v>
      </c>
      <c r="K82" s="1" t="str">
        <f>VLOOKUP(D82, SURVLOOKUP!$A:$Q, 6, FALSE)</f>
        <v>NA</v>
      </c>
      <c r="L82" s="1" t="str">
        <f>VLOOKUP(D82, SURVLOOKUP!$A:$Q, 7, FALSE)</f>
        <v>NA</v>
      </c>
      <c r="M82" s="1">
        <f>VLOOKUP(D82, SURVLOOKUP!$A:$Q, 8, FALSE)</f>
        <v>44109</v>
      </c>
      <c r="N82" s="1">
        <f>VLOOKUP(D82, SURVLOOKUP!$A:$Q, 9, FALSE)</f>
        <v>44224</v>
      </c>
      <c r="O82" s="1" t="str">
        <f>VLOOKUP(D82, SURVLOOKUP!$A:$Q, 10, FALSE)</f>
        <v>NA</v>
      </c>
      <c r="P82" s="1">
        <f>VLOOKUP(D82, OLDSURVLOOKUP!$A:$AA, 19, FALSE)</f>
        <v>44351</v>
      </c>
      <c r="Q82" s="1">
        <f>VLOOKUP(D82, SURVLOOKUP!$A:$Q, 11, FALSE)</f>
        <v>45501</v>
      </c>
      <c r="R82" s="1"/>
      <c r="S82" s="1"/>
      <c r="T82" s="1"/>
      <c r="U82" s="1"/>
      <c r="V82">
        <f>_xlfn.XLOOKUP(D82, OLDSURVLOOKUP!$A:$A, OLDSURVLOOKUP!V:V)</f>
        <v>0</v>
      </c>
      <c r="W82">
        <f>VLOOKUP(D82, SURVLOOKUP!$A:$Q, 14, FALSE)</f>
        <v>0</v>
      </c>
      <c r="X82">
        <f>_xlfn.XLOOKUP(D82, OLDSURVLOOKUP!$A:$A, OLDSURVLOOKUP!X:X)</f>
        <v>0</v>
      </c>
      <c r="Y82">
        <f>VLOOKUP(D82, SURVLOOKUP!$A:$Q, 15, FALSE)</f>
        <v>0</v>
      </c>
      <c r="Z82">
        <f t="shared" si="24"/>
        <v>10.193548387096774</v>
      </c>
      <c r="AA82">
        <f t="shared" si="25"/>
        <v>47.935483870967744</v>
      </c>
      <c r="AB82">
        <f t="shared" si="26"/>
        <v>10.193548387096774</v>
      </c>
      <c r="AC82">
        <f t="shared" si="27"/>
        <v>47.935483870967744</v>
      </c>
      <c r="AD82">
        <f t="shared" si="28"/>
        <v>9.9677419354838719</v>
      </c>
      <c r="AE82">
        <f t="shared" si="35"/>
        <v>47.741935483870968</v>
      </c>
      <c r="AF82">
        <f t="shared" si="36"/>
        <v>9.9677419354838719</v>
      </c>
      <c r="AG82">
        <f t="shared" si="37"/>
        <v>47.741935483870968</v>
      </c>
      <c r="AH82">
        <f t="shared" si="29"/>
        <v>7.967741935483871</v>
      </c>
      <c r="AI82">
        <f t="shared" si="30"/>
        <v>45.741935483870968</v>
      </c>
      <c r="AJ82">
        <f t="shared" si="31"/>
        <v>7.967741935483871</v>
      </c>
      <c r="AK82">
        <f t="shared" si="32"/>
        <v>45.741935483870968</v>
      </c>
      <c r="AL82">
        <f t="shared" si="34"/>
        <v>2</v>
      </c>
      <c r="AM82" t="str">
        <f t="shared" si="23"/>
        <v>MD Anderson</v>
      </c>
      <c r="AN82">
        <v>0</v>
      </c>
      <c r="AO82">
        <v>32</v>
      </c>
      <c r="AP82">
        <f>VLOOKUP(D82, METADATALOOKUP!$A:$AI, 7, FALSE)</f>
        <v>72</v>
      </c>
      <c r="AQ82" t="str">
        <f>VLOOKUP(D82, METADATALOOKUP!$A:$AI, 8, FALSE)</f>
        <v>Female</v>
      </c>
      <c r="AR82" t="str">
        <f>VLOOKUP(D82, METADATALOOKUP!$A:$AI, 9, FALSE)</f>
        <v>White</v>
      </c>
      <c r="AS82" t="str">
        <f>VLOOKUP(D82, METADATALOOKUP!$A:$AI, 11, FALSE)</f>
        <v>Yes</v>
      </c>
      <c r="AT82" t="str">
        <f>VLOOKUP(D82, METADATALOOKUP!$A:$AI, 10, FALSE)</f>
        <v>Non-Hispanic</v>
      </c>
      <c r="AU82" t="str">
        <f>VLOOKUP(D82, METADATALOOKUP!$A:$AI, 12, FALSE)</f>
        <v>No</v>
      </c>
      <c r="AV82" t="str">
        <f>VLOOKUP(D82, METADATALOOKUP!$A:$AI, 14, FALSE)</f>
        <v>T4aN2cM0</v>
      </c>
      <c r="AW82" t="str">
        <f>VLOOKUP(D82, METADATALOOKUP!$A:$AI, 6, FALSE)</f>
        <v xml:space="preserve">High </v>
      </c>
      <c r="AX82" t="str">
        <f>VLOOKUP(D82, METADATALOOKUP!$A:$AI, 19, FALSE)</f>
        <v>Unknown</v>
      </c>
      <c r="AY82">
        <f>LOOKUP(D82, SURVLOOKUP!$A:$A, SURVLOOKUP!$P:$P)</f>
        <v>2</v>
      </c>
      <c r="AZ82" s="46">
        <v>0</v>
      </c>
      <c r="BA82" t="str">
        <f>TEXT(VLOOKUP(D82, METADATALOOKUP!$A:$AI, 34, FALSE), "@")</f>
        <v>&lt;10%</v>
      </c>
      <c r="BB82" s="47" t="str">
        <f t="shared" si="33"/>
        <v>Non-Responder</v>
      </c>
      <c r="BC82">
        <v>0.79800000000000004</v>
      </c>
      <c r="BE82">
        <v>24</v>
      </c>
      <c r="BF82">
        <v>1.2531330000000001</v>
      </c>
      <c r="BG82">
        <v>48.746870000000001</v>
      </c>
      <c r="BH82">
        <v>31.4</v>
      </c>
      <c r="BI82">
        <v>0.79617800000000005</v>
      </c>
      <c r="BJ82" t="s">
        <v>249</v>
      </c>
      <c r="BK82" t="s">
        <v>250</v>
      </c>
      <c r="BL82" t="s">
        <v>251</v>
      </c>
    </row>
    <row r="83" spans="1:64" x14ac:dyDescent="0.2">
      <c r="A83" s="3" t="s">
        <v>351</v>
      </c>
      <c r="B83" t="str">
        <f>VLOOKUP(A83, IDSLOOKUP!C:E, 2, FALSE)</f>
        <v>Day 0</v>
      </c>
      <c r="C83" t="str">
        <f>VLOOKUP(D83, METADATALOOKUP!$A:$AI, 13, FALSE)</f>
        <v>Oral Cavity</v>
      </c>
      <c r="D83" t="str">
        <f>VLOOKUP(A83, IDSLOOKUP!C:E, 3, FALSE)</f>
        <v>HN06-19</v>
      </c>
      <c r="E83" s="48">
        <f>VLOOKUP(A83,CFDNALOOKUP!AG:AI,2,FALSE)</f>
        <v>44092</v>
      </c>
      <c r="F83" s="48">
        <f>VLOOKUP(A83,CFDNALOOKUP!AG:AI,3,FALSE)</f>
        <v>44180</v>
      </c>
      <c r="G83" s="1">
        <f>VLOOKUP(D83, SURVLOOKUP!$A:$Q, 2, FALSE)</f>
        <v>43985</v>
      </c>
      <c r="H83" s="1">
        <f>VLOOKUP(D83, SURVLOOKUP!$A:$Q, 3, FALSE)</f>
        <v>44036</v>
      </c>
      <c r="I83" s="1">
        <f>VLOOKUP(D83, SURVLOOKUP!$A:$Q, 4, FALSE)</f>
        <v>44041</v>
      </c>
      <c r="J83" s="1">
        <f>VLOOKUP(D83, SURVLOOKUP!$A:$Q, 5, FALSE)</f>
        <v>44048</v>
      </c>
      <c r="K83" s="1" t="str">
        <f>VLOOKUP(D83, SURVLOOKUP!$A:$Q, 6, FALSE)</f>
        <v>NA</v>
      </c>
      <c r="L83" s="1" t="str">
        <f>VLOOKUP(D83, SURVLOOKUP!$A:$Q, 7, FALSE)</f>
        <v>NA</v>
      </c>
      <c r="M83" s="1">
        <f>VLOOKUP(D83, SURVLOOKUP!$A:$Q, 8, FALSE)</f>
        <v>44109</v>
      </c>
      <c r="N83" s="1">
        <f>VLOOKUP(D83, SURVLOOKUP!$A:$Q, 9, FALSE)</f>
        <v>44224</v>
      </c>
      <c r="O83" s="1" t="str">
        <f>VLOOKUP(D83, SURVLOOKUP!$A:$Q, 10, FALSE)</f>
        <v>NA</v>
      </c>
      <c r="P83" s="1">
        <f>VLOOKUP(D83, OLDSURVLOOKUP!$A:$AA, 19, FALSE)</f>
        <v>44351</v>
      </c>
      <c r="Q83" s="1">
        <f>VLOOKUP(D83, SURVLOOKUP!$A:$Q, 11, FALSE)</f>
        <v>45501</v>
      </c>
      <c r="R83" s="1"/>
      <c r="S83" s="1"/>
      <c r="T83" s="1"/>
      <c r="U83" s="1"/>
      <c r="V83">
        <f>_xlfn.XLOOKUP(D83, OLDSURVLOOKUP!$A:$A, OLDSURVLOOKUP!V:V)</f>
        <v>0</v>
      </c>
      <c r="W83">
        <f>VLOOKUP(D83, SURVLOOKUP!$A:$Q, 14, FALSE)</f>
        <v>0</v>
      </c>
      <c r="X83">
        <f>_xlfn.XLOOKUP(D83, OLDSURVLOOKUP!$A:$A, OLDSURVLOOKUP!X:X)</f>
        <v>0</v>
      </c>
      <c r="Y83">
        <f>VLOOKUP(D83, SURVLOOKUP!$A:$Q, 15, FALSE)</f>
        <v>0</v>
      </c>
      <c r="Z83">
        <f t="shared" si="24"/>
        <v>10.193548387096774</v>
      </c>
      <c r="AA83">
        <f t="shared" si="25"/>
        <v>47.935483870967744</v>
      </c>
      <c r="AB83">
        <f t="shared" si="26"/>
        <v>10.193548387096774</v>
      </c>
      <c r="AC83">
        <f t="shared" si="27"/>
        <v>47.935483870967744</v>
      </c>
      <c r="AD83">
        <f t="shared" si="28"/>
        <v>9.9677419354838719</v>
      </c>
      <c r="AE83">
        <f t="shared" si="35"/>
        <v>47.741935483870968</v>
      </c>
      <c r="AF83">
        <f t="shared" si="36"/>
        <v>9.9677419354838719</v>
      </c>
      <c r="AG83">
        <f t="shared" si="37"/>
        <v>47.741935483870968</v>
      </c>
      <c r="AH83">
        <f t="shared" si="29"/>
        <v>7.967741935483871</v>
      </c>
      <c r="AI83">
        <f t="shared" si="30"/>
        <v>45.741935483870968</v>
      </c>
      <c r="AJ83">
        <f t="shared" si="31"/>
        <v>7.967741935483871</v>
      </c>
      <c r="AK83">
        <f t="shared" si="32"/>
        <v>45.741935483870968</v>
      </c>
      <c r="AL83">
        <f t="shared" si="34"/>
        <v>2</v>
      </c>
      <c r="AM83" t="str">
        <f t="shared" si="23"/>
        <v>MD Anderson</v>
      </c>
      <c r="AN83">
        <v>0</v>
      </c>
      <c r="AO83">
        <v>32</v>
      </c>
      <c r="AP83">
        <f>VLOOKUP(D83, METADATALOOKUP!$A:$AI, 7, FALSE)</f>
        <v>72</v>
      </c>
      <c r="AQ83" t="str">
        <f>VLOOKUP(D83, METADATALOOKUP!$A:$AI, 8, FALSE)</f>
        <v>Female</v>
      </c>
      <c r="AR83" t="str">
        <f>VLOOKUP(D83, METADATALOOKUP!$A:$AI, 9, FALSE)</f>
        <v>White</v>
      </c>
      <c r="AS83" t="str">
        <f>VLOOKUP(D83, METADATALOOKUP!$A:$AI, 11, FALSE)</f>
        <v>Yes</v>
      </c>
      <c r="AT83" t="str">
        <f>VLOOKUP(D83, METADATALOOKUP!$A:$AI, 10, FALSE)</f>
        <v>Non-Hispanic</v>
      </c>
      <c r="AU83" t="str">
        <f>VLOOKUP(D83, METADATALOOKUP!$A:$AI, 12, FALSE)</f>
        <v>No</v>
      </c>
      <c r="AV83" t="str">
        <f>VLOOKUP(D83, METADATALOOKUP!$A:$AI, 14, FALSE)</f>
        <v>T4aN2cM0</v>
      </c>
      <c r="AW83" t="str">
        <f>VLOOKUP(D83, METADATALOOKUP!$A:$AI, 6, FALSE)</f>
        <v xml:space="preserve">High </v>
      </c>
      <c r="AX83" t="str">
        <f>VLOOKUP(D83, METADATALOOKUP!$A:$AI, 19, FALSE)</f>
        <v>Unknown</v>
      </c>
      <c r="AY83">
        <f>LOOKUP(D83, SURVLOOKUP!$A:$A, SURVLOOKUP!$P:$P)</f>
        <v>2</v>
      </c>
      <c r="AZ83" s="46">
        <v>0</v>
      </c>
      <c r="BA83" t="str">
        <f>TEXT(VLOOKUP(D83, METADATALOOKUP!$A:$AI, 34, FALSE), "@")</f>
        <v>&lt;10%</v>
      </c>
      <c r="BB83" s="47" t="str">
        <f t="shared" si="33"/>
        <v>Non-Responder</v>
      </c>
      <c r="BC83">
        <v>1.37</v>
      </c>
      <c r="BE83">
        <v>24</v>
      </c>
      <c r="BF83">
        <v>0.72992699999999999</v>
      </c>
      <c r="BG83">
        <v>49.270069999999997</v>
      </c>
      <c r="BH83">
        <v>11.5</v>
      </c>
      <c r="BI83">
        <v>2.1739130000000002</v>
      </c>
      <c r="BJ83" t="s">
        <v>313</v>
      </c>
      <c r="BK83" t="s">
        <v>314</v>
      </c>
      <c r="BL83" t="s">
        <v>315</v>
      </c>
    </row>
    <row r="84" spans="1:64" x14ac:dyDescent="0.2">
      <c r="A84" s="3" t="s">
        <v>352</v>
      </c>
      <c r="B84" t="str">
        <f>VLOOKUP(A84, IDSLOOKUP!C:E, 2, FALSE)</f>
        <v>Screen</v>
      </c>
      <c r="C84" t="str">
        <f>VLOOKUP(D84, METADATALOOKUP!$A:$AI, 13, FALSE)</f>
        <v>Oral Cavity</v>
      </c>
      <c r="D84" t="str">
        <f>VLOOKUP(A84, IDSLOOKUP!C:E, 3, FALSE)</f>
        <v>HN01-02</v>
      </c>
      <c r="E84" s="48">
        <f>VLOOKUP(A84,CFDNALOOKUP!AG:AI,2,FALSE)</f>
        <v>43825</v>
      </c>
      <c r="F84" s="48">
        <f>VLOOKUP(A84,CFDNALOOKUP!AG:AI,3,FALSE)</f>
        <v>43888</v>
      </c>
      <c r="G84" s="1">
        <f>VLOOKUP(D84, SURVLOOKUP!$A:$Q, 2, FALSE)</f>
        <v>42460</v>
      </c>
      <c r="H84" s="1">
        <f>VLOOKUP(D84, SURVLOOKUP!$A:$Q, 3, FALSE)</f>
        <v>42485</v>
      </c>
      <c r="I84" s="1">
        <f>VLOOKUP(D84, SURVLOOKUP!$A:$Q, 4, FALSE)</f>
        <v>42486</v>
      </c>
      <c r="J84" s="1">
        <f>VLOOKUP(D84, SURVLOOKUP!$A:$Q, 5, FALSE)</f>
        <v>42493</v>
      </c>
      <c r="K84" s="1">
        <f>VLOOKUP(D84, SURVLOOKUP!$A:$Q, 6, FALSE)</f>
        <v>42537</v>
      </c>
      <c r="L84" s="1">
        <f>VLOOKUP(D84, SURVLOOKUP!$A:$Q, 7, FALSE)</f>
        <v>42580</v>
      </c>
      <c r="M84" s="1">
        <f>VLOOKUP(D84, SURVLOOKUP!$A:$Q, 8, FALSE)</f>
        <v>42530</v>
      </c>
      <c r="N84" s="1">
        <f>VLOOKUP(D84, SURVLOOKUP!$A:$Q, 9, FALSE)</f>
        <v>42634</v>
      </c>
      <c r="O84" s="1" t="str">
        <f>VLOOKUP(D84, SURVLOOKUP!$A:$Q, 10, FALSE)</f>
        <v>NA</v>
      </c>
      <c r="P84" s="1">
        <f>VLOOKUP(D84, OLDSURVLOOKUP!$A:$AA, 19, FALSE)</f>
        <v>44295</v>
      </c>
      <c r="Q84" s="1">
        <f>VLOOKUP(D84, SURVLOOKUP!$A:$Q, 11, FALSE)</f>
        <v>44722</v>
      </c>
      <c r="R84" s="1">
        <f>VLOOKUP(D84, OLDSURVLOOKUP!$A:$AA, 20, FALSE)</f>
        <v>43950</v>
      </c>
      <c r="S84" s="1">
        <f>VLOOKUP(D84, SURVLOOKUP!$A:$Q, 12, FALSE)</f>
        <v>43950</v>
      </c>
      <c r="T84" s="1"/>
      <c r="U84" s="1"/>
      <c r="V84">
        <f>_xlfn.XLOOKUP(D84, OLDSURVLOOKUP!$A:$A, OLDSURVLOOKUP!V:V)</f>
        <v>1</v>
      </c>
      <c r="W84">
        <f>VLOOKUP(D84, SURVLOOKUP!$A:$Q, 14, FALSE)</f>
        <v>1</v>
      </c>
      <c r="X84">
        <f>_xlfn.XLOOKUP(D84, OLDSURVLOOKUP!$A:$A, OLDSURVLOOKUP!X:X)</f>
        <v>0</v>
      </c>
      <c r="Y84">
        <f>VLOOKUP(D84, SURVLOOKUP!$A:$Q, 15, FALSE)</f>
        <v>0</v>
      </c>
      <c r="Z84">
        <f t="shared" si="24"/>
        <v>48.1</v>
      </c>
      <c r="AA84">
        <f t="shared" si="25"/>
        <v>48.1</v>
      </c>
      <c r="AB84">
        <f t="shared" si="26"/>
        <v>59.466666666666669</v>
      </c>
      <c r="AC84">
        <f t="shared" si="27"/>
        <v>73.5</v>
      </c>
      <c r="AD84">
        <f t="shared" si="28"/>
        <v>47.838709677419352</v>
      </c>
      <c r="AE84">
        <f t="shared" si="35"/>
        <v>47.838709677419352</v>
      </c>
      <c r="AF84">
        <f t="shared" si="36"/>
        <v>59.193548387096776</v>
      </c>
      <c r="AG84">
        <f t="shared" si="37"/>
        <v>73.225806451612897</v>
      </c>
      <c r="AH84">
        <f t="shared" si="29"/>
        <v>46.666666666666664</v>
      </c>
      <c r="AI84">
        <f t="shared" si="30"/>
        <v>46.666666666666664</v>
      </c>
      <c r="AJ84">
        <f t="shared" si="31"/>
        <v>58</v>
      </c>
      <c r="AK84">
        <f t="shared" si="32"/>
        <v>72.033333333333331</v>
      </c>
      <c r="AL84">
        <f t="shared" si="34"/>
        <v>1</v>
      </c>
      <c r="AM84" t="str">
        <f t="shared" si="23"/>
        <v>University of Cincinnati</v>
      </c>
      <c r="AN84">
        <v>0</v>
      </c>
      <c r="AO84">
        <v>33</v>
      </c>
      <c r="AP84">
        <f>VLOOKUP(D84, METADATALOOKUP!$A:$AI, 7, FALSE)</f>
        <v>55</v>
      </c>
      <c r="AQ84" t="str">
        <f>VLOOKUP(D84, METADATALOOKUP!$A:$AI, 8, FALSE)</f>
        <v>Female</v>
      </c>
      <c r="AR84" t="str">
        <f>VLOOKUP(D84, METADATALOOKUP!$A:$AI, 9, FALSE)</f>
        <v>White</v>
      </c>
      <c r="AS84" t="str">
        <f>VLOOKUP(D84, METADATALOOKUP!$A:$AI, 11, FALSE)</f>
        <v>No</v>
      </c>
      <c r="AT84" t="str">
        <f>VLOOKUP(D84, METADATALOOKUP!$A:$AI, 10, FALSE)</f>
        <v>Non-Hispanic</v>
      </c>
      <c r="AU84" t="str">
        <f>VLOOKUP(D84, METADATALOOKUP!$A:$AI, 12, FALSE)</f>
        <v>No</v>
      </c>
      <c r="AV84" t="str">
        <f>VLOOKUP(D84, METADATALOOKUP!$A:$AI, 14, FALSE)</f>
        <v>T3N2bM0</v>
      </c>
      <c r="AW84" t="str">
        <f>VLOOKUP(D84, METADATALOOKUP!$A:$AI, 6, FALSE)</f>
        <v>High</v>
      </c>
      <c r="AX84" t="str">
        <f>VLOOKUP(D84, METADATALOOKUP!$A:$AI, 19, FALSE)</f>
        <v>No</v>
      </c>
      <c r="AY84">
        <f>LOOKUP(D84, SURVLOOKUP!$A:$A, SURVLOOKUP!$P:$P)</f>
        <v>2</v>
      </c>
      <c r="AZ84" s="46">
        <v>9</v>
      </c>
      <c r="BA84" t="str">
        <f>TEXT(VLOOKUP(D84, METADATALOOKUP!$A:$AI, 34, FALSE), "@")</f>
        <v>0.9</v>
      </c>
      <c r="BB84" s="47" t="str">
        <f t="shared" si="33"/>
        <v>Responder</v>
      </c>
      <c r="BC84">
        <v>0.124</v>
      </c>
      <c r="BD84" s="1">
        <v>42485</v>
      </c>
    </row>
    <row r="85" spans="1:64" x14ac:dyDescent="0.2">
      <c r="A85" s="3" t="s">
        <v>355</v>
      </c>
      <c r="B85" t="str">
        <f>VLOOKUP(A85, IDSLOOKUP!C:E, 2, FALSE)</f>
        <v>Day 0</v>
      </c>
      <c r="C85" t="str">
        <f>VLOOKUP(D85, METADATALOOKUP!$A:$AI, 13, FALSE)</f>
        <v>Oral Cavity</v>
      </c>
      <c r="D85" t="str">
        <f>VLOOKUP(A85, IDSLOOKUP!C:E, 3, FALSE)</f>
        <v>HN01-02</v>
      </c>
      <c r="E85" s="48">
        <f>VLOOKUP(A85,CFDNALOOKUP!AG:AI,2,FALSE)</f>
        <v>43825</v>
      </c>
      <c r="F85" s="48">
        <f>VLOOKUP(A85,CFDNALOOKUP!AG:AI,3,FALSE)</f>
        <v>43901</v>
      </c>
      <c r="G85" s="1">
        <f>VLOOKUP(D85, SURVLOOKUP!$A:$Q, 2, FALSE)</f>
        <v>42460</v>
      </c>
      <c r="H85" s="1">
        <f>VLOOKUP(D85, SURVLOOKUP!$A:$Q, 3, FALSE)</f>
        <v>42485</v>
      </c>
      <c r="I85" s="1">
        <f>VLOOKUP(D85, SURVLOOKUP!$A:$Q, 4, FALSE)</f>
        <v>42486</v>
      </c>
      <c r="J85" s="1">
        <f>VLOOKUP(D85, SURVLOOKUP!$A:$Q, 5, FALSE)</f>
        <v>42493</v>
      </c>
      <c r="K85" s="1">
        <f>VLOOKUP(D85, SURVLOOKUP!$A:$Q, 6, FALSE)</f>
        <v>42537</v>
      </c>
      <c r="L85" s="1">
        <f>VLOOKUP(D85, SURVLOOKUP!$A:$Q, 7, FALSE)</f>
        <v>42580</v>
      </c>
      <c r="M85" s="1">
        <f>VLOOKUP(D85, SURVLOOKUP!$A:$Q, 8, FALSE)</f>
        <v>42530</v>
      </c>
      <c r="N85" s="1">
        <f>VLOOKUP(D85, SURVLOOKUP!$A:$Q, 9, FALSE)</f>
        <v>42634</v>
      </c>
      <c r="O85" s="1" t="str">
        <f>VLOOKUP(D85, SURVLOOKUP!$A:$Q, 10, FALSE)</f>
        <v>NA</v>
      </c>
      <c r="P85" s="1">
        <f>VLOOKUP(D85, OLDSURVLOOKUP!$A:$AA, 19, FALSE)</f>
        <v>44295</v>
      </c>
      <c r="Q85" s="1">
        <f>VLOOKUP(D85, SURVLOOKUP!$A:$Q, 11, FALSE)</f>
        <v>44722</v>
      </c>
      <c r="R85" s="1">
        <f>VLOOKUP(D85, OLDSURVLOOKUP!$A:$AA, 20, FALSE)</f>
        <v>43950</v>
      </c>
      <c r="S85" s="1">
        <f>VLOOKUP(D85, SURVLOOKUP!$A:$Q, 12, FALSE)</f>
        <v>43950</v>
      </c>
      <c r="T85" s="1"/>
      <c r="U85" s="1"/>
      <c r="V85">
        <f>_xlfn.XLOOKUP(D85, OLDSURVLOOKUP!$A:$A, OLDSURVLOOKUP!V:V)</f>
        <v>1</v>
      </c>
      <c r="W85">
        <f>VLOOKUP(D85, SURVLOOKUP!$A:$Q, 14, FALSE)</f>
        <v>1</v>
      </c>
      <c r="X85">
        <f>_xlfn.XLOOKUP(D85, OLDSURVLOOKUP!$A:$A, OLDSURVLOOKUP!X:X)</f>
        <v>0</v>
      </c>
      <c r="Y85">
        <f>VLOOKUP(D85, SURVLOOKUP!$A:$Q, 15, FALSE)</f>
        <v>0</v>
      </c>
      <c r="Z85">
        <f t="shared" si="24"/>
        <v>48.1</v>
      </c>
      <c r="AA85">
        <f t="shared" si="25"/>
        <v>48.1</v>
      </c>
      <c r="AB85">
        <f t="shared" si="26"/>
        <v>59.466666666666669</v>
      </c>
      <c r="AC85">
        <f t="shared" si="27"/>
        <v>73.5</v>
      </c>
      <c r="AD85">
        <f t="shared" si="28"/>
        <v>47.838709677419352</v>
      </c>
      <c r="AE85">
        <f t="shared" si="35"/>
        <v>47.838709677419352</v>
      </c>
      <c r="AF85">
        <f t="shared" si="36"/>
        <v>59.193548387096776</v>
      </c>
      <c r="AG85">
        <f t="shared" si="37"/>
        <v>73.225806451612897</v>
      </c>
      <c r="AH85">
        <f t="shared" si="29"/>
        <v>46.666666666666664</v>
      </c>
      <c r="AI85">
        <f t="shared" si="30"/>
        <v>46.666666666666664</v>
      </c>
      <c r="AJ85">
        <f t="shared" si="31"/>
        <v>58</v>
      </c>
      <c r="AK85">
        <f t="shared" si="32"/>
        <v>72.033333333333331</v>
      </c>
      <c r="AL85">
        <f t="shared" si="34"/>
        <v>1</v>
      </c>
      <c r="AM85" t="str">
        <f t="shared" si="23"/>
        <v>University of Cincinnati</v>
      </c>
      <c r="AN85">
        <v>0</v>
      </c>
      <c r="AO85">
        <v>33</v>
      </c>
      <c r="AP85">
        <f>VLOOKUP(D85, METADATALOOKUP!$A:$AI, 7, FALSE)</f>
        <v>55</v>
      </c>
      <c r="AQ85" t="str">
        <f>VLOOKUP(D85, METADATALOOKUP!$A:$AI, 8, FALSE)</f>
        <v>Female</v>
      </c>
      <c r="AR85" t="str">
        <f>VLOOKUP(D85, METADATALOOKUP!$A:$AI, 9, FALSE)</f>
        <v>White</v>
      </c>
      <c r="AS85" t="str">
        <f>VLOOKUP(D85, METADATALOOKUP!$A:$AI, 11, FALSE)</f>
        <v>No</v>
      </c>
      <c r="AT85" t="str">
        <f>VLOOKUP(D85, METADATALOOKUP!$A:$AI, 10, FALSE)</f>
        <v>Non-Hispanic</v>
      </c>
      <c r="AU85" t="str">
        <f>VLOOKUP(D85, METADATALOOKUP!$A:$AI, 12, FALSE)</f>
        <v>No</v>
      </c>
      <c r="AV85" t="str">
        <f>VLOOKUP(D85, METADATALOOKUP!$A:$AI, 14, FALSE)</f>
        <v>T3N2bM0</v>
      </c>
      <c r="AW85" t="str">
        <f>VLOOKUP(D85, METADATALOOKUP!$A:$AI, 6, FALSE)</f>
        <v>High</v>
      </c>
      <c r="AX85" t="str">
        <f>VLOOKUP(D85, METADATALOOKUP!$A:$AI, 19, FALSE)</f>
        <v>No</v>
      </c>
      <c r="AY85">
        <f>LOOKUP(D85, SURVLOOKUP!$A:$A, SURVLOOKUP!$P:$P)</f>
        <v>2</v>
      </c>
      <c r="AZ85" s="46">
        <v>9</v>
      </c>
      <c r="BA85" t="str">
        <f>TEXT(VLOOKUP(D85, METADATALOOKUP!$A:$AI, 34, FALSE), "@")</f>
        <v>0.9</v>
      </c>
      <c r="BB85" s="47" t="str">
        <f t="shared" si="33"/>
        <v>Responder</v>
      </c>
      <c r="BC85">
        <v>0.19800000000000001</v>
      </c>
      <c r="BD85" s="1">
        <v>42492</v>
      </c>
    </row>
    <row r="86" spans="1:64" x14ac:dyDescent="0.2">
      <c r="A86" s="3" t="s">
        <v>356</v>
      </c>
      <c r="B86" t="str">
        <f>VLOOKUP(A86, IDSLOOKUP!C:E, 2, FALSE)</f>
        <v>Adj Wk 1</v>
      </c>
      <c r="C86" t="str">
        <f>VLOOKUP(D86, METADATALOOKUP!$A:$AI, 13, FALSE)</f>
        <v>Oral Cavity</v>
      </c>
      <c r="D86" t="str">
        <f>VLOOKUP(A86, IDSLOOKUP!C:E, 3, FALSE)</f>
        <v>HN01-02</v>
      </c>
      <c r="E86" s="48">
        <f>VLOOKUP(A86,CFDNALOOKUP!AG:AI,2,FALSE)</f>
        <v>43825</v>
      </c>
      <c r="F86" s="48">
        <f>VLOOKUP(A86,CFDNALOOKUP!AG:AI,3,FALSE)</f>
        <v>43898</v>
      </c>
      <c r="G86" s="1">
        <f>VLOOKUP(D86, SURVLOOKUP!$A:$Q, 2, FALSE)</f>
        <v>42460</v>
      </c>
      <c r="H86" s="1">
        <f>VLOOKUP(D86, SURVLOOKUP!$A:$Q, 3, FALSE)</f>
        <v>42485</v>
      </c>
      <c r="I86" s="1">
        <f>VLOOKUP(D86, SURVLOOKUP!$A:$Q, 4, FALSE)</f>
        <v>42486</v>
      </c>
      <c r="J86" s="1">
        <f>VLOOKUP(D86, SURVLOOKUP!$A:$Q, 5, FALSE)</f>
        <v>42493</v>
      </c>
      <c r="K86" s="1">
        <f>VLOOKUP(D86, SURVLOOKUP!$A:$Q, 6, FALSE)</f>
        <v>42537</v>
      </c>
      <c r="L86" s="1">
        <f>VLOOKUP(D86, SURVLOOKUP!$A:$Q, 7, FALSE)</f>
        <v>42580</v>
      </c>
      <c r="M86" s="1">
        <f>VLOOKUP(D86, SURVLOOKUP!$A:$Q, 8, FALSE)</f>
        <v>42530</v>
      </c>
      <c r="N86" s="1">
        <f>VLOOKUP(D86, SURVLOOKUP!$A:$Q, 9, FALSE)</f>
        <v>42634</v>
      </c>
      <c r="O86" s="1" t="str">
        <f>VLOOKUP(D86, SURVLOOKUP!$A:$Q, 10, FALSE)</f>
        <v>NA</v>
      </c>
      <c r="P86" s="1">
        <f>VLOOKUP(D86, OLDSURVLOOKUP!$A:$AA, 19, FALSE)</f>
        <v>44295</v>
      </c>
      <c r="Q86" s="1">
        <f>VLOOKUP(D86, SURVLOOKUP!$A:$Q, 11, FALSE)</f>
        <v>44722</v>
      </c>
      <c r="R86" s="1">
        <f>VLOOKUP(D86, OLDSURVLOOKUP!$A:$AA, 20, FALSE)</f>
        <v>43950</v>
      </c>
      <c r="S86" s="1">
        <f>VLOOKUP(D86, SURVLOOKUP!$A:$Q, 12, FALSE)</f>
        <v>43950</v>
      </c>
      <c r="T86" s="1"/>
      <c r="U86" s="1"/>
      <c r="V86">
        <f>_xlfn.XLOOKUP(D86, OLDSURVLOOKUP!$A:$A, OLDSURVLOOKUP!V:V)</f>
        <v>1</v>
      </c>
      <c r="W86">
        <f>VLOOKUP(D86, SURVLOOKUP!$A:$Q, 14, FALSE)</f>
        <v>1</v>
      </c>
      <c r="X86">
        <f>_xlfn.XLOOKUP(D86, OLDSURVLOOKUP!$A:$A, OLDSURVLOOKUP!X:X)</f>
        <v>0</v>
      </c>
      <c r="Y86">
        <f>VLOOKUP(D86, SURVLOOKUP!$A:$Q, 15, FALSE)</f>
        <v>0</v>
      </c>
      <c r="Z86">
        <f t="shared" si="24"/>
        <v>48.1</v>
      </c>
      <c r="AA86">
        <f t="shared" si="25"/>
        <v>48.1</v>
      </c>
      <c r="AB86">
        <f t="shared" si="26"/>
        <v>59.466666666666669</v>
      </c>
      <c r="AC86">
        <f t="shared" si="27"/>
        <v>73.5</v>
      </c>
      <c r="AD86">
        <f t="shared" si="28"/>
        <v>47.838709677419352</v>
      </c>
      <c r="AE86">
        <f t="shared" si="35"/>
        <v>47.838709677419352</v>
      </c>
      <c r="AF86">
        <f t="shared" si="36"/>
        <v>59.193548387096776</v>
      </c>
      <c r="AG86">
        <f t="shared" si="37"/>
        <v>73.225806451612897</v>
      </c>
      <c r="AH86">
        <f t="shared" si="29"/>
        <v>46.666666666666664</v>
      </c>
      <c r="AI86">
        <f t="shared" si="30"/>
        <v>46.666666666666664</v>
      </c>
      <c r="AJ86">
        <f t="shared" si="31"/>
        <v>58</v>
      </c>
      <c r="AK86">
        <f t="shared" si="32"/>
        <v>72.033333333333331</v>
      </c>
      <c r="AL86">
        <f t="shared" si="34"/>
        <v>1</v>
      </c>
      <c r="AM86" t="str">
        <f t="shared" si="23"/>
        <v>University of Cincinnati</v>
      </c>
      <c r="AN86">
        <v>0</v>
      </c>
      <c r="AO86">
        <v>33</v>
      </c>
      <c r="AP86">
        <f>VLOOKUP(D86, METADATALOOKUP!$A:$AI, 7, FALSE)</f>
        <v>55</v>
      </c>
      <c r="AQ86" t="str">
        <f>VLOOKUP(D86, METADATALOOKUP!$A:$AI, 8, FALSE)</f>
        <v>Female</v>
      </c>
      <c r="AR86" t="str">
        <f>VLOOKUP(D86, METADATALOOKUP!$A:$AI, 9, FALSE)</f>
        <v>White</v>
      </c>
      <c r="AS86" t="str">
        <f>VLOOKUP(D86, METADATALOOKUP!$A:$AI, 11, FALSE)</f>
        <v>No</v>
      </c>
      <c r="AT86" t="str">
        <f>VLOOKUP(D86, METADATALOOKUP!$A:$AI, 10, FALSE)</f>
        <v>Non-Hispanic</v>
      </c>
      <c r="AU86" t="str">
        <f>VLOOKUP(D86, METADATALOOKUP!$A:$AI, 12, FALSE)</f>
        <v>No</v>
      </c>
      <c r="AV86" t="str">
        <f>VLOOKUP(D86, METADATALOOKUP!$A:$AI, 14, FALSE)</f>
        <v>T3N2bM0</v>
      </c>
      <c r="AW86" t="str">
        <f>VLOOKUP(D86, METADATALOOKUP!$A:$AI, 6, FALSE)</f>
        <v>High</v>
      </c>
      <c r="AX86" t="str">
        <f>VLOOKUP(D86, METADATALOOKUP!$A:$AI, 19, FALSE)</f>
        <v>No</v>
      </c>
      <c r="AY86">
        <f>LOOKUP(D86, SURVLOOKUP!$A:$A, SURVLOOKUP!$P:$P)</f>
        <v>2</v>
      </c>
      <c r="AZ86" s="46">
        <v>9</v>
      </c>
      <c r="BA86" t="str">
        <f>TEXT(VLOOKUP(D86, METADATALOOKUP!$A:$AI, 34, FALSE), "@")</f>
        <v>0.9</v>
      </c>
      <c r="BB86" s="47" t="str">
        <f t="shared" si="33"/>
        <v>Responder</v>
      </c>
      <c r="BC86">
        <v>0.16800000000000001</v>
      </c>
      <c r="BD86" s="1">
        <v>42530</v>
      </c>
    </row>
    <row r="87" spans="1:64" x14ac:dyDescent="0.2">
      <c r="A87" s="3" t="s">
        <v>357</v>
      </c>
      <c r="B87" t="str">
        <f>VLOOKUP(A87, IDSLOOKUP!C:E, 2, FALSE)</f>
        <v>Screen</v>
      </c>
      <c r="C87" t="str">
        <f>VLOOKUP(D87, METADATALOOKUP!$A:$AI, 13, FALSE)</f>
        <v>Oral Cavity</v>
      </c>
      <c r="D87" t="str">
        <f>VLOOKUP(A87, IDSLOOKUP!C:E, 3, FALSE)</f>
        <v>HN01-04</v>
      </c>
      <c r="E87" s="48">
        <f>VLOOKUP(A87,CFDNALOOKUP!AG:AI,2,FALSE)</f>
        <v>43825</v>
      </c>
      <c r="F87" s="48">
        <f>VLOOKUP(A87,CFDNALOOKUP!AG:AI,3,FALSE)</f>
        <v>43901</v>
      </c>
      <c r="G87" s="1">
        <f>VLOOKUP(D87, SURVLOOKUP!$A:$Q, 2, FALSE)</f>
        <v>42579</v>
      </c>
      <c r="H87" s="1">
        <f>VLOOKUP(D87, SURVLOOKUP!$A:$Q, 3, FALSE)</f>
        <v>42586</v>
      </c>
      <c r="I87" s="1">
        <f>VLOOKUP(D87, SURVLOOKUP!$A:$Q, 4, FALSE)</f>
        <v>42598</v>
      </c>
      <c r="J87" s="1">
        <f>VLOOKUP(D87, SURVLOOKUP!$A:$Q, 5, FALSE)</f>
        <v>42608</v>
      </c>
      <c r="K87" s="1">
        <f>VLOOKUP(D87, SURVLOOKUP!$A:$Q, 6, FALSE)</f>
        <v>42660</v>
      </c>
      <c r="L87" s="1">
        <f>VLOOKUP(D87, SURVLOOKUP!$A:$Q, 7, FALSE)</f>
        <v>42717</v>
      </c>
      <c r="M87" s="1">
        <f>VLOOKUP(D87, SURVLOOKUP!$A:$Q, 8, FALSE)</f>
        <v>42654</v>
      </c>
      <c r="N87" s="1">
        <f>VLOOKUP(D87, SURVLOOKUP!$A:$Q, 9, FALSE)</f>
        <v>42759</v>
      </c>
      <c r="O87" s="1" t="str">
        <f>VLOOKUP(D87, SURVLOOKUP!$A:$Q, 10, FALSE)</f>
        <v>NA</v>
      </c>
      <c r="P87" s="1">
        <f>VLOOKUP(D87, OLDSURVLOOKUP!$A:$AA, 19, FALSE)</f>
        <v>44231</v>
      </c>
      <c r="Q87" s="1">
        <f>VLOOKUP(D87, SURVLOOKUP!$A:$Q, 11, FALSE)</f>
        <v>44761</v>
      </c>
      <c r="R87" s="1"/>
      <c r="S87" s="1"/>
      <c r="T87" s="1"/>
      <c r="U87" s="1"/>
      <c r="V87">
        <f>_xlfn.XLOOKUP(D87, OLDSURVLOOKUP!$A:$A, OLDSURVLOOKUP!V:V)</f>
        <v>0</v>
      </c>
      <c r="W87">
        <f>VLOOKUP(D87, SURVLOOKUP!$A:$Q, 14, FALSE)</f>
        <v>0</v>
      </c>
      <c r="X87">
        <f>_xlfn.XLOOKUP(D87, OLDSURVLOOKUP!$A:$A, OLDSURVLOOKUP!X:X)</f>
        <v>0</v>
      </c>
      <c r="Y87">
        <f>VLOOKUP(D87, SURVLOOKUP!$A:$Q, 15, FALSE)</f>
        <v>0</v>
      </c>
      <c r="Z87">
        <f t="shared" si="24"/>
        <v>53.612903225806448</v>
      </c>
      <c r="AA87">
        <f t="shared" si="25"/>
        <v>71.096774193548384</v>
      </c>
      <c r="AB87">
        <f t="shared" si="26"/>
        <v>53.612903225806448</v>
      </c>
      <c r="AC87">
        <f t="shared" si="27"/>
        <v>71.096774193548384</v>
      </c>
      <c r="AD87">
        <f t="shared" si="28"/>
        <v>53.29032258064516</v>
      </c>
      <c r="AE87">
        <f t="shared" si="35"/>
        <v>70.741935483870961</v>
      </c>
      <c r="AF87">
        <f t="shared" si="36"/>
        <v>53.29032258064516</v>
      </c>
      <c r="AG87">
        <f t="shared" si="37"/>
        <v>70.741935483870961</v>
      </c>
      <c r="AH87">
        <f t="shared" si="29"/>
        <v>51.774193548387096</v>
      </c>
      <c r="AI87">
        <f t="shared" si="30"/>
        <v>69.258064516129039</v>
      </c>
      <c r="AJ87">
        <f t="shared" si="31"/>
        <v>51.774193548387096</v>
      </c>
      <c r="AK87">
        <f t="shared" si="32"/>
        <v>69.258064516129039</v>
      </c>
      <c r="AL87">
        <f t="shared" si="34"/>
        <v>1</v>
      </c>
      <c r="AM87" t="str">
        <f t="shared" si="23"/>
        <v>University of Cincinnati</v>
      </c>
      <c r="AN87">
        <v>0</v>
      </c>
      <c r="AO87">
        <v>34</v>
      </c>
      <c r="AP87">
        <f>VLOOKUP(D87, METADATALOOKUP!$A:$AI, 7, FALSE)</f>
        <v>58</v>
      </c>
      <c r="AQ87" t="str">
        <f>VLOOKUP(D87, METADATALOOKUP!$A:$AI, 8, FALSE)</f>
        <v>Female</v>
      </c>
      <c r="AR87" t="str">
        <f>VLOOKUP(D87, METADATALOOKUP!$A:$AI, 9, FALSE)</f>
        <v>White</v>
      </c>
      <c r="AS87" t="str">
        <f>VLOOKUP(D87, METADATALOOKUP!$A:$AI, 11, FALSE)</f>
        <v>No</v>
      </c>
      <c r="AT87" t="str">
        <f>VLOOKUP(D87, METADATALOOKUP!$A:$AI, 10, FALSE)</f>
        <v>Non-Hispanic</v>
      </c>
      <c r="AU87" t="str">
        <f>VLOOKUP(D87, METADATALOOKUP!$A:$AI, 12, FALSE)</f>
        <v>No</v>
      </c>
      <c r="AV87" t="str">
        <f>VLOOKUP(D87, METADATALOOKUP!$A:$AI, 14, FALSE)</f>
        <v>T3N3bM0</v>
      </c>
      <c r="AW87" t="str">
        <f>VLOOKUP(D87, METADATALOOKUP!$A:$AI, 6, FALSE)</f>
        <v>High</v>
      </c>
      <c r="AX87" t="str">
        <f>VLOOKUP(D87, METADATALOOKUP!$A:$AI, 19, FALSE)</f>
        <v>No</v>
      </c>
      <c r="AY87">
        <f>LOOKUP(D87, SURVLOOKUP!$A:$A, SURVLOOKUP!$P:$P)</f>
        <v>1</v>
      </c>
      <c r="AZ87" s="46">
        <v>7</v>
      </c>
      <c r="BA87" t="str">
        <f>TEXT(VLOOKUP(D87, METADATALOOKUP!$A:$AI, 34, FALSE), "@")</f>
        <v>70-80%</v>
      </c>
      <c r="BB87" s="47" t="str">
        <f t="shared" si="33"/>
        <v>Responder</v>
      </c>
      <c r="BC87">
        <v>0.05</v>
      </c>
      <c r="BD87" s="1">
        <v>42598</v>
      </c>
    </row>
    <row r="88" spans="1:64" x14ac:dyDescent="0.2">
      <c r="A88" s="3" t="s">
        <v>360</v>
      </c>
      <c r="B88" t="str">
        <f>VLOOKUP(A88, IDSLOOKUP!C:E, 2, FALSE)</f>
        <v>Day 0</v>
      </c>
      <c r="C88" t="str">
        <f>VLOOKUP(D88, METADATALOOKUP!$A:$AI, 13, FALSE)</f>
        <v>Oral Cavity</v>
      </c>
      <c r="D88" t="str">
        <f>VLOOKUP(A88, IDSLOOKUP!C:E, 3, FALSE)</f>
        <v>HN01-04</v>
      </c>
      <c r="E88" s="48">
        <f>VLOOKUP(A88,CFDNALOOKUP!AG:AI,2,FALSE)</f>
        <v>43825</v>
      </c>
      <c r="F88" s="48">
        <f>VLOOKUP(A88,CFDNALOOKUP!AG:AI,3,FALSE)</f>
        <v>43888</v>
      </c>
      <c r="G88" s="1">
        <f>VLOOKUP(D88, SURVLOOKUP!$A:$Q, 2, FALSE)</f>
        <v>42579</v>
      </c>
      <c r="H88" s="1">
        <f>VLOOKUP(D88, SURVLOOKUP!$A:$Q, 3, FALSE)</f>
        <v>42586</v>
      </c>
      <c r="I88" s="1">
        <f>VLOOKUP(D88, SURVLOOKUP!$A:$Q, 4, FALSE)</f>
        <v>42598</v>
      </c>
      <c r="J88" s="1">
        <f>VLOOKUP(D88, SURVLOOKUP!$A:$Q, 5, FALSE)</f>
        <v>42608</v>
      </c>
      <c r="K88" s="1">
        <f>VLOOKUP(D88, SURVLOOKUP!$A:$Q, 6, FALSE)</f>
        <v>42660</v>
      </c>
      <c r="L88" s="1">
        <f>VLOOKUP(D88, SURVLOOKUP!$A:$Q, 7, FALSE)</f>
        <v>42717</v>
      </c>
      <c r="M88" s="1">
        <f>VLOOKUP(D88, SURVLOOKUP!$A:$Q, 8, FALSE)</f>
        <v>42654</v>
      </c>
      <c r="N88" s="1">
        <f>VLOOKUP(D88, SURVLOOKUP!$A:$Q, 9, FALSE)</f>
        <v>42759</v>
      </c>
      <c r="O88" s="1" t="str">
        <f>VLOOKUP(D88, SURVLOOKUP!$A:$Q, 10, FALSE)</f>
        <v>NA</v>
      </c>
      <c r="P88" s="1">
        <f>VLOOKUP(D88, OLDSURVLOOKUP!$A:$AA, 19, FALSE)</f>
        <v>44231</v>
      </c>
      <c r="Q88" s="1">
        <f>VLOOKUP(D88, SURVLOOKUP!$A:$Q, 11, FALSE)</f>
        <v>44761</v>
      </c>
      <c r="R88" s="1"/>
      <c r="S88" s="1"/>
      <c r="T88" s="1"/>
      <c r="U88" s="1"/>
      <c r="V88">
        <f>_xlfn.XLOOKUP(D88, OLDSURVLOOKUP!$A:$A, OLDSURVLOOKUP!V:V)</f>
        <v>0</v>
      </c>
      <c r="W88">
        <f>VLOOKUP(D88, SURVLOOKUP!$A:$Q, 14, FALSE)</f>
        <v>0</v>
      </c>
      <c r="X88">
        <f>_xlfn.XLOOKUP(D88, OLDSURVLOOKUP!$A:$A, OLDSURVLOOKUP!X:X)</f>
        <v>0</v>
      </c>
      <c r="Y88">
        <f>VLOOKUP(D88, SURVLOOKUP!$A:$Q, 15, FALSE)</f>
        <v>0</v>
      </c>
      <c r="Z88">
        <f t="shared" si="24"/>
        <v>53.612903225806448</v>
      </c>
      <c r="AA88">
        <f t="shared" si="25"/>
        <v>71.096774193548384</v>
      </c>
      <c r="AB88">
        <f t="shared" si="26"/>
        <v>53.612903225806448</v>
      </c>
      <c r="AC88">
        <f t="shared" si="27"/>
        <v>71.096774193548384</v>
      </c>
      <c r="AD88">
        <f t="shared" si="28"/>
        <v>53.29032258064516</v>
      </c>
      <c r="AE88">
        <f t="shared" si="35"/>
        <v>70.741935483870961</v>
      </c>
      <c r="AF88">
        <f t="shared" si="36"/>
        <v>53.29032258064516</v>
      </c>
      <c r="AG88">
        <f t="shared" si="37"/>
        <v>70.741935483870961</v>
      </c>
      <c r="AH88">
        <f t="shared" si="29"/>
        <v>51.774193548387096</v>
      </c>
      <c r="AI88">
        <f t="shared" si="30"/>
        <v>69.258064516129039</v>
      </c>
      <c r="AJ88">
        <f t="shared" si="31"/>
        <v>51.774193548387096</v>
      </c>
      <c r="AK88">
        <f t="shared" si="32"/>
        <v>69.258064516129039</v>
      </c>
      <c r="AL88">
        <f t="shared" si="34"/>
        <v>1</v>
      </c>
      <c r="AM88" t="str">
        <f t="shared" si="23"/>
        <v>University of Cincinnati</v>
      </c>
      <c r="AN88">
        <v>0</v>
      </c>
      <c r="AO88">
        <v>34</v>
      </c>
      <c r="AP88">
        <f>VLOOKUP(D88, METADATALOOKUP!$A:$AI, 7, FALSE)</f>
        <v>58</v>
      </c>
      <c r="AQ88" t="str">
        <f>VLOOKUP(D88, METADATALOOKUP!$A:$AI, 8, FALSE)</f>
        <v>Female</v>
      </c>
      <c r="AR88" t="str">
        <f>VLOOKUP(D88, METADATALOOKUP!$A:$AI, 9, FALSE)</f>
        <v>White</v>
      </c>
      <c r="AS88" t="str">
        <f>VLOOKUP(D88, METADATALOOKUP!$A:$AI, 11, FALSE)</f>
        <v>No</v>
      </c>
      <c r="AT88" t="str">
        <f>VLOOKUP(D88, METADATALOOKUP!$A:$AI, 10, FALSE)</f>
        <v>Non-Hispanic</v>
      </c>
      <c r="AU88" t="str">
        <f>VLOOKUP(D88, METADATALOOKUP!$A:$AI, 12, FALSE)</f>
        <v>No</v>
      </c>
      <c r="AV88" t="str">
        <f>VLOOKUP(D88, METADATALOOKUP!$A:$AI, 14, FALSE)</f>
        <v>T3N3bM0</v>
      </c>
      <c r="AW88" t="str">
        <f>VLOOKUP(D88, METADATALOOKUP!$A:$AI, 6, FALSE)</f>
        <v>High</v>
      </c>
      <c r="AX88" t="str">
        <f>VLOOKUP(D88, METADATALOOKUP!$A:$AI, 19, FALSE)</f>
        <v>No</v>
      </c>
      <c r="AY88">
        <f>LOOKUP(D88, SURVLOOKUP!$A:$A, SURVLOOKUP!$P:$P)</f>
        <v>1</v>
      </c>
      <c r="AZ88" s="46">
        <v>7</v>
      </c>
      <c r="BA88" t="str">
        <f>TEXT(VLOOKUP(D88, METADATALOOKUP!$A:$AI, 34, FALSE), "@")</f>
        <v>70-80%</v>
      </c>
      <c r="BB88" s="47" t="str">
        <f t="shared" si="33"/>
        <v>Responder</v>
      </c>
      <c r="BC88">
        <v>0.13200000000000001</v>
      </c>
      <c r="BD88" s="1">
        <v>42607</v>
      </c>
    </row>
    <row r="89" spans="1:64" x14ac:dyDescent="0.2">
      <c r="A89" s="3" t="s">
        <v>361</v>
      </c>
      <c r="B89" t="str">
        <f>VLOOKUP(A89, IDSLOOKUP!C:E, 2, FALSE)</f>
        <v>Adj Wk 1</v>
      </c>
      <c r="C89" t="str">
        <f>VLOOKUP(D89, METADATALOOKUP!$A:$AI, 13, FALSE)</f>
        <v>Oral Cavity</v>
      </c>
      <c r="D89" t="str">
        <f>VLOOKUP(A89, IDSLOOKUP!C:E, 3, FALSE)</f>
        <v>HN01-04</v>
      </c>
      <c r="E89" s="48">
        <f>VLOOKUP(A89,CFDNALOOKUP!AG:AI,2,FALSE)</f>
        <v>43825</v>
      </c>
      <c r="F89" s="48">
        <f>VLOOKUP(A89,CFDNALOOKUP!AG:AI,3,FALSE)</f>
        <v>43898</v>
      </c>
      <c r="G89" s="1">
        <f>VLOOKUP(D89, SURVLOOKUP!$A:$Q, 2, FALSE)</f>
        <v>42579</v>
      </c>
      <c r="H89" s="1">
        <f>VLOOKUP(D89, SURVLOOKUP!$A:$Q, 3, FALSE)</f>
        <v>42586</v>
      </c>
      <c r="I89" s="1">
        <f>VLOOKUP(D89, SURVLOOKUP!$A:$Q, 4, FALSE)</f>
        <v>42598</v>
      </c>
      <c r="J89" s="1">
        <f>VLOOKUP(D89, SURVLOOKUP!$A:$Q, 5, FALSE)</f>
        <v>42608</v>
      </c>
      <c r="K89" s="1">
        <f>VLOOKUP(D89, SURVLOOKUP!$A:$Q, 6, FALSE)</f>
        <v>42660</v>
      </c>
      <c r="L89" s="1">
        <f>VLOOKUP(D89, SURVLOOKUP!$A:$Q, 7, FALSE)</f>
        <v>42717</v>
      </c>
      <c r="M89" s="1">
        <f>VLOOKUP(D89, SURVLOOKUP!$A:$Q, 8, FALSE)</f>
        <v>42654</v>
      </c>
      <c r="N89" s="1">
        <f>VLOOKUP(D89, SURVLOOKUP!$A:$Q, 9, FALSE)</f>
        <v>42759</v>
      </c>
      <c r="O89" s="1" t="str">
        <f>VLOOKUP(D89, SURVLOOKUP!$A:$Q, 10, FALSE)</f>
        <v>NA</v>
      </c>
      <c r="P89" s="1">
        <f>VLOOKUP(D89, OLDSURVLOOKUP!$A:$AA, 19, FALSE)</f>
        <v>44231</v>
      </c>
      <c r="Q89" s="1">
        <f>VLOOKUP(D89, SURVLOOKUP!$A:$Q, 11, FALSE)</f>
        <v>44761</v>
      </c>
      <c r="R89" s="1"/>
      <c r="S89" s="1"/>
      <c r="T89" s="1"/>
      <c r="U89" s="1"/>
      <c r="V89">
        <f>_xlfn.XLOOKUP(D89, OLDSURVLOOKUP!$A:$A, OLDSURVLOOKUP!V:V)</f>
        <v>0</v>
      </c>
      <c r="W89">
        <f>VLOOKUP(D89, SURVLOOKUP!$A:$Q, 14, FALSE)</f>
        <v>0</v>
      </c>
      <c r="X89">
        <f>_xlfn.XLOOKUP(D89, OLDSURVLOOKUP!$A:$A, OLDSURVLOOKUP!X:X)</f>
        <v>0</v>
      </c>
      <c r="Y89">
        <f>VLOOKUP(D89, SURVLOOKUP!$A:$Q, 15, FALSE)</f>
        <v>0</v>
      </c>
      <c r="Z89">
        <f t="shared" si="24"/>
        <v>53.612903225806448</v>
      </c>
      <c r="AA89">
        <f t="shared" si="25"/>
        <v>71.096774193548384</v>
      </c>
      <c r="AB89">
        <f t="shared" si="26"/>
        <v>53.612903225806448</v>
      </c>
      <c r="AC89">
        <f t="shared" si="27"/>
        <v>71.096774193548384</v>
      </c>
      <c r="AD89">
        <f t="shared" si="28"/>
        <v>53.29032258064516</v>
      </c>
      <c r="AE89">
        <f t="shared" si="35"/>
        <v>70.741935483870961</v>
      </c>
      <c r="AF89">
        <f t="shared" si="36"/>
        <v>53.29032258064516</v>
      </c>
      <c r="AG89">
        <f t="shared" si="37"/>
        <v>70.741935483870961</v>
      </c>
      <c r="AH89">
        <f t="shared" si="29"/>
        <v>51.774193548387096</v>
      </c>
      <c r="AI89">
        <f t="shared" si="30"/>
        <v>69.258064516129039</v>
      </c>
      <c r="AJ89">
        <f t="shared" si="31"/>
        <v>51.774193548387096</v>
      </c>
      <c r="AK89">
        <f t="shared" si="32"/>
        <v>69.258064516129039</v>
      </c>
      <c r="AL89">
        <f t="shared" si="34"/>
        <v>1</v>
      </c>
      <c r="AM89" t="str">
        <f t="shared" si="23"/>
        <v>University of Cincinnati</v>
      </c>
      <c r="AN89">
        <v>0</v>
      </c>
      <c r="AO89">
        <v>34</v>
      </c>
      <c r="AP89">
        <f>VLOOKUP(D89, METADATALOOKUP!$A:$AI, 7, FALSE)</f>
        <v>58</v>
      </c>
      <c r="AQ89" t="str">
        <f>VLOOKUP(D89, METADATALOOKUP!$A:$AI, 8, FALSE)</f>
        <v>Female</v>
      </c>
      <c r="AR89" t="str">
        <f>VLOOKUP(D89, METADATALOOKUP!$A:$AI, 9, FALSE)</f>
        <v>White</v>
      </c>
      <c r="AS89" t="str">
        <f>VLOOKUP(D89, METADATALOOKUP!$A:$AI, 11, FALSE)</f>
        <v>No</v>
      </c>
      <c r="AT89" t="str">
        <f>VLOOKUP(D89, METADATALOOKUP!$A:$AI, 10, FALSE)</f>
        <v>Non-Hispanic</v>
      </c>
      <c r="AU89" t="str">
        <f>VLOOKUP(D89, METADATALOOKUP!$A:$AI, 12, FALSE)</f>
        <v>No</v>
      </c>
      <c r="AV89" t="str">
        <f>VLOOKUP(D89, METADATALOOKUP!$A:$AI, 14, FALSE)</f>
        <v>T3N3bM0</v>
      </c>
      <c r="AW89" t="str">
        <f>VLOOKUP(D89, METADATALOOKUP!$A:$AI, 6, FALSE)</f>
        <v>High</v>
      </c>
      <c r="AX89" t="str">
        <f>VLOOKUP(D89, METADATALOOKUP!$A:$AI, 19, FALSE)</f>
        <v>No</v>
      </c>
      <c r="AY89">
        <f>LOOKUP(D89, SURVLOOKUP!$A:$A, SURVLOOKUP!$P:$P)</f>
        <v>1</v>
      </c>
      <c r="AZ89" s="46">
        <v>7</v>
      </c>
      <c r="BA89" t="str">
        <f>TEXT(VLOOKUP(D89, METADATALOOKUP!$A:$AI, 34, FALSE), "@")</f>
        <v>70-80%</v>
      </c>
      <c r="BB89" s="47" t="str">
        <f t="shared" si="33"/>
        <v>Responder</v>
      </c>
      <c r="BC89">
        <v>0.05</v>
      </c>
      <c r="BD89" s="1">
        <v>42654</v>
      </c>
    </row>
    <row r="90" spans="1:64" x14ac:dyDescent="0.2">
      <c r="A90" s="3" t="s">
        <v>362</v>
      </c>
      <c r="B90" t="str">
        <f>VLOOKUP(A90, IDSLOOKUP!C:E, 2, FALSE)</f>
        <v>Screen</v>
      </c>
      <c r="C90" t="str">
        <f>VLOOKUP(D90, METADATALOOKUP!$A:$AI, 13, FALSE)</f>
        <v>Oral Cavity</v>
      </c>
      <c r="D90" t="str">
        <f>VLOOKUP(A90, IDSLOOKUP!C:E, 3, FALSE)</f>
        <v>HN01-06</v>
      </c>
      <c r="E90" s="48">
        <f>VLOOKUP(A90,CFDNALOOKUP!AG:AI,2,FALSE)</f>
        <v>43825</v>
      </c>
      <c r="F90" s="48">
        <f>VLOOKUP(A90,CFDNALOOKUP!AG:AI,3,FALSE)</f>
        <v>43898</v>
      </c>
      <c r="G90" s="1">
        <f>VLOOKUP(D90, SURVLOOKUP!$A:$Q, 2, FALSE)</f>
        <v>42644</v>
      </c>
      <c r="H90" s="1">
        <f>VLOOKUP(D90, SURVLOOKUP!$A:$Q, 3, FALSE)</f>
        <v>42667</v>
      </c>
      <c r="I90" s="1">
        <f>VLOOKUP(D90, SURVLOOKUP!$A:$Q, 4, FALSE)</f>
        <v>42670</v>
      </c>
      <c r="J90" s="1">
        <f>VLOOKUP(D90, SURVLOOKUP!$A:$Q, 5, FALSE)</f>
        <v>42678</v>
      </c>
      <c r="K90" s="1">
        <f>VLOOKUP(D90, SURVLOOKUP!$A:$Q, 6, FALSE)</f>
        <v>42725</v>
      </c>
      <c r="L90" s="1">
        <f>VLOOKUP(D90, SURVLOOKUP!$A:$Q, 7, FALSE)</f>
        <v>42774</v>
      </c>
      <c r="M90" s="1">
        <f>VLOOKUP(D90, SURVLOOKUP!$A:$Q, 8, FALSE)</f>
        <v>42725</v>
      </c>
      <c r="N90" s="1">
        <f>VLOOKUP(D90, SURVLOOKUP!$A:$Q, 9, FALSE)</f>
        <v>42831</v>
      </c>
      <c r="O90" s="1" t="str">
        <f>VLOOKUP(D90, SURVLOOKUP!$A:$Q, 10, FALSE)</f>
        <v>NA</v>
      </c>
      <c r="P90" s="1">
        <f>VLOOKUP(D90, OLDSURVLOOKUP!$A:$AA, 19, FALSE)</f>
        <v>44302</v>
      </c>
      <c r="Q90" s="1">
        <f>VLOOKUP(D90, SURVLOOKUP!$A:$Q, 11, FALSE)</f>
        <v>44684</v>
      </c>
      <c r="R90" s="1"/>
      <c r="S90" s="1"/>
      <c r="T90" s="1"/>
      <c r="U90" s="1"/>
      <c r="V90">
        <f>_xlfn.XLOOKUP(D90, OLDSURVLOOKUP!$A:$A, OLDSURVLOOKUP!V:V)</f>
        <v>0</v>
      </c>
      <c r="W90">
        <f>VLOOKUP(D90, SURVLOOKUP!$A:$Q, 14, FALSE)</f>
        <v>0</v>
      </c>
      <c r="X90">
        <f>_xlfn.XLOOKUP(D90, OLDSURVLOOKUP!$A:$A, OLDSURVLOOKUP!X:X)</f>
        <v>0</v>
      </c>
      <c r="Y90">
        <f>VLOOKUP(D90, SURVLOOKUP!$A:$Q, 15, FALSE)</f>
        <v>0</v>
      </c>
      <c r="Z90">
        <f t="shared" si="24"/>
        <v>53.645161290322584</v>
      </c>
      <c r="AA90">
        <f t="shared" si="25"/>
        <v>66.193548387096769</v>
      </c>
      <c r="AB90">
        <f t="shared" si="26"/>
        <v>53.645161290322584</v>
      </c>
      <c r="AC90">
        <f t="shared" si="27"/>
        <v>66.193548387096769</v>
      </c>
      <c r="AD90">
        <f t="shared" si="28"/>
        <v>53.4</v>
      </c>
      <c r="AE90">
        <f t="shared" si="35"/>
        <v>65.966666666666669</v>
      </c>
      <c r="AF90">
        <f t="shared" si="36"/>
        <v>53.4</v>
      </c>
      <c r="AG90">
        <f t="shared" si="37"/>
        <v>65.966666666666669</v>
      </c>
      <c r="AH90">
        <f t="shared" si="29"/>
        <v>51.838709677419352</v>
      </c>
      <c r="AI90">
        <f t="shared" si="30"/>
        <v>64.387096774193552</v>
      </c>
      <c r="AJ90">
        <f t="shared" si="31"/>
        <v>51.838709677419352</v>
      </c>
      <c r="AK90">
        <f t="shared" si="32"/>
        <v>64.387096774193552</v>
      </c>
      <c r="AL90">
        <f t="shared" si="34"/>
        <v>1</v>
      </c>
      <c r="AM90" t="str">
        <f t="shared" si="23"/>
        <v>University of Cincinnati</v>
      </c>
      <c r="AN90">
        <v>0</v>
      </c>
      <c r="AO90">
        <v>35</v>
      </c>
      <c r="AP90">
        <f>VLOOKUP(D90, METADATALOOKUP!$A:$AI, 7, FALSE)</f>
        <v>65</v>
      </c>
      <c r="AQ90" t="str">
        <f>VLOOKUP(D90, METADATALOOKUP!$A:$AI, 8, FALSE)</f>
        <v>Male</v>
      </c>
      <c r="AR90" t="str">
        <f>VLOOKUP(D90, METADATALOOKUP!$A:$AI, 9, FALSE)</f>
        <v>White</v>
      </c>
      <c r="AS90" t="str">
        <f>VLOOKUP(D90, METADATALOOKUP!$A:$AI, 11, FALSE)</f>
        <v>Yes</v>
      </c>
      <c r="AT90" t="str">
        <f>VLOOKUP(D90, METADATALOOKUP!$A:$AI, 10, FALSE)</f>
        <v>Non-Hispanic</v>
      </c>
      <c r="AU90" t="str">
        <f>VLOOKUP(D90, METADATALOOKUP!$A:$AI, 12, FALSE)</f>
        <v>Yes</v>
      </c>
      <c r="AV90" t="str">
        <f>VLOOKUP(D90, METADATALOOKUP!$A:$AI, 14, FALSE)</f>
        <v>T3N0M0</v>
      </c>
      <c r="AW90" t="str">
        <f>VLOOKUP(D90, METADATALOOKUP!$A:$AI, 6, FALSE)</f>
        <v>Intermediate</v>
      </c>
      <c r="AX90" t="str">
        <f>VLOOKUP(D90, METADATALOOKUP!$A:$AI, 19, FALSE)</f>
        <v>No</v>
      </c>
      <c r="AY90">
        <f>LOOKUP(D90, SURVLOOKUP!$A:$A, SURVLOOKUP!$P:$P)</f>
        <v>1</v>
      </c>
      <c r="AZ90" s="46">
        <v>9</v>
      </c>
      <c r="BA90" t="str">
        <f>TEXT(VLOOKUP(D90, METADATALOOKUP!$A:$AI, 34, FALSE), "@")</f>
        <v>0.9</v>
      </c>
      <c r="BB90" s="47" t="str">
        <f t="shared" si="33"/>
        <v>Responder</v>
      </c>
      <c r="BC90">
        <v>0.108</v>
      </c>
      <c r="BD90" s="1">
        <v>42670</v>
      </c>
    </row>
    <row r="91" spans="1:64" x14ac:dyDescent="0.2">
      <c r="A91" s="3" t="s">
        <v>364</v>
      </c>
      <c r="B91" t="str">
        <f>VLOOKUP(A91, IDSLOOKUP!C:E, 2, FALSE)</f>
        <v>Day 0</v>
      </c>
      <c r="C91" t="str">
        <f>VLOOKUP(D91, METADATALOOKUP!$A:$AI, 13, FALSE)</f>
        <v>Oral Cavity</v>
      </c>
      <c r="D91" t="str">
        <f>VLOOKUP(A91, IDSLOOKUP!C:E, 3, FALSE)</f>
        <v>HN01-06</v>
      </c>
      <c r="E91" s="48">
        <f>VLOOKUP(A91,CFDNALOOKUP!AG:AI,2,FALSE)</f>
        <v>43825</v>
      </c>
      <c r="F91" s="48">
        <f>VLOOKUP(A91,CFDNALOOKUP!AG:AI,3,FALSE)</f>
        <v>43901</v>
      </c>
      <c r="G91" s="1">
        <f>VLOOKUP(D91, SURVLOOKUP!$A:$Q, 2, FALSE)</f>
        <v>42644</v>
      </c>
      <c r="H91" s="1">
        <f>VLOOKUP(D91, SURVLOOKUP!$A:$Q, 3, FALSE)</f>
        <v>42667</v>
      </c>
      <c r="I91" s="1">
        <f>VLOOKUP(D91, SURVLOOKUP!$A:$Q, 4, FALSE)</f>
        <v>42670</v>
      </c>
      <c r="J91" s="1">
        <f>VLOOKUP(D91, SURVLOOKUP!$A:$Q, 5, FALSE)</f>
        <v>42678</v>
      </c>
      <c r="K91" s="1">
        <f>VLOOKUP(D91, SURVLOOKUP!$A:$Q, 6, FALSE)</f>
        <v>42725</v>
      </c>
      <c r="L91" s="1">
        <f>VLOOKUP(D91, SURVLOOKUP!$A:$Q, 7, FALSE)</f>
        <v>42774</v>
      </c>
      <c r="M91" s="1">
        <f>VLOOKUP(D91, SURVLOOKUP!$A:$Q, 8, FALSE)</f>
        <v>42725</v>
      </c>
      <c r="N91" s="1">
        <f>VLOOKUP(D91, SURVLOOKUP!$A:$Q, 9, FALSE)</f>
        <v>42831</v>
      </c>
      <c r="O91" s="1" t="str">
        <f>VLOOKUP(D91, SURVLOOKUP!$A:$Q, 10, FALSE)</f>
        <v>NA</v>
      </c>
      <c r="P91" s="1">
        <f>VLOOKUP(D91, OLDSURVLOOKUP!$A:$AA, 19, FALSE)</f>
        <v>44302</v>
      </c>
      <c r="Q91" s="1">
        <f>VLOOKUP(D91, SURVLOOKUP!$A:$Q, 11, FALSE)</f>
        <v>44684</v>
      </c>
      <c r="R91" s="1"/>
      <c r="S91" s="1"/>
      <c r="T91" s="1"/>
      <c r="U91" s="1"/>
      <c r="V91">
        <f>_xlfn.XLOOKUP(D91, OLDSURVLOOKUP!$A:$A, OLDSURVLOOKUP!V:V)</f>
        <v>0</v>
      </c>
      <c r="W91">
        <f>VLOOKUP(D91, SURVLOOKUP!$A:$Q, 14, FALSE)</f>
        <v>0</v>
      </c>
      <c r="X91">
        <f>_xlfn.XLOOKUP(D91, OLDSURVLOOKUP!$A:$A, OLDSURVLOOKUP!X:X)</f>
        <v>0</v>
      </c>
      <c r="Y91">
        <f>VLOOKUP(D91, SURVLOOKUP!$A:$Q, 15, FALSE)</f>
        <v>0</v>
      </c>
      <c r="Z91">
        <f t="shared" si="24"/>
        <v>53.645161290322584</v>
      </c>
      <c r="AA91">
        <f t="shared" si="25"/>
        <v>66.193548387096769</v>
      </c>
      <c r="AB91">
        <f t="shared" si="26"/>
        <v>53.645161290322584</v>
      </c>
      <c r="AC91">
        <f t="shared" si="27"/>
        <v>66.193548387096769</v>
      </c>
      <c r="AD91">
        <f t="shared" si="28"/>
        <v>53.4</v>
      </c>
      <c r="AE91">
        <f t="shared" si="35"/>
        <v>65.966666666666669</v>
      </c>
      <c r="AF91">
        <f t="shared" si="36"/>
        <v>53.4</v>
      </c>
      <c r="AG91">
        <f t="shared" si="37"/>
        <v>65.966666666666669</v>
      </c>
      <c r="AH91">
        <f t="shared" si="29"/>
        <v>51.838709677419352</v>
      </c>
      <c r="AI91">
        <f t="shared" si="30"/>
        <v>64.387096774193552</v>
      </c>
      <c r="AJ91">
        <f t="shared" si="31"/>
        <v>51.838709677419352</v>
      </c>
      <c r="AK91">
        <f t="shared" si="32"/>
        <v>64.387096774193552</v>
      </c>
      <c r="AL91">
        <f t="shared" si="34"/>
        <v>1</v>
      </c>
      <c r="AM91" t="str">
        <f t="shared" si="23"/>
        <v>University of Cincinnati</v>
      </c>
      <c r="AN91">
        <v>0</v>
      </c>
      <c r="AO91">
        <v>35</v>
      </c>
      <c r="AP91">
        <f>VLOOKUP(D91, METADATALOOKUP!$A:$AI, 7, FALSE)</f>
        <v>65</v>
      </c>
      <c r="AQ91" t="str">
        <f>VLOOKUP(D91, METADATALOOKUP!$A:$AI, 8, FALSE)</f>
        <v>Male</v>
      </c>
      <c r="AR91" t="str">
        <f>VLOOKUP(D91, METADATALOOKUP!$A:$AI, 9, FALSE)</f>
        <v>White</v>
      </c>
      <c r="AS91" t="str">
        <f>VLOOKUP(D91, METADATALOOKUP!$A:$AI, 11, FALSE)</f>
        <v>Yes</v>
      </c>
      <c r="AT91" t="str">
        <f>VLOOKUP(D91, METADATALOOKUP!$A:$AI, 10, FALSE)</f>
        <v>Non-Hispanic</v>
      </c>
      <c r="AU91" t="str">
        <f>VLOOKUP(D91, METADATALOOKUP!$A:$AI, 12, FALSE)</f>
        <v>Yes</v>
      </c>
      <c r="AV91" t="str">
        <f>VLOOKUP(D91, METADATALOOKUP!$A:$AI, 14, FALSE)</f>
        <v>T3N0M0</v>
      </c>
      <c r="AW91" t="str">
        <f>VLOOKUP(D91, METADATALOOKUP!$A:$AI, 6, FALSE)</f>
        <v>Intermediate</v>
      </c>
      <c r="AX91" t="str">
        <f>VLOOKUP(D91, METADATALOOKUP!$A:$AI, 19, FALSE)</f>
        <v>No</v>
      </c>
      <c r="AY91">
        <f>LOOKUP(D91, SURVLOOKUP!$A:$A, SURVLOOKUP!$P:$P)</f>
        <v>1</v>
      </c>
      <c r="AZ91" s="46">
        <v>9</v>
      </c>
      <c r="BA91" t="str">
        <f>TEXT(VLOOKUP(D91, METADATALOOKUP!$A:$AI, 34, FALSE), "@")</f>
        <v>0.9</v>
      </c>
      <c r="BB91" s="47" t="str">
        <f t="shared" si="33"/>
        <v>Responder</v>
      </c>
      <c r="BC91">
        <v>0.114</v>
      </c>
      <c r="BD91" s="1">
        <v>42676</v>
      </c>
    </row>
    <row r="92" spans="1:64" x14ac:dyDescent="0.2">
      <c r="A92" s="3" t="s">
        <v>365</v>
      </c>
      <c r="B92" t="str">
        <f>VLOOKUP(A92, IDSLOOKUP!C:E, 2, FALSE)</f>
        <v>Adj Wk 1</v>
      </c>
      <c r="C92" t="str">
        <f>VLOOKUP(D92, METADATALOOKUP!$A:$AI, 13, FALSE)</f>
        <v>Oral Cavity</v>
      </c>
      <c r="D92" t="str">
        <f>VLOOKUP(A92, IDSLOOKUP!C:E, 3, FALSE)</f>
        <v>HN01-06</v>
      </c>
      <c r="E92" s="48">
        <f>VLOOKUP(A92,CFDNALOOKUP!AG:AI,2,FALSE)</f>
        <v>43825</v>
      </c>
      <c r="F92" s="48">
        <f>VLOOKUP(A92,CFDNALOOKUP!AG:AI,3,FALSE)</f>
        <v>43887</v>
      </c>
      <c r="G92" s="1">
        <f>VLOOKUP(D92, SURVLOOKUP!$A:$Q, 2, FALSE)</f>
        <v>42644</v>
      </c>
      <c r="H92" s="1">
        <f>VLOOKUP(D92, SURVLOOKUP!$A:$Q, 3, FALSE)</f>
        <v>42667</v>
      </c>
      <c r="I92" s="1">
        <f>VLOOKUP(D92, SURVLOOKUP!$A:$Q, 4, FALSE)</f>
        <v>42670</v>
      </c>
      <c r="J92" s="1">
        <f>VLOOKUP(D92, SURVLOOKUP!$A:$Q, 5, FALSE)</f>
        <v>42678</v>
      </c>
      <c r="K92" s="1">
        <f>VLOOKUP(D92, SURVLOOKUP!$A:$Q, 6, FALSE)</f>
        <v>42725</v>
      </c>
      <c r="L92" s="1">
        <f>VLOOKUP(D92, SURVLOOKUP!$A:$Q, 7, FALSE)</f>
        <v>42774</v>
      </c>
      <c r="M92" s="1">
        <f>VLOOKUP(D92, SURVLOOKUP!$A:$Q, 8, FALSE)</f>
        <v>42725</v>
      </c>
      <c r="N92" s="1">
        <f>VLOOKUP(D92, SURVLOOKUP!$A:$Q, 9, FALSE)</f>
        <v>42831</v>
      </c>
      <c r="O92" s="1" t="str">
        <f>VLOOKUP(D92, SURVLOOKUP!$A:$Q, 10, FALSE)</f>
        <v>NA</v>
      </c>
      <c r="P92" s="1">
        <f>VLOOKUP(D92, OLDSURVLOOKUP!$A:$AA, 19, FALSE)</f>
        <v>44302</v>
      </c>
      <c r="Q92" s="1">
        <f>VLOOKUP(D92, SURVLOOKUP!$A:$Q, 11, FALSE)</f>
        <v>44684</v>
      </c>
      <c r="R92" s="1"/>
      <c r="S92" s="1"/>
      <c r="T92" s="1"/>
      <c r="U92" s="1"/>
      <c r="V92">
        <f>_xlfn.XLOOKUP(D92, OLDSURVLOOKUP!$A:$A, OLDSURVLOOKUP!V:V)</f>
        <v>0</v>
      </c>
      <c r="W92">
        <f>VLOOKUP(D92, SURVLOOKUP!$A:$Q, 14, FALSE)</f>
        <v>0</v>
      </c>
      <c r="X92">
        <f>_xlfn.XLOOKUP(D92, OLDSURVLOOKUP!$A:$A, OLDSURVLOOKUP!X:X)</f>
        <v>0</v>
      </c>
      <c r="Y92">
        <f>VLOOKUP(D92, SURVLOOKUP!$A:$Q, 15, FALSE)</f>
        <v>0</v>
      </c>
      <c r="Z92">
        <f t="shared" si="24"/>
        <v>53.645161290322584</v>
      </c>
      <c r="AA92">
        <f t="shared" si="25"/>
        <v>66.193548387096769</v>
      </c>
      <c r="AB92">
        <f t="shared" si="26"/>
        <v>53.645161290322584</v>
      </c>
      <c r="AC92">
        <f t="shared" si="27"/>
        <v>66.193548387096769</v>
      </c>
      <c r="AD92">
        <f t="shared" si="28"/>
        <v>53.4</v>
      </c>
      <c r="AE92">
        <f t="shared" si="35"/>
        <v>65.966666666666669</v>
      </c>
      <c r="AF92">
        <f t="shared" si="36"/>
        <v>53.4</v>
      </c>
      <c r="AG92">
        <f t="shared" si="37"/>
        <v>65.966666666666669</v>
      </c>
      <c r="AH92">
        <f t="shared" si="29"/>
        <v>51.838709677419352</v>
      </c>
      <c r="AI92">
        <f t="shared" si="30"/>
        <v>64.387096774193552</v>
      </c>
      <c r="AJ92">
        <f t="shared" si="31"/>
        <v>51.838709677419352</v>
      </c>
      <c r="AK92">
        <f t="shared" si="32"/>
        <v>64.387096774193552</v>
      </c>
      <c r="AL92">
        <f t="shared" si="34"/>
        <v>1</v>
      </c>
      <c r="AM92" t="str">
        <f t="shared" si="23"/>
        <v>University of Cincinnati</v>
      </c>
      <c r="AN92">
        <v>0</v>
      </c>
      <c r="AO92">
        <v>35</v>
      </c>
      <c r="AP92">
        <f>VLOOKUP(D92, METADATALOOKUP!$A:$AI, 7, FALSE)</f>
        <v>65</v>
      </c>
      <c r="AQ92" t="str">
        <f>VLOOKUP(D92, METADATALOOKUP!$A:$AI, 8, FALSE)</f>
        <v>Male</v>
      </c>
      <c r="AR92" t="str">
        <f>VLOOKUP(D92, METADATALOOKUP!$A:$AI, 9, FALSE)</f>
        <v>White</v>
      </c>
      <c r="AS92" t="str">
        <f>VLOOKUP(D92, METADATALOOKUP!$A:$AI, 11, FALSE)</f>
        <v>Yes</v>
      </c>
      <c r="AT92" t="str">
        <f>VLOOKUP(D92, METADATALOOKUP!$A:$AI, 10, FALSE)</f>
        <v>Non-Hispanic</v>
      </c>
      <c r="AU92" t="str">
        <f>VLOOKUP(D92, METADATALOOKUP!$A:$AI, 12, FALSE)</f>
        <v>Yes</v>
      </c>
      <c r="AV92" t="str">
        <f>VLOOKUP(D92, METADATALOOKUP!$A:$AI, 14, FALSE)</f>
        <v>T3N0M0</v>
      </c>
      <c r="AW92" t="str">
        <f>VLOOKUP(D92, METADATALOOKUP!$A:$AI, 6, FALSE)</f>
        <v>Intermediate</v>
      </c>
      <c r="AX92" t="str">
        <f>VLOOKUP(D92, METADATALOOKUP!$A:$AI, 19, FALSE)</f>
        <v>No</v>
      </c>
      <c r="AY92">
        <f>LOOKUP(D92, SURVLOOKUP!$A:$A, SURVLOOKUP!$P:$P)</f>
        <v>1</v>
      </c>
      <c r="AZ92" s="46">
        <v>9</v>
      </c>
      <c r="BA92" t="str">
        <f>TEXT(VLOOKUP(D92, METADATALOOKUP!$A:$AI, 34, FALSE), "@")</f>
        <v>0.9</v>
      </c>
      <c r="BB92" s="47" t="str">
        <f t="shared" si="33"/>
        <v>Responder</v>
      </c>
      <c r="BC92">
        <v>0.14599999999999999</v>
      </c>
      <c r="BD92" s="1">
        <v>42725</v>
      </c>
    </row>
    <row r="93" spans="1:64" x14ac:dyDescent="0.2">
      <c r="A93" s="3" t="s">
        <v>366</v>
      </c>
      <c r="B93" t="str">
        <f>VLOOKUP(A93, IDSLOOKUP!C:E, 2, FALSE)</f>
        <v>Screen</v>
      </c>
      <c r="C93" t="str">
        <f>VLOOKUP(D93, METADATALOOKUP!$A:$AI, 13, FALSE)</f>
        <v>Oral Cavity</v>
      </c>
      <c r="D93" t="str">
        <f>VLOOKUP(A93, IDSLOOKUP!C:E, 3, FALSE)</f>
        <v>HN01-10</v>
      </c>
      <c r="E93" s="48">
        <f>VLOOKUP(A93,CFDNALOOKUP!AG:AI,2,FALSE)</f>
        <v>43825</v>
      </c>
      <c r="F93" s="48">
        <f>VLOOKUP(A93,CFDNALOOKUP!AG:AI,3,FALSE)</f>
        <v>43887</v>
      </c>
      <c r="G93" s="1">
        <f>VLOOKUP(D93, SURVLOOKUP!$A:$Q, 2, FALSE)</f>
        <v>42874</v>
      </c>
      <c r="H93" s="1">
        <f>VLOOKUP(D93, SURVLOOKUP!$A:$Q, 3, FALSE)</f>
        <v>42885</v>
      </c>
      <c r="I93" s="1">
        <f>VLOOKUP(D93, SURVLOOKUP!$A:$Q, 4, FALSE)</f>
        <v>42891</v>
      </c>
      <c r="J93" s="1">
        <f>VLOOKUP(D93, SURVLOOKUP!$A:$Q, 5, FALSE)</f>
        <v>42898</v>
      </c>
      <c r="K93" s="1">
        <f>VLOOKUP(D93, SURVLOOKUP!$A:$Q, 6, FALSE)</f>
        <v>42947</v>
      </c>
      <c r="L93" s="1">
        <f>VLOOKUP(D93, SURVLOOKUP!$A:$Q, 7, FALSE)</f>
        <v>42987</v>
      </c>
      <c r="M93" s="1">
        <f>VLOOKUP(D93, SURVLOOKUP!$A:$Q, 8, FALSE)</f>
        <v>42934</v>
      </c>
      <c r="N93" s="1">
        <f>VLOOKUP(D93, SURVLOOKUP!$A:$Q, 9, FALSE)</f>
        <v>43039</v>
      </c>
      <c r="O93" s="1" t="str">
        <f>VLOOKUP(D93, SURVLOOKUP!$A:$Q, 10, FALSE)</f>
        <v>NA</v>
      </c>
      <c r="P93" s="1">
        <f>VLOOKUP(D93, OLDSURVLOOKUP!$A:$AA, 19, FALSE)</f>
        <v>44253</v>
      </c>
      <c r="Q93" s="1">
        <f>VLOOKUP(D93, SURVLOOKUP!$A:$Q, 11, FALSE)</f>
        <v>44680</v>
      </c>
      <c r="R93" s="1">
        <f>VLOOKUP(D93, OLDSURVLOOKUP!$A:$AA, 20, FALSE)</f>
        <v>43537</v>
      </c>
      <c r="S93" s="1">
        <f>VLOOKUP(D93, SURVLOOKUP!$A:$Q, 12, FALSE)</f>
        <v>43537</v>
      </c>
      <c r="T93" s="1"/>
      <c r="U93" s="1">
        <f>VLOOKUP(D93, SURVLOOKUP!$A:$Q, 13, FALSE)</f>
        <v>44681</v>
      </c>
      <c r="V93">
        <f>_xlfn.XLOOKUP(D93, OLDSURVLOOKUP!$A:$A, OLDSURVLOOKUP!V:V)</f>
        <v>1</v>
      </c>
      <c r="W93">
        <f>VLOOKUP(D93, SURVLOOKUP!$A:$Q, 14, FALSE)</f>
        <v>1</v>
      </c>
      <c r="X93">
        <f>_xlfn.XLOOKUP(D93, OLDSURVLOOKUP!$A:$A, OLDSURVLOOKUP!X:X)</f>
        <v>0</v>
      </c>
      <c r="Y93">
        <f>VLOOKUP(D93, SURVLOOKUP!$A:$Q, 15, FALSE)</f>
        <v>1</v>
      </c>
      <c r="Z93">
        <f t="shared" si="24"/>
        <v>21.266666666666666</v>
      </c>
      <c r="AA93">
        <f t="shared" si="25"/>
        <v>21.266666666666666</v>
      </c>
      <c r="AB93">
        <f t="shared" si="26"/>
        <v>44.7</v>
      </c>
      <c r="AC93">
        <f t="shared" si="27"/>
        <v>58.833333333333336</v>
      </c>
      <c r="AD93">
        <f t="shared" si="28"/>
        <v>21.033333333333335</v>
      </c>
      <c r="AE93">
        <f t="shared" si="35"/>
        <v>21.033333333333335</v>
      </c>
      <c r="AF93">
        <f t="shared" si="36"/>
        <v>44.466666666666669</v>
      </c>
      <c r="AG93">
        <f t="shared" si="37"/>
        <v>58.6</v>
      </c>
      <c r="AH93">
        <f t="shared" si="29"/>
        <v>19.741935483870968</v>
      </c>
      <c r="AI93">
        <f t="shared" si="30"/>
        <v>19.741935483870968</v>
      </c>
      <c r="AJ93">
        <f t="shared" si="31"/>
        <v>43.258064516129032</v>
      </c>
      <c r="AK93">
        <f t="shared" si="32"/>
        <v>57.387096774193552</v>
      </c>
      <c r="AL93">
        <f t="shared" si="34"/>
        <v>1</v>
      </c>
      <c r="AM93" t="str">
        <f t="shared" si="23"/>
        <v>University of Cincinnati</v>
      </c>
      <c r="AN93">
        <v>0</v>
      </c>
      <c r="AO93">
        <v>36</v>
      </c>
      <c r="AP93">
        <f>VLOOKUP(D93, METADATALOOKUP!$A:$AI, 7, FALSE)</f>
        <v>68</v>
      </c>
      <c r="AQ93" t="str">
        <f>VLOOKUP(D93, METADATALOOKUP!$A:$AI, 8, FALSE)</f>
        <v>Female</v>
      </c>
      <c r="AR93" t="str">
        <f>VLOOKUP(D93, METADATALOOKUP!$A:$AI, 9, FALSE)</f>
        <v>White</v>
      </c>
      <c r="AS93" t="str">
        <f>VLOOKUP(D93, METADATALOOKUP!$A:$AI, 11, FALSE)</f>
        <v>No</v>
      </c>
      <c r="AT93" t="str">
        <f>VLOOKUP(D93, METADATALOOKUP!$A:$AI, 10, FALSE)</f>
        <v>Non-Hispanic</v>
      </c>
      <c r="AU93" t="str">
        <f>VLOOKUP(D93, METADATALOOKUP!$A:$AI, 12, FALSE)</f>
        <v>No</v>
      </c>
      <c r="AV93" t="str">
        <f>VLOOKUP(D93, METADATALOOKUP!$A:$AI, 14, FALSE)</f>
        <v>T4aN1M0</v>
      </c>
      <c r="AW93" t="str">
        <f>VLOOKUP(D93, METADATALOOKUP!$A:$AI, 6, FALSE)</f>
        <v>Intermediate</v>
      </c>
      <c r="AX93" t="str">
        <f>VLOOKUP(D93, METADATALOOKUP!$A:$AI, 19, FALSE)</f>
        <v>No</v>
      </c>
      <c r="AY93">
        <f>LOOKUP(D93, SURVLOOKUP!$A:$A, SURVLOOKUP!$P:$P)</f>
        <v>1</v>
      </c>
      <c r="AZ93" s="46">
        <v>2</v>
      </c>
      <c r="BA93" t="str">
        <f>TEXT(VLOOKUP(D93, METADATALOOKUP!$A:$AI, 34, FALSE), "@")</f>
        <v>20-30%</v>
      </c>
      <c r="BB93" s="47" t="str">
        <f t="shared" si="33"/>
        <v>Responder</v>
      </c>
      <c r="BC93">
        <v>0.21199999999999999</v>
      </c>
      <c r="BD93" s="1">
        <v>42891</v>
      </c>
    </row>
    <row r="94" spans="1:64" x14ac:dyDescent="0.2">
      <c r="A94" s="3" t="s">
        <v>369</v>
      </c>
      <c r="B94" t="str">
        <f>VLOOKUP(A94, IDSLOOKUP!C:E, 2, FALSE)</f>
        <v>Day 0</v>
      </c>
      <c r="C94" t="str">
        <f>VLOOKUP(D94, METADATALOOKUP!$A:$AI, 13, FALSE)</f>
        <v>Oral Cavity</v>
      </c>
      <c r="D94" t="str">
        <f>VLOOKUP(A94, IDSLOOKUP!C:E, 3, FALSE)</f>
        <v>HN01-10</v>
      </c>
      <c r="E94" s="48">
        <f>VLOOKUP(A94,CFDNALOOKUP!AG:AI,2,FALSE)</f>
        <v>43825</v>
      </c>
      <c r="F94" s="48">
        <f>VLOOKUP(A94,CFDNALOOKUP!AG:AI,3,FALSE)</f>
        <v>43898</v>
      </c>
      <c r="G94" s="1">
        <f>VLOOKUP(D94, SURVLOOKUP!$A:$Q, 2, FALSE)</f>
        <v>42874</v>
      </c>
      <c r="H94" s="1">
        <f>VLOOKUP(D94, SURVLOOKUP!$A:$Q, 3, FALSE)</f>
        <v>42885</v>
      </c>
      <c r="I94" s="1">
        <f>VLOOKUP(D94, SURVLOOKUP!$A:$Q, 4, FALSE)</f>
        <v>42891</v>
      </c>
      <c r="J94" s="1">
        <f>VLOOKUP(D94, SURVLOOKUP!$A:$Q, 5, FALSE)</f>
        <v>42898</v>
      </c>
      <c r="K94" s="1">
        <f>VLOOKUP(D94, SURVLOOKUP!$A:$Q, 6, FALSE)</f>
        <v>42947</v>
      </c>
      <c r="L94" s="1">
        <f>VLOOKUP(D94, SURVLOOKUP!$A:$Q, 7, FALSE)</f>
        <v>42987</v>
      </c>
      <c r="M94" s="1">
        <f>VLOOKUP(D94, SURVLOOKUP!$A:$Q, 8, FALSE)</f>
        <v>42934</v>
      </c>
      <c r="N94" s="1">
        <f>VLOOKUP(D94, SURVLOOKUP!$A:$Q, 9, FALSE)</f>
        <v>43039</v>
      </c>
      <c r="O94" s="1" t="str">
        <f>VLOOKUP(D94, SURVLOOKUP!$A:$Q, 10, FALSE)</f>
        <v>NA</v>
      </c>
      <c r="P94" s="1">
        <f>VLOOKUP(D94, OLDSURVLOOKUP!$A:$AA, 19, FALSE)</f>
        <v>44253</v>
      </c>
      <c r="Q94" s="1">
        <f>VLOOKUP(D94, SURVLOOKUP!$A:$Q, 11, FALSE)</f>
        <v>44680</v>
      </c>
      <c r="R94" s="1">
        <f>VLOOKUP(D94, OLDSURVLOOKUP!$A:$AA, 20, FALSE)</f>
        <v>43537</v>
      </c>
      <c r="S94" s="1">
        <f>VLOOKUP(D94, SURVLOOKUP!$A:$Q, 12, FALSE)</f>
        <v>43537</v>
      </c>
      <c r="T94" s="1"/>
      <c r="U94" s="1">
        <f>VLOOKUP(D94, SURVLOOKUP!$A:$Q, 13, FALSE)</f>
        <v>44681</v>
      </c>
      <c r="V94">
        <f>_xlfn.XLOOKUP(D94, OLDSURVLOOKUP!$A:$A, OLDSURVLOOKUP!V:V)</f>
        <v>1</v>
      </c>
      <c r="W94">
        <f>VLOOKUP(D94, SURVLOOKUP!$A:$Q, 14, FALSE)</f>
        <v>1</v>
      </c>
      <c r="X94">
        <f>_xlfn.XLOOKUP(D94, OLDSURVLOOKUP!$A:$A, OLDSURVLOOKUP!X:X)</f>
        <v>0</v>
      </c>
      <c r="Y94">
        <f>VLOOKUP(D94, SURVLOOKUP!$A:$Q, 15, FALSE)</f>
        <v>1</v>
      </c>
      <c r="Z94">
        <f t="shared" si="24"/>
        <v>21.266666666666666</v>
      </c>
      <c r="AA94">
        <f t="shared" si="25"/>
        <v>21.266666666666666</v>
      </c>
      <c r="AB94">
        <f t="shared" si="26"/>
        <v>44.7</v>
      </c>
      <c r="AC94">
        <f t="shared" si="27"/>
        <v>58.833333333333336</v>
      </c>
      <c r="AD94">
        <f t="shared" si="28"/>
        <v>21.033333333333335</v>
      </c>
      <c r="AE94">
        <f t="shared" si="35"/>
        <v>21.033333333333335</v>
      </c>
      <c r="AF94">
        <f t="shared" si="36"/>
        <v>44.466666666666669</v>
      </c>
      <c r="AG94">
        <f t="shared" si="37"/>
        <v>58.6</v>
      </c>
      <c r="AH94">
        <f t="shared" si="29"/>
        <v>19.741935483870968</v>
      </c>
      <c r="AI94">
        <f t="shared" si="30"/>
        <v>19.741935483870968</v>
      </c>
      <c r="AJ94">
        <f t="shared" si="31"/>
        <v>43.258064516129032</v>
      </c>
      <c r="AK94">
        <f t="shared" si="32"/>
        <v>57.387096774193552</v>
      </c>
      <c r="AL94">
        <f t="shared" si="34"/>
        <v>1</v>
      </c>
      <c r="AM94" t="str">
        <f t="shared" si="23"/>
        <v>University of Cincinnati</v>
      </c>
      <c r="AN94">
        <v>0</v>
      </c>
      <c r="AO94">
        <v>36</v>
      </c>
      <c r="AP94">
        <f>VLOOKUP(D94, METADATALOOKUP!$A:$AI, 7, FALSE)</f>
        <v>68</v>
      </c>
      <c r="AQ94" t="str">
        <f>VLOOKUP(D94, METADATALOOKUP!$A:$AI, 8, FALSE)</f>
        <v>Female</v>
      </c>
      <c r="AR94" t="str">
        <f>VLOOKUP(D94, METADATALOOKUP!$A:$AI, 9, FALSE)</f>
        <v>White</v>
      </c>
      <c r="AS94" t="str">
        <f>VLOOKUP(D94, METADATALOOKUP!$A:$AI, 11, FALSE)</f>
        <v>No</v>
      </c>
      <c r="AT94" t="str">
        <f>VLOOKUP(D94, METADATALOOKUP!$A:$AI, 10, FALSE)</f>
        <v>Non-Hispanic</v>
      </c>
      <c r="AU94" t="str">
        <f>VLOOKUP(D94, METADATALOOKUP!$A:$AI, 12, FALSE)</f>
        <v>No</v>
      </c>
      <c r="AV94" t="str">
        <f>VLOOKUP(D94, METADATALOOKUP!$A:$AI, 14, FALSE)</f>
        <v>T4aN1M0</v>
      </c>
      <c r="AW94" t="str">
        <f>VLOOKUP(D94, METADATALOOKUP!$A:$AI, 6, FALSE)</f>
        <v>Intermediate</v>
      </c>
      <c r="AX94" t="str">
        <f>VLOOKUP(D94, METADATALOOKUP!$A:$AI, 19, FALSE)</f>
        <v>No</v>
      </c>
      <c r="AY94">
        <f>LOOKUP(D94, SURVLOOKUP!$A:$A, SURVLOOKUP!$P:$P)</f>
        <v>1</v>
      </c>
      <c r="AZ94" s="46">
        <v>2</v>
      </c>
      <c r="BA94" t="str">
        <f>TEXT(VLOOKUP(D94, METADATALOOKUP!$A:$AI, 34, FALSE), "@")</f>
        <v>20-30%</v>
      </c>
      <c r="BB94" s="47" t="str">
        <f t="shared" si="33"/>
        <v>Responder</v>
      </c>
      <c r="BC94">
        <v>0.214</v>
      </c>
      <c r="BD94" s="1">
        <v>42895</v>
      </c>
    </row>
    <row r="95" spans="1:64" x14ac:dyDescent="0.2">
      <c r="A95" s="3" t="s">
        <v>370</v>
      </c>
      <c r="B95" t="str">
        <f>VLOOKUP(A95, IDSLOOKUP!C:E, 2, FALSE)</f>
        <v>Adj Wk 1</v>
      </c>
      <c r="C95" t="str">
        <f>VLOOKUP(D95, METADATALOOKUP!$A:$AI, 13, FALSE)</f>
        <v>Oral Cavity</v>
      </c>
      <c r="D95" t="str">
        <f>VLOOKUP(A95, IDSLOOKUP!C:E, 3, FALSE)</f>
        <v>HN01-10</v>
      </c>
      <c r="E95" s="48">
        <f>VLOOKUP(A95,CFDNALOOKUP!AG:AI,2,FALSE)</f>
        <v>43825</v>
      </c>
      <c r="F95" s="48">
        <f>VLOOKUP(A95,CFDNALOOKUP!AG:AI,3,FALSE)</f>
        <v>43888</v>
      </c>
      <c r="G95" s="1">
        <f>VLOOKUP(D95, SURVLOOKUP!$A:$Q, 2, FALSE)</f>
        <v>42874</v>
      </c>
      <c r="H95" s="1">
        <f>VLOOKUP(D95, SURVLOOKUP!$A:$Q, 3, FALSE)</f>
        <v>42885</v>
      </c>
      <c r="I95" s="1">
        <f>VLOOKUP(D95, SURVLOOKUP!$A:$Q, 4, FALSE)</f>
        <v>42891</v>
      </c>
      <c r="J95" s="1">
        <f>VLOOKUP(D95, SURVLOOKUP!$A:$Q, 5, FALSE)</f>
        <v>42898</v>
      </c>
      <c r="K95" s="1">
        <f>VLOOKUP(D95, SURVLOOKUP!$A:$Q, 6, FALSE)</f>
        <v>42947</v>
      </c>
      <c r="L95" s="1">
        <f>VLOOKUP(D95, SURVLOOKUP!$A:$Q, 7, FALSE)</f>
        <v>42987</v>
      </c>
      <c r="M95" s="1">
        <f>VLOOKUP(D95, SURVLOOKUP!$A:$Q, 8, FALSE)</f>
        <v>42934</v>
      </c>
      <c r="N95" s="1">
        <f>VLOOKUP(D95, SURVLOOKUP!$A:$Q, 9, FALSE)</f>
        <v>43039</v>
      </c>
      <c r="O95" s="1" t="str">
        <f>VLOOKUP(D95, SURVLOOKUP!$A:$Q, 10, FALSE)</f>
        <v>NA</v>
      </c>
      <c r="P95" s="1">
        <f>VLOOKUP(D95, OLDSURVLOOKUP!$A:$AA, 19, FALSE)</f>
        <v>44253</v>
      </c>
      <c r="Q95" s="1">
        <f>VLOOKUP(D95, SURVLOOKUP!$A:$Q, 11, FALSE)</f>
        <v>44680</v>
      </c>
      <c r="R95" s="1">
        <f>VLOOKUP(D95, OLDSURVLOOKUP!$A:$AA, 20, FALSE)</f>
        <v>43537</v>
      </c>
      <c r="S95" s="1">
        <f>VLOOKUP(D95, SURVLOOKUP!$A:$Q, 12, FALSE)</f>
        <v>43537</v>
      </c>
      <c r="T95" s="1"/>
      <c r="U95" s="1">
        <f>VLOOKUP(D95, SURVLOOKUP!$A:$Q, 13, FALSE)</f>
        <v>44681</v>
      </c>
      <c r="V95">
        <f>_xlfn.XLOOKUP(D95, OLDSURVLOOKUP!$A:$A, OLDSURVLOOKUP!V:V)</f>
        <v>1</v>
      </c>
      <c r="W95">
        <f>VLOOKUP(D95, SURVLOOKUP!$A:$Q, 14, FALSE)</f>
        <v>1</v>
      </c>
      <c r="X95">
        <f>_xlfn.XLOOKUP(D95, OLDSURVLOOKUP!$A:$A, OLDSURVLOOKUP!X:X)</f>
        <v>0</v>
      </c>
      <c r="Y95">
        <f>VLOOKUP(D95, SURVLOOKUP!$A:$Q, 15, FALSE)</f>
        <v>1</v>
      </c>
      <c r="Z95">
        <f t="shared" si="24"/>
        <v>21.266666666666666</v>
      </c>
      <c r="AA95">
        <f t="shared" si="25"/>
        <v>21.266666666666666</v>
      </c>
      <c r="AB95">
        <f t="shared" si="26"/>
        <v>44.7</v>
      </c>
      <c r="AC95">
        <f t="shared" si="27"/>
        <v>58.833333333333336</v>
      </c>
      <c r="AD95">
        <f t="shared" si="28"/>
        <v>21.033333333333335</v>
      </c>
      <c r="AE95">
        <f t="shared" si="35"/>
        <v>21.033333333333335</v>
      </c>
      <c r="AF95">
        <f t="shared" si="36"/>
        <v>44.466666666666669</v>
      </c>
      <c r="AG95">
        <f t="shared" si="37"/>
        <v>58.6</v>
      </c>
      <c r="AH95">
        <f t="shared" si="29"/>
        <v>19.741935483870968</v>
      </c>
      <c r="AI95">
        <f t="shared" si="30"/>
        <v>19.741935483870968</v>
      </c>
      <c r="AJ95">
        <f t="shared" si="31"/>
        <v>43.258064516129032</v>
      </c>
      <c r="AK95">
        <f t="shared" si="32"/>
        <v>57.387096774193552</v>
      </c>
      <c r="AL95">
        <f t="shared" si="34"/>
        <v>1</v>
      </c>
      <c r="AM95" t="str">
        <f t="shared" si="23"/>
        <v>University of Cincinnati</v>
      </c>
      <c r="AN95">
        <v>0</v>
      </c>
      <c r="AO95">
        <v>36</v>
      </c>
      <c r="AP95">
        <f>VLOOKUP(D95, METADATALOOKUP!$A:$AI, 7, FALSE)</f>
        <v>68</v>
      </c>
      <c r="AQ95" t="str">
        <f>VLOOKUP(D95, METADATALOOKUP!$A:$AI, 8, FALSE)</f>
        <v>Female</v>
      </c>
      <c r="AR95" t="str">
        <f>VLOOKUP(D95, METADATALOOKUP!$A:$AI, 9, FALSE)</f>
        <v>White</v>
      </c>
      <c r="AS95" t="str">
        <f>VLOOKUP(D95, METADATALOOKUP!$A:$AI, 11, FALSE)</f>
        <v>No</v>
      </c>
      <c r="AT95" t="str">
        <f>VLOOKUP(D95, METADATALOOKUP!$A:$AI, 10, FALSE)</f>
        <v>Non-Hispanic</v>
      </c>
      <c r="AU95" t="str">
        <f>VLOOKUP(D95, METADATALOOKUP!$A:$AI, 12, FALSE)</f>
        <v>No</v>
      </c>
      <c r="AV95" t="str">
        <f>VLOOKUP(D95, METADATALOOKUP!$A:$AI, 14, FALSE)</f>
        <v>T4aN1M0</v>
      </c>
      <c r="AW95" t="str">
        <f>VLOOKUP(D95, METADATALOOKUP!$A:$AI, 6, FALSE)</f>
        <v>Intermediate</v>
      </c>
      <c r="AX95" t="str">
        <f>VLOOKUP(D95, METADATALOOKUP!$A:$AI, 19, FALSE)</f>
        <v>No</v>
      </c>
      <c r="AY95">
        <f>LOOKUP(D95, SURVLOOKUP!$A:$A, SURVLOOKUP!$P:$P)</f>
        <v>1</v>
      </c>
      <c r="AZ95" s="46">
        <v>2</v>
      </c>
      <c r="BA95" t="str">
        <f>TEXT(VLOOKUP(D95, METADATALOOKUP!$A:$AI, 34, FALSE), "@")</f>
        <v>20-30%</v>
      </c>
      <c r="BB95" s="47" t="str">
        <f t="shared" si="33"/>
        <v>Responder</v>
      </c>
      <c r="BC95">
        <v>0.17799999999999999</v>
      </c>
      <c r="BD95" s="1">
        <v>42934</v>
      </c>
    </row>
    <row r="96" spans="1:64" x14ac:dyDescent="0.2">
      <c r="A96" s="3" t="s">
        <v>371</v>
      </c>
      <c r="B96" t="str">
        <f>VLOOKUP(A96, IDSLOOKUP!C:E, 2, FALSE)</f>
        <v>Screen</v>
      </c>
      <c r="C96" t="str">
        <f>VLOOKUP(D96, METADATALOOKUP!$A:$AI, 13, FALSE)</f>
        <v>Oral Cavity</v>
      </c>
      <c r="D96" t="str">
        <f>VLOOKUP(A96, IDSLOOKUP!C:E, 3, FALSE)</f>
        <v>HN01-11</v>
      </c>
      <c r="E96" s="48">
        <f>VLOOKUP(A96,CFDNALOOKUP!AG:AI,2,FALSE)</f>
        <v>43825</v>
      </c>
      <c r="F96" s="48">
        <f>VLOOKUP(A96,CFDNALOOKUP!AG:AI,3,FALSE)</f>
        <v>43887</v>
      </c>
      <c r="G96" s="1">
        <f>VLOOKUP(D96, SURVLOOKUP!$A:$Q, 2, FALSE)</f>
        <v>42639</v>
      </c>
      <c r="H96" s="1">
        <f>VLOOKUP(D96, SURVLOOKUP!$A:$Q, 3, FALSE)</f>
        <v>42948</v>
      </c>
      <c r="I96" s="1">
        <f>VLOOKUP(D96, SURVLOOKUP!$A:$Q, 4, FALSE)</f>
        <v>42950</v>
      </c>
      <c r="J96" s="1">
        <f>VLOOKUP(D96, SURVLOOKUP!$A:$Q, 5, FALSE)</f>
        <v>42958</v>
      </c>
      <c r="K96" s="1">
        <f>VLOOKUP(D96, SURVLOOKUP!$A:$Q, 6, FALSE)</f>
        <v>42991</v>
      </c>
      <c r="L96" s="1">
        <f>VLOOKUP(D96, SURVLOOKUP!$A:$Q, 7, FALSE)</f>
        <v>43032</v>
      </c>
      <c r="M96" s="1">
        <f>VLOOKUP(D96, SURVLOOKUP!$A:$Q, 8, FALSE)</f>
        <v>42984</v>
      </c>
      <c r="N96" s="1">
        <f>VLOOKUP(D96, SURVLOOKUP!$A:$Q, 9, FALSE)</f>
        <v>43089</v>
      </c>
      <c r="O96" s="1" t="str">
        <f>VLOOKUP(D96, SURVLOOKUP!$A:$Q, 10, FALSE)</f>
        <v>NA</v>
      </c>
      <c r="P96" s="1">
        <f>VLOOKUP(D96, OLDSURVLOOKUP!$A:$AA, 19, FALSE)</f>
        <v>44229</v>
      </c>
      <c r="Q96" s="1">
        <f>VLOOKUP(D96, SURVLOOKUP!$A:$Q, 11, FALSE)</f>
        <v>44879</v>
      </c>
      <c r="R96" s="1"/>
      <c r="S96" s="1"/>
      <c r="T96" s="1"/>
      <c r="U96" s="1"/>
      <c r="V96">
        <f>_xlfn.XLOOKUP(D96, OLDSURVLOOKUP!$A:$A, OLDSURVLOOKUP!V:V)</f>
        <v>0</v>
      </c>
      <c r="W96">
        <f>VLOOKUP(D96, SURVLOOKUP!$A:$Q, 14, FALSE)</f>
        <v>0</v>
      </c>
      <c r="X96">
        <f>_xlfn.XLOOKUP(D96, OLDSURVLOOKUP!$A:$A, OLDSURVLOOKUP!X:X)</f>
        <v>0</v>
      </c>
      <c r="Y96">
        <f>VLOOKUP(D96, SURVLOOKUP!$A:$Q, 15, FALSE)</f>
        <v>0</v>
      </c>
      <c r="Z96">
        <f t="shared" si="24"/>
        <v>41.967741935483872</v>
      </c>
      <c r="AA96">
        <f t="shared" si="25"/>
        <v>63.354838709677416</v>
      </c>
      <c r="AB96">
        <f t="shared" si="26"/>
        <v>41.967741935483872</v>
      </c>
      <c r="AC96">
        <f t="shared" si="27"/>
        <v>63.354838709677416</v>
      </c>
      <c r="AD96">
        <f t="shared" si="28"/>
        <v>41.70967741935484</v>
      </c>
      <c r="AE96">
        <f t="shared" si="35"/>
        <v>63.096774193548384</v>
      </c>
      <c r="AF96">
        <f t="shared" si="36"/>
        <v>41.70967741935484</v>
      </c>
      <c r="AG96">
        <f t="shared" si="37"/>
        <v>63.096774193548384</v>
      </c>
      <c r="AH96">
        <f t="shared" si="29"/>
        <v>40.9</v>
      </c>
      <c r="AI96">
        <f t="shared" si="30"/>
        <v>62.266666666666666</v>
      </c>
      <c r="AJ96">
        <f t="shared" si="31"/>
        <v>40.9</v>
      </c>
      <c r="AK96">
        <f t="shared" si="32"/>
        <v>62.266666666666666</v>
      </c>
      <c r="AL96">
        <f t="shared" si="34"/>
        <v>1</v>
      </c>
      <c r="AM96" t="str">
        <f t="shared" si="23"/>
        <v>University of Cincinnati</v>
      </c>
      <c r="AN96">
        <v>1</v>
      </c>
      <c r="AO96">
        <v>37</v>
      </c>
      <c r="AP96">
        <f>VLOOKUP(D96, METADATALOOKUP!$A:$AI, 7, FALSE)</f>
        <v>28</v>
      </c>
      <c r="AQ96" t="str">
        <f>VLOOKUP(D96, METADATALOOKUP!$A:$AI, 8, FALSE)</f>
        <v>Male</v>
      </c>
      <c r="AR96" t="str">
        <f>VLOOKUP(D96, METADATALOOKUP!$A:$AI, 9, FALSE)</f>
        <v>White</v>
      </c>
      <c r="AS96" t="str">
        <f>VLOOKUP(D96, METADATALOOKUP!$A:$AI, 11, FALSE)</f>
        <v>No</v>
      </c>
      <c r="AT96" t="str">
        <f>VLOOKUP(D96, METADATALOOKUP!$A:$AI, 10, FALSE)</f>
        <v>Non-Hispanic</v>
      </c>
      <c r="AU96" t="str">
        <f>VLOOKUP(D96, METADATALOOKUP!$A:$AI, 12, FALSE)</f>
        <v>No</v>
      </c>
      <c r="AV96" t="str">
        <f>VLOOKUP(D96, METADATALOOKUP!$A:$AI, 14, FALSE)</f>
        <v>TxN3bM0</v>
      </c>
      <c r="AW96" t="str">
        <f>VLOOKUP(D96, METADATALOOKUP!$A:$AI, 6, FALSE)</f>
        <v>High</v>
      </c>
      <c r="AX96" t="str">
        <f>VLOOKUP(D96, METADATALOOKUP!$A:$AI, 19, FALSE)</f>
        <v>Unknown</v>
      </c>
      <c r="AY96">
        <f>LOOKUP(D96, SURVLOOKUP!$A:$A, SURVLOOKUP!$P:$P)</f>
        <v>1</v>
      </c>
      <c r="AZ96" s="46">
        <v>7</v>
      </c>
      <c r="BA96" t="str">
        <f>TEXT(VLOOKUP(D96, METADATALOOKUP!$A:$AI, 34, FALSE), "@")</f>
        <v>70-80%</v>
      </c>
      <c r="BB96" s="47" t="str">
        <f t="shared" si="33"/>
        <v>Responder</v>
      </c>
      <c r="BC96">
        <v>0.05</v>
      </c>
      <c r="BD96" s="1">
        <v>42950</v>
      </c>
    </row>
    <row r="97" spans="1:56" x14ac:dyDescent="0.2">
      <c r="A97" s="3" t="s">
        <v>373</v>
      </c>
      <c r="B97" t="str">
        <f>VLOOKUP(A97, IDSLOOKUP!C:E, 2, FALSE)</f>
        <v>Day 0</v>
      </c>
      <c r="C97" t="str">
        <f>VLOOKUP(D97, METADATALOOKUP!$A:$AI, 13, FALSE)</f>
        <v>Oral Cavity</v>
      </c>
      <c r="D97" t="str">
        <f>VLOOKUP(A97, IDSLOOKUP!C:E, 3, FALSE)</f>
        <v>HN01-11</v>
      </c>
      <c r="E97" s="48">
        <f>VLOOKUP(A97,CFDNALOOKUP!AG:AI,2,FALSE)</f>
        <v>43825</v>
      </c>
      <c r="F97" s="48">
        <f>VLOOKUP(A97,CFDNALOOKUP!AG:AI,3,FALSE)</f>
        <v>43898</v>
      </c>
      <c r="G97" s="1">
        <f>VLOOKUP(D97, SURVLOOKUP!$A:$Q, 2, FALSE)</f>
        <v>42639</v>
      </c>
      <c r="H97" s="1">
        <f>VLOOKUP(D97, SURVLOOKUP!$A:$Q, 3, FALSE)</f>
        <v>42948</v>
      </c>
      <c r="I97" s="1">
        <f>VLOOKUP(D97, SURVLOOKUP!$A:$Q, 4, FALSE)</f>
        <v>42950</v>
      </c>
      <c r="J97" s="1">
        <f>VLOOKUP(D97, SURVLOOKUP!$A:$Q, 5, FALSE)</f>
        <v>42958</v>
      </c>
      <c r="K97" s="1">
        <f>VLOOKUP(D97, SURVLOOKUP!$A:$Q, 6, FALSE)</f>
        <v>42991</v>
      </c>
      <c r="L97" s="1">
        <f>VLOOKUP(D97, SURVLOOKUP!$A:$Q, 7, FALSE)</f>
        <v>43032</v>
      </c>
      <c r="M97" s="1">
        <f>VLOOKUP(D97, SURVLOOKUP!$A:$Q, 8, FALSE)</f>
        <v>42984</v>
      </c>
      <c r="N97" s="1">
        <f>VLOOKUP(D97, SURVLOOKUP!$A:$Q, 9, FALSE)</f>
        <v>43089</v>
      </c>
      <c r="O97" s="1" t="str">
        <f>VLOOKUP(D97, SURVLOOKUP!$A:$Q, 10, FALSE)</f>
        <v>NA</v>
      </c>
      <c r="P97" s="1">
        <f>VLOOKUP(D97, OLDSURVLOOKUP!$A:$AA, 19, FALSE)</f>
        <v>44229</v>
      </c>
      <c r="Q97" s="1">
        <f>VLOOKUP(D97, SURVLOOKUP!$A:$Q, 11, FALSE)</f>
        <v>44879</v>
      </c>
      <c r="R97" s="1"/>
      <c r="S97" s="1"/>
      <c r="T97" s="1"/>
      <c r="U97" s="1"/>
      <c r="V97">
        <f>_xlfn.XLOOKUP(D97, OLDSURVLOOKUP!$A:$A, OLDSURVLOOKUP!V:V)</f>
        <v>0</v>
      </c>
      <c r="W97">
        <f>VLOOKUP(D97, SURVLOOKUP!$A:$Q, 14, FALSE)</f>
        <v>0</v>
      </c>
      <c r="X97">
        <f>_xlfn.XLOOKUP(D97, OLDSURVLOOKUP!$A:$A, OLDSURVLOOKUP!X:X)</f>
        <v>0</v>
      </c>
      <c r="Y97">
        <f>VLOOKUP(D97, SURVLOOKUP!$A:$Q, 15, FALSE)</f>
        <v>0</v>
      </c>
      <c r="Z97">
        <f t="shared" si="24"/>
        <v>41.967741935483872</v>
      </c>
      <c r="AA97">
        <f t="shared" si="25"/>
        <v>63.354838709677416</v>
      </c>
      <c r="AB97">
        <f t="shared" si="26"/>
        <v>41.967741935483872</v>
      </c>
      <c r="AC97">
        <f t="shared" si="27"/>
        <v>63.354838709677416</v>
      </c>
      <c r="AD97">
        <f t="shared" si="28"/>
        <v>41.70967741935484</v>
      </c>
      <c r="AE97">
        <f t="shared" si="35"/>
        <v>63.096774193548384</v>
      </c>
      <c r="AF97">
        <f t="shared" si="36"/>
        <v>41.70967741935484</v>
      </c>
      <c r="AG97">
        <f t="shared" si="37"/>
        <v>63.096774193548384</v>
      </c>
      <c r="AH97">
        <f t="shared" si="29"/>
        <v>40.9</v>
      </c>
      <c r="AI97">
        <f t="shared" si="30"/>
        <v>62.266666666666666</v>
      </c>
      <c r="AJ97">
        <f t="shared" si="31"/>
        <v>40.9</v>
      </c>
      <c r="AK97">
        <f t="shared" si="32"/>
        <v>62.266666666666666</v>
      </c>
      <c r="AL97">
        <f t="shared" si="34"/>
        <v>1</v>
      </c>
      <c r="AM97" t="str">
        <f t="shared" si="23"/>
        <v>University of Cincinnati</v>
      </c>
      <c r="AN97">
        <v>1</v>
      </c>
      <c r="AO97">
        <v>37</v>
      </c>
      <c r="AP97">
        <f>VLOOKUP(D97, METADATALOOKUP!$A:$AI, 7, FALSE)</f>
        <v>28</v>
      </c>
      <c r="AQ97" t="str">
        <f>VLOOKUP(D97, METADATALOOKUP!$A:$AI, 8, FALSE)</f>
        <v>Male</v>
      </c>
      <c r="AR97" t="str">
        <f>VLOOKUP(D97, METADATALOOKUP!$A:$AI, 9, FALSE)</f>
        <v>White</v>
      </c>
      <c r="AS97" t="str">
        <f>VLOOKUP(D97, METADATALOOKUP!$A:$AI, 11, FALSE)</f>
        <v>No</v>
      </c>
      <c r="AT97" t="str">
        <f>VLOOKUP(D97, METADATALOOKUP!$A:$AI, 10, FALSE)</f>
        <v>Non-Hispanic</v>
      </c>
      <c r="AU97" t="str">
        <f>VLOOKUP(D97, METADATALOOKUP!$A:$AI, 12, FALSE)</f>
        <v>No</v>
      </c>
      <c r="AV97" t="str">
        <f>VLOOKUP(D97, METADATALOOKUP!$A:$AI, 14, FALSE)</f>
        <v>TxN3bM0</v>
      </c>
      <c r="AW97" t="str">
        <f>VLOOKUP(D97, METADATALOOKUP!$A:$AI, 6, FALSE)</f>
        <v>High</v>
      </c>
      <c r="AX97" t="str">
        <f>VLOOKUP(D97, METADATALOOKUP!$A:$AI, 19, FALSE)</f>
        <v>Unknown</v>
      </c>
      <c r="AY97">
        <f>LOOKUP(D97, SURVLOOKUP!$A:$A, SURVLOOKUP!$P:$P)</f>
        <v>1</v>
      </c>
      <c r="AZ97" s="46">
        <v>7</v>
      </c>
      <c r="BA97" t="str">
        <f>TEXT(VLOOKUP(D97, METADATALOOKUP!$A:$AI, 34, FALSE), "@")</f>
        <v>70-80%</v>
      </c>
      <c r="BB97" s="47" t="str">
        <f t="shared" si="33"/>
        <v>Responder</v>
      </c>
      <c r="BC97">
        <v>0.45</v>
      </c>
      <c r="BD97" s="1">
        <v>42957</v>
      </c>
    </row>
    <row r="98" spans="1:56" x14ac:dyDescent="0.2">
      <c r="A98" s="3" t="s">
        <v>374</v>
      </c>
      <c r="B98" t="str">
        <f>VLOOKUP(A98, IDSLOOKUP!C:E, 2, FALSE)</f>
        <v>Adj Wk 1</v>
      </c>
      <c r="C98" t="str">
        <f>VLOOKUP(D98, METADATALOOKUP!$A:$AI, 13, FALSE)</f>
        <v>Oral Cavity</v>
      </c>
      <c r="D98" t="str">
        <f>VLOOKUP(A98, IDSLOOKUP!C:E, 3, FALSE)</f>
        <v>HN01-11</v>
      </c>
      <c r="E98" s="48">
        <f>VLOOKUP(A98,CFDNALOOKUP!AG:AI,2,FALSE)</f>
        <v>43825</v>
      </c>
      <c r="F98" s="48">
        <f>VLOOKUP(A98,CFDNALOOKUP!AG:AI,3,FALSE)</f>
        <v>43891</v>
      </c>
      <c r="G98" s="1">
        <f>VLOOKUP(D98, SURVLOOKUP!$A:$Q, 2, FALSE)</f>
        <v>42639</v>
      </c>
      <c r="H98" s="1">
        <f>VLOOKUP(D98, SURVLOOKUP!$A:$Q, 3, FALSE)</f>
        <v>42948</v>
      </c>
      <c r="I98" s="1">
        <f>VLOOKUP(D98, SURVLOOKUP!$A:$Q, 4, FALSE)</f>
        <v>42950</v>
      </c>
      <c r="J98" s="1">
        <f>VLOOKUP(D98, SURVLOOKUP!$A:$Q, 5, FALSE)</f>
        <v>42958</v>
      </c>
      <c r="K98" s="1">
        <f>VLOOKUP(D98, SURVLOOKUP!$A:$Q, 6, FALSE)</f>
        <v>42991</v>
      </c>
      <c r="L98" s="1">
        <f>VLOOKUP(D98, SURVLOOKUP!$A:$Q, 7, FALSE)</f>
        <v>43032</v>
      </c>
      <c r="M98" s="1">
        <f>VLOOKUP(D98, SURVLOOKUP!$A:$Q, 8, FALSE)</f>
        <v>42984</v>
      </c>
      <c r="N98" s="1">
        <f>VLOOKUP(D98, SURVLOOKUP!$A:$Q, 9, FALSE)</f>
        <v>43089</v>
      </c>
      <c r="O98" s="1" t="str">
        <f>VLOOKUP(D98, SURVLOOKUP!$A:$Q, 10, FALSE)</f>
        <v>NA</v>
      </c>
      <c r="P98" s="1">
        <f>VLOOKUP(D98, OLDSURVLOOKUP!$A:$AA, 19, FALSE)</f>
        <v>44229</v>
      </c>
      <c r="Q98" s="1">
        <f>VLOOKUP(D98, SURVLOOKUP!$A:$Q, 11, FALSE)</f>
        <v>44879</v>
      </c>
      <c r="R98" s="1"/>
      <c r="S98" s="1"/>
      <c r="T98" s="1"/>
      <c r="U98" s="1"/>
      <c r="V98">
        <f>_xlfn.XLOOKUP(D98, OLDSURVLOOKUP!$A:$A, OLDSURVLOOKUP!V:V)</f>
        <v>0</v>
      </c>
      <c r="W98">
        <f>VLOOKUP(D98, SURVLOOKUP!$A:$Q, 14, FALSE)</f>
        <v>0</v>
      </c>
      <c r="X98">
        <f>_xlfn.XLOOKUP(D98, OLDSURVLOOKUP!$A:$A, OLDSURVLOOKUP!X:X)</f>
        <v>0</v>
      </c>
      <c r="Y98">
        <f>VLOOKUP(D98, SURVLOOKUP!$A:$Q, 15, FALSE)</f>
        <v>0</v>
      </c>
      <c r="Z98">
        <f t="shared" si="24"/>
        <v>41.967741935483872</v>
      </c>
      <c r="AA98">
        <f t="shared" si="25"/>
        <v>63.354838709677416</v>
      </c>
      <c r="AB98">
        <f t="shared" si="26"/>
        <v>41.967741935483872</v>
      </c>
      <c r="AC98">
        <f t="shared" si="27"/>
        <v>63.354838709677416</v>
      </c>
      <c r="AD98">
        <f t="shared" si="28"/>
        <v>41.70967741935484</v>
      </c>
      <c r="AE98">
        <f t="shared" si="35"/>
        <v>63.096774193548384</v>
      </c>
      <c r="AF98">
        <f t="shared" si="36"/>
        <v>41.70967741935484</v>
      </c>
      <c r="AG98">
        <f t="shared" si="37"/>
        <v>63.096774193548384</v>
      </c>
      <c r="AH98">
        <f t="shared" si="29"/>
        <v>40.9</v>
      </c>
      <c r="AI98">
        <f t="shared" si="30"/>
        <v>62.266666666666666</v>
      </c>
      <c r="AJ98">
        <f t="shared" si="31"/>
        <v>40.9</v>
      </c>
      <c r="AK98">
        <f t="shared" si="32"/>
        <v>62.266666666666666</v>
      </c>
      <c r="AL98">
        <f t="shared" si="34"/>
        <v>1</v>
      </c>
      <c r="AM98" t="str">
        <f t="shared" ref="AM98:AM129" si="38">IFERROR(
  CHOOSE(
    VALUE(MID(D98, FIND("-", D98) - 1, 1)),
    "University of Cincinnati",
    "Ohio State University",
    "Medical University of South Carolina",
    "University of Michigan",
    "University of Louisville",
    "MD Anderson"
  ),
  "Unknown"
)</f>
        <v>University of Cincinnati</v>
      </c>
      <c r="AN98">
        <v>1</v>
      </c>
      <c r="AO98">
        <v>37</v>
      </c>
      <c r="AP98">
        <f>VLOOKUP(D98, METADATALOOKUP!$A:$AI, 7, FALSE)</f>
        <v>28</v>
      </c>
      <c r="AQ98" t="str">
        <f>VLOOKUP(D98, METADATALOOKUP!$A:$AI, 8, FALSE)</f>
        <v>Male</v>
      </c>
      <c r="AR98" t="str">
        <f>VLOOKUP(D98, METADATALOOKUP!$A:$AI, 9, FALSE)</f>
        <v>White</v>
      </c>
      <c r="AS98" t="str">
        <f>VLOOKUP(D98, METADATALOOKUP!$A:$AI, 11, FALSE)</f>
        <v>No</v>
      </c>
      <c r="AT98" t="str">
        <f>VLOOKUP(D98, METADATALOOKUP!$A:$AI, 10, FALSE)</f>
        <v>Non-Hispanic</v>
      </c>
      <c r="AU98" t="str">
        <f>VLOOKUP(D98, METADATALOOKUP!$A:$AI, 12, FALSE)</f>
        <v>No</v>
      </c>
      <c r="AV98" t="str">
        <f>VLOOKUP(D98, METADATALOOKUP!$A:$AI, 14, FALSE)</f>
        <v>TxN3bM0</v>
      </c>
      <c r="AW98" t="str">
        <f>VLOOKUP(D98, METADATALOOKUP!$A:$AI, 6, FALSE)</f>
        <v>High</v>
      </c>
      <c r="AX98" t="str">
        <f>VLOOKUP(D98, METADATALOOKUP!$A:$AI, 19, FALSE)</f>
        <v>Unknown</v>
      </c>
      <c r="AY98">
        <f>LOOKUP(D98, SURVLOOKUP!$A:$A, SURVLOOKUP!$P:$P)</f>
        <v>1</v>
      </c>
      <c r="AZ98" s="46">
        <v>7</v>
      </c>
      <c r="BA98" t="str">
        <f>TEXT(VLOOKUP(D98, METADATALOOKUP!$A:$AI, 34, FALSE), "@")</f>
        <v>70-80%</v>
      </c>
      <c r="BB98" s="47" t="str">
        <f t="shared" si="33"/>
        <v>Responder</v>
      </c>
      <c r="BC98">
        <v>0.126</v>
      </c>
      <c r="BD98" s="1">
        <v>42984</v>
      </c>
    </row>
    <row r="99" spans="1:56" x14ac:dyDescent="0.2">
      <c r="A99" s="3" t="s">
        <v>375</v>
      </c>
      <c r="B99" t="str">
        <f>VLOOKUP(A99, IDSLOOKUP!C:E, 2, FALSE)</f>
        <v>Screen</v>
      </c>
      <c r="C99" t="str">
        <f>VLOOKUP(D99, METADATALOOKUP!$A:$AI, 13, FALSE)</f>
        <v>Oral Cavity</v>
      </c>
      <c r="D99" t="str">
        <f>VLOOKUP(A99, IDSLOOKUP!C:E, 3, FALSE)</f>
        <v>HN01-12</v>
      </c>
      <c r="E99" s="48">
        <f>VLOOKUP(A99,CFDNALOOKUP!AG:AI,2,FALSE)</f>
        <v>43829</v>
      </c>
      <c r="F99" s="48">
        <f>VLOOKUP(A99,CFDNALOOKUP!AG:AI,3,FALSE)</f>
        <v>43888</v>
      </c>
      <c r="G99" s="1">
        <f>VLOOKUP(D99, SURVLOOKUP!$A:$Q, 2, FALSE)</f>
        <v>42949</v>
      </c>
      <c r="H99" s="1">
        <f>VLOOKUP(D99, SURVLOOKUP!$A:$Q, 3, FALSE)</f>
        <v>42964</v>
      </c>
      <c r="I99" s="1">
        <f>VLOOKUP(D99, SURVLOOKUP!$A:$Q, 4, FALSE)</f>
        <v>42971</v>
      </c>
      <c r="J99" s="1">
        <f>VLOOKUP(D99, SURVLOOKUP!$A:$Q, 5, FALSE)</f>
        <v>42979</v>
      </c>
      <c r="K99" s="1">
        <f>VLOOKUP(D99, SURVLOOKUP!$A:$Q, 6, FALSE)</f>
        <v>43019</v>
      </c>
      <c r="L99" s="1">
        <f>VLOOKUP(D99, SURVLOOKUP!$A:$Q, 7, FALSE)</f>
        <v>43061</v>
      </c>
      <c r="M99" s="1">
        <f>VLOOKUP(D99, SURVLOOKUP!$A:$Q, 8, FALSE)</f>
        <v>43012</v>
      </c>
      <c r="N99" s="1">
        <f>VLOOKUP(D99, SURVLOOKUP!$A:$Q, 9, FALSE)</f>
        <v>43118</v>
      </c>
      <c r="O99" s="1" t="str">
        <f>VLOOKUP(D99, SURVLOOKUP!$A:$Q, 10, FALSE)</f>
        <v>NA</v>
      </c>
      <c r="P99" s="1">
        <f>VLOOKUP(D99, OLDSURVLOOKUP!$A:$AA, 19, FALSE)</f>
        <v>44355</v>
      </c>
      <c r="Q99" s="1">
        <f>VLOOKUP(D99, SURVLOOKUP!$A:$Q, 11, FALSE)</f>
        <v>44557</v>
      </c>
      <c r="R99" s="1">
        <f>VLOOKUP(D99, OLDSURVLOOKUP!$A:$AA, 20, FALSE)</f>
        <v>43880</v>
      </c>
      <c r="S99" s="1">
        <f>VLOOKUP(D99, SURVLOOKUP!$A:$Q, 12, FALSE)</f>
        <v>43880</v>
      </c>
      <c r="T99" s="1"/>
      <c r="U99" s="1">
        <f>VLOOKUP(D99, SURVLOOKUP!$A:$Q, 13, FALSE)</f>
        <v>44558</v>
      </c>
      <c r="V99">
        <f>_xlfn.XLOOKUP(D99, OLDSURVLOOKUP!$A:$A, OLDSURVLOOKUP!V:V)</f>
        <v>1</v>
      </c>
      <c r="W99">
        <f>VLOOKUP(D99, SURVLOOKUP!$A:$Q, 14, FALSE)</f>
        <v>1</v>
      </c>
      <c r="X99">
        <f>_xlfn.XLOOKUP(D99, OLDSURVLOOKUP!$A:$A, OLDSURVLOOKUP!X:X)</f>
        <v>0</v>
      </c>
      <c r="Y99">
        <f>VLOOKUP(D99, SURVLOOKUP!$A:$Q, 15, FALSE)</f>
        <v>1</v>
      </c>
      <c r="Z99">
        <f t="shared" si="24"/>
        <v>29.838709677419356</v>
      </c>
      <c r="AA99">
        <f t="shared" si="25"/>
        <v>29.838709677419356</v>
      </c>
      <c r="AB99">
        <f t="shared" si="26"/>
        <v>45.483870967741936</v>
      </c>
      <c r="AC99">
        <f t="shared" si="27"/>
        <v>52.12903225806452</v>
      </c>
      <c r="AD99">
        <f t="shared" si="28"/>
        <v>29.6</v>
      </c>
      <c r="AE99">
        <f t="shared" si="35"/>
        <v>29.6</v>
      </c>
      <c r="AF99">
        <f t="shared" si="36"/>
        <v>45.233333333333334</v>
      </c>
      <c r="AG99">
        <f t="shared" si="37"/>
        <v>51.9</v>
      </c>
      <c r="AH99">
        <f t="shared" si="29"/>
        <v>28.483870967741936</v>
      </c>
      <c r="AI99">
        <f t="shared" si="30"/>
        <v>28.483870967741936</v>
      </c>
      <c r="AJ99">
        <f t="shared" si="31"/>
        <v>44.12903225806452</v>
      </c>
      <c r="AK99">
        <f t="shared" si="32"/>
        <v>50.774193548387096</v>
      </c>
      <c r="AL99">
        <f t="shared" si="34"/>
        <v>1</v>
      </c>
      <c r="AM99" t="str">
        <f t="shared" si="38"/>
        <v>University of Cincinnati</v>
      </c>
      <c r="AN99">
        <v>0</v>
      </c>
      <c r="AO99">
        <v>38</v>
      </c>
      <c r="AP99">
        <f>VLOOKUP(D99, METADATALOOKUP!$A:$AI, 7, FALSE)</f>
        <v>60</v>
      </c>
      <c r="AQ99" t="str">
        <f>VLOOKUP(D99, METADATALOOKUP!$A:$AI, 8, FALSE)</f>
        <v>Female</v>
      </c>
      <c r="AR99" t="str">
        <f>VLOOKUP(D99, METADATALOOKUP!$A:$AI, 9, FALSE)</f>
        <v>White</v>
      </c>
      <c r="AS99" t="str">
        <f>VLOOKUP(D99, METADATALOOKUP!$A:$AI, 11, FALSE)</f>
        <v>No</v>
      </c>
      <c r="AT99" t="str">
        <f>VLOOKUP(D99, METADATALOOKUP!$A:$AI, 10, FALSE)</f>
        <v>Non-Hispanic</v>
      </c>
      <c r="AU99" t="str">
        <f>VLOOKUP(D99, METADATALOOKUP!$A:$AI, 12, FALSE)</f>
        <v>No</v>
      </c>
      <c r="AV99" t="str">
        <f>VLOOKUP(D99, METADATALOOKUP!$A:$AI, 14, FALSE)</f>
        <v>T1N2cM0</v>
      </c>
      <c r="AW99" t="str">
        <f>VLOOKUP(D99, METADATALOOKUP!$A:$AI, 6, FALSE)</f>
        <v>High</v>
      </c>
      <c r="AX99" t="str">
        <f>VLOOKUP(D99, METADATALOOKUP!$A:$AI, 19, FALSE)</f>
        <v>No</v>
      </c>
      <c r="AY99">
        <f>LOOKUP(D99, SURVLOOKUP!$A:$A, SURVLOOKUP!$P:$P)</f>
        <v>2</v>
      </c>
      <c r="AZ99" s="46">
        <v>2</v>
      </c>
      <c r="BA99" t="str">
        <f>TEXT(VLOOKUP(D99, METADATALOOKUP!$A:$AI, 34, FALSE), "@")</f>
        <v>20-30%</v>
      </c>
      <c r="BB99" s="47" t="str">
        <f t="shared" si="33"/>
        <v>Responder</v>
      </c>
      <c r="BC99">
        <v>0.108</v>
      </c>
      <c r="BD99" s="1">
        <v>42971</v>
      </c>
    </row>
    <row r="100" spans="1:56" x14ac:dyDescent="0.2">
      <c r="A100" s="3" t="s">
        <v>378</v>
      </c>
      <c r="B100" t="str">
        <f>VLOOKUP(A100, IDSLOOKUP!C:E, 2, FALSE)</f>
        <v>Day 0</v>
      </c>
      <c r="C100" t="str">
        <f>VLOOKUP(D100, METADATALOOKUP!$A:$AI, 13, FALSE)</f>
        <v>Oral Cavity</v>
      </c>
      <c r="D100" t="str">
        <f>VLOOKUP(A100, IDSLOOKUP!C:E, 3, FALSE)</f>
        <v>HN01-12</v>
      </c>
      <c r="E100" s="48">
        <f>VLOOKUP(A100,CFDNALOOKUP!AG:AI,2,FALSE)</f>
        <v>43829</v>
      </c>
      <c r="F100" s="48">
        <f>VLOOKUP(A100,CFDNALOOKUP!AG:AI,3,FALSE)</f>
        <v>43888</v>
      </c>
      <c r="G100" s="1">
        <f>VLOOKUP(D100, SURVLOOKUP!$A:$Q, 2, FALSE)</f>
        <v>42949</v>
      </c>
      <c r="H100" s="1">
        <f>VLOOKUP(D100, SURVLOOKUP!$A:$Q, 3, FALSE)</f>
        <v>42964</v>
      </c>
      <c r="I100" s="1">
        <f>VLOOKUP(D100, SURVLOOKUP!$A:$Q, 4, FALSE)</f>
        <v>42971</v>
      </c>
      <c r="J100" s="1">
        <f>VLOOKUP(D100, SURVLOOKUP!$A:$Q, 5, FALSE)</f>
        <v>42979</v>
      </c>
      <c r="K100" s="1">
        <f>VLOOKUP(D100, SURVLOOKUP!$A:$Q, 6, FALSE)</f>
        <v>43019</v>
      </c>
      <c r="L100" s="1">
        <f>VLOOKUP(D100, SURVLOOKUP!$A:$Q, 7, FALSE)</f>
        <v>43061</v>
      </c>
      <c r="M100" s="1">
        <f>VLOOKUP(D100, SURVLOOKUP!$A:$Q, 8, FALSE)</f>
        <v>43012</v>
      </c>
      <c r="N100" s="1">
        <f>VLOOKUP(D100, SURVLOOKUP!$A:$Q, 9, FALSE)</f>
        <v>43118</v>
      </c>
      <c r="O100" s="1" t="str">
        <f>VLOOKUP(D100, SURVLOOKUP!$A:$Q, 10, FALSE)</f>
        <v>NA</v>
      </c>
      <c r="P100" s="1">
        <f>VLOOKUP(D100, OLDSURVLOOKUP!$A:$AA, 19, FALSE)</f>
        <v>44355</v>
      </c>
      <c r="Q100" s="1">
        <f>VLOOKUP(D100, SURVLOOKUP!$A:$Q, 11, FALSE)</f>
        <v>44557</v>
      </c>
      <c r="R100" s="1">
        <f>VLOOKUP(D100, OLDSURVLOOKUP!$A:$AA, 20, FALSE)</f>
        <v>43880</v>
      </c>
      <c r="S100" s="1">
        <f>VLOOKUP(D100, SURVLOOKUP!$A:$Q, 12, FALSE)</f>
        <v>43880</v>
      </c>
      <c r="T100" s="1"/>
      <c r="U100" s="1">
        <f>VLOOKUP(D100, SURVLOOKUP!$A:$Q, 13, FALSE)</f>
        <v>44558</v>
      </c>
      <c r="V100">
        <f>_xlfn.XLOOKUP(D100, OLDSURVLOOKUP!$A:$A, OLDSURVLOOKUP!V:V)</f>
        <v>1</v>
      </c>
      <c r="W100">
        <f>VLOOKUP(D100, SURVLOOKUP!$A:$Q, 14, FALSE)</f>
        <v>1</v>
      </c>
      <c r="X100">
        <f>_xlfn.XLOOKUP(D100, OLDSURVLOOKUP!$A:$A, OLDSURVLOOKUP!X:X)</f>
        <v>0</v>
      </c>
      <c r="Y100">
        <f>VLOOKUP(D100, SURVLOOKUP!$A:$Q, 15, FALSE)</f>
        <v>1</v>
      </c>
      <c r="Z100">
        <f t="shared" si="24"/>
        <v>29.838709677419356</v>
      </c>
      <c r="AA100">
        <f t="shared" si="25"/>
        <v>29.838709677419356</v>
      </c>
      <c r="AB100">
        <f t="shared" si="26"/>
        <v>45.483870967741936</v>
      </c>
      <c r="AC100">
        <f t="shared" si="27"/>
        <v>52.12903225806452</v>
      </c>
      <c r="AD100">
        <f t="shared" si="28"/>
        <v>29.6</v>
      </c>
      <c r="AE100">
        <f t="shared" si="35"/>
        <v>29.6</v>
      </c>
      <c r="AF100">
        <f t="shared" si="36"/>
        <v>45.233333333333334</v>
      </c>
      <c r="AG100">
        <f t="shared" si="37"/>
        <v>51.9</v>
      </c>
      <c r="AH100">
        <f t="shared" si="29"/>
        <v>28.483870967741936</v>
      </c>
      <c r="AI100">
        <f t="shared" si="30"/>
        <v>28.483870967741936</v>
      </c>
      <c r="AJ100">
        <f t="shared" si="31"/>
        <v>44.12903225806452</v>
      </c>
      <c r="AK100">
        <f t="shared" si="32"/>
        <v>50.774193548387096</v>
      </c>
      <c r="AL100">
        <f t="shared" si="34"/>
        <v>1</v>
      </c>
      <c r="AM100" t="str">
        <f t="shared" si="38"/>
        <v>University of Cincinnati</v>
      </c>
      <c r="AN100">
        <v>0</v>
      </c>
      <c r="AO100">
        <v>38</v>
      </c>
      <c r="AP100">
        <f>VLOOKUP(D100, METADATALOOKUP!$A:$AI, 7, FALSE)</f>
        <v>60</v>
      </c>
      <c r="AQ100" t="str">
        <f>VLOOKUP(D100, METADATALOOKUP!$A:$AI, 8, FALSE)</f>
        <v>Female</v>
      </c>
      <c r="AR100" t="str">
        <f>VLOOKUP(D100, METADATALOOKUP!$A:$AI, 9, FALSE)</f>
        <v>White</v>
      </c>
      <c r="AS100" t="str">
        <f>VLOOKUP(D100, METADATALOOKUP!$A:$AI, 11, FALSE)</f>
        <v>No</v>
      </c>
      <c r="AT100" t="str">
        <f>VLOOKUP(D100, METADATALOOKUP!$A:$AI, 10, FALSE)</f>
        <v>Non-Hispanic</v>
      </c>
      <c r="AU100" t="str">
        <f>VLOOKUP(D100, METADATALOOKUP!$A:$AI, 12, FALSE)</f>
        <v>No</v>
      </c>
      <c r="AV100" t="str">
        <f>VLOOKUP(D100, METADATALOOKUP!$A:$AI, 14, FALSE)</f>
        <v>T1N2cM0</v>
      </c>
      <c r="AW100" t="str">
        <f>VLOOKUP(D100, METADATALOOKUP!$A:$AI, 6, FALSE)</f>
        <v>High</v>
      </c>
      <c r="AX100" t="str">
        <f>VLOOKUP(D100, METADATALOOKUP!$A:$AI, 19, FALSE)</f>
        <v>No</v>
      </c>
      <c r="AY100">
        <f>LOOKUP(D100, SURVLOOKUP!$A:$A, SURVLOOKUP!$P:$P)</f>
        <v>2</v>
      </c>
      <c r="AZ100" s="46">
        <v>2</v>
      </c>
      <c r="BA100" t="str">
        <f>TEXT(VLOOKUP(D100, METADATALOOKUP!$A:$AI, 34, FALSE), "@")</f>
        <v>20-30%</v>
      </c>
      <c r="BB100" s="47" t="str">
        <f t="shared" si="33"/>
        <v>Responder</v>
      </c>
      <c r="BC100">
        <v>0.16600000000000001</v>
      </c>
      <c r="BD100" s="1">
        <v>42978</v>
      </c>
    </row>
    <row r="101" spans="1:56" x14ac:dyDescent="0.2">
      <c r="A101" s="3" t="s">
        <v>379</v>
      </c>
      <c r="B101" t="str">
        <f>VLOOKUP(A101, IDSLOOKUP!C:E, 2, FALSE)</f>
        <v>Adj Wk 1</v>
      </c>
      <c r="C101" t="str">
        <f>VLOOKUP(D101, METADATALOOKUP!$A:$AI, 13, FALSE)</f>
        <v>Oral Cavity</v>
      </c>
      <c r="D101" t="str">
        <f>VLOOKUP(A101, IDSLOOKUP!C:E, 3, FALSE)</f>
        <v>HN01-12</v>
      </c>
      <c r="E101" s="48">
        <f>VLOOKUP(A101,CFDNALOOKUP!AG:AI,2,FALSE)</f>
        <v>43829</v>
      </c>
      <c r="F101" s="48">
        <f>VLOOKUP(A101,CFDNALOOKUP!AG:AI,3,FALSE)</f>
        <v>43898</v>
      </c>
      <c r="G101" s="1">
        <f>VLOOKUP(D101, SURVLOOKUP!$A:$Q, 2, FALSE)</f>
        <v>42949</v>
      </c>
      <c r="H101" s="1">
        <f>VLOOKUP(D101, SURVLOOKUP!$A:$Q, 3, FALSE)</f>
        <v>42964</v>
      </c>
      <c r="I101" s="1">
        <f>VLOOKUP(D101, SURVLOOKUP!$A:$Q, 4, FALSE)</f>
        <v>42971</v>
      </c>
      <c r="J101" s="1">
        <f>VLOOKUP(D101, SURVLOOKUP!$A:$Q, 5, FALSE)</f>
        <v>42979</v>
      </c>
      <c r="K101" s="1">
        <f>VLOOKUP(D101, SURVLOOKUP!$A:$Q, 6, FALSE)</f>
        <v>43019</v>
      </c>
      <c r="L101" s="1">
        <f>VLOOKUP(D101, SURVLOOKUP!$A:$Q, 7, FALSE)</f>
        <v>43061</v>
      </c>
      <c r="M101" s="1">
        <f>VLOOKUP(D101, SURVLOOKUP!$A:$Q, 8, FALSE)</f>
        <v>43012</v>
      </c>
      <c r="N101" s="1">
        <f>VLOOKUP(D101, SURVLOOKUP!$A:$Q, 9, FALSE)</f>
        <v>43118</v>
      </c>
      <c r="O101" s="1" t="str">
        <f>VLOOKUP(D101, SURVLOOKUP!$A:$Q, 10, FALSE)</f>
        <v>NA</v>
      </c>
      <c r="P101" s="1">
        <f>VLOOKUP(D101, OLDSURVLOOKUP!$A:$AA, 19, FALSE)</f>
        <v>44355</v>
      </c>
      <c r="Q101" s="1">
        <f>VLOOKUP(D101, SURVLOOKUP!$A:$Q, 11, FALSE)</f>
        <v>44557</v>
      </c>
      <c r="R101" s="1">
        <f>VLOOKUP(D101, OLDSURVLOOKUP!$A:$AA, 20, FALSE)</f>
        <v>43880</v>
      </c>
      <c r="S101" s="1">
        <f>VLOOKUP(D101, SURVLOOKUP!$A:$Q, 12, FALSE)</f>
        <v>43880</v>
      </c>
      <c r="T101" s="1"/>
      <c r="U101" s="1">
        <f>VLOOKUP(D101, SURVLOOKUP!$A:$Q, 13, FALSE)</f>
        <v>44558</v>
      </c>
      <c r="V101">
        <f>_xlfn.XLOOKUP(D101, OLDSURVLOOKUP!$A:$A, OLDSURVLOOKUP!V:V)</f>
        <v>1</v>
      </c>
      <c r="W101">
        <f>VLOOKUP(D101, SURVLOOKUP!$A:$Q, 14, FALSE)</f>
        <v>1</v>
      </c>
      <c r="X101">
        <f>_xlfn.XLOOKUP(D101, OLDSURVLOOKUP!$A:$A, OLDSURVLOOKUP!X:X)</f>
        <v>0</v>
      </c>
      <c r="Y101">
        <f>VLOOKUP(D101, SURVLOOKUP!$A:$Q, 15, FALSE)</f>
        <v>1</v>
      </c>
      <c r="Z101">
        <f t="shared" si="24"/>
        <v>29.838709677419356</v>
      </c>
      <c r="AA101">
        <f t="shared" si="25"/>
        <v>29.838709677419356</v>
      </c>
      <c r="AB101">
        <f t="shared" si="26"/>
        <v>45.483870967741936</v>
      </c>
      <c r="AC101">
        <f t="shared" si="27"/>
        <v>52.12903225806452</v>
      </c>
      <c r="AD101">
        <f t="shared" si="28"/>
        <v>29.6</v>
      </c>
      <c r="AE101">
        <f t="shared" si="35"/>
        <v>29.6</v>
      </c>
      <c r="AF101">
        <f t="shared" si="36"/>
        <v>45.233333333333334</v>
      </c>
      <c r="AG101">
        <f t="shared" si="37"/>
        <v>51.9</v>
      </c>
      <c r="AH101">
        <f t="shared" si="29"/>
        <v>28.483870967741936</v>
      </c>
      <c r="AI101">
        <f t="shared" si="30"/>
        <v>28.483870967741936</v>
      </c>
      <c r="AJ101">
        <f t="shared" si="31"/>
        <v>44.12903225806452</v>
      </c>
      <c r="AK101">
        <f t="shared" si="32"/>
        <v>50.774193548387096</v>
      </c>
      <c r="AL101">
        <f t="shared" si="34"/>
        <v>1</v>
      </c>
      <c r="AM101" t="str">
        <f t="shared" si="38"/>
        <v>University of Cincinnati</v>
      </c>
      <c r="AN101">
        <v>0</v>
      </c>
      <c r="AO101">
        <v>38</v>
      </c>
      <c r="AP101">
        <f>VLOOKUP(D101, METADATALOOKUP!$A:$AI, 7, FALSE)</f>
        <v>60</v>
      </c>
      <c r="AQ101" t="str">
        <f>VLOOKUP(D101, METADATALOOKUP!$A:$AI, 8, FALSE)</f>
        <v>Female</v>
      </c>
      <c r="AR101" t="str">
        <f>VLOOKUP(D101, METADATALOOKUP!$A:$AI, 9, FALSE)</f>
        <v>White</v>
      </c>
      <c r="AS101" t="str">
        <f>VLOOKUP(D101, METADATALOOKUP!$A:$AI, 11, FALSE)</f>
        <v>No</v>
      </c>
      <c r="AT101" t="str">
        <f>VLOOKUP(D101, METADATALOOKUP!$A:$AI, 10, FALSE)</f>
        <v>Non-Hispanic</v>
      </c>
      <c r="AU101" t="str">
        <f>VLOOKUP(D101, METADATALOOKUP!$A:$AI, 12, FALSE)</f>
        <v>No</v>
      </c>
      <c r="AV101" t="str">
        <f>VLOOKUP(D101, METADATALOOKUP!$A:$AI, 14, FALSE)</f>
        <v>T1N2cM0</v>
      </c>
      <c r="AW101" t="str">
        <f>VLOOKUP(D101, METADATALOOKUP!$A:$AI, 6, FALSE)</f>
        <v>High</v>
      </c>
      <c r="AX101" t="str">
        <f>VLOOKUP(D101, METADATALOOKUP!$A:$AI, 19, FALSE)</f>
        <v>No</v>
      </c>
      <c r="AY101">
        <f>LOOKUP(D101, SURVLOOKUP!$A:$A, SURVLOOKUP!$P:$P)</f>
        <v>2</v>
      </c>
      <c r="AZ101" s="46">
        <v>2</v>
      </c>
      <c r="BA101" t="str">
        <f>TEXT(VLOOKUP(D101, METADATALOOKUP!$A:$AI, 34, FALSE), "@")</f>
        <v>20-30%</v>
      </c>
      <c r="BB101" s="47" t="str">
        <f t="shared" si="33"/>
        <v>Responder</v>
      </c>
      <c r="BC101">
        <v>0.13400000000000001</v>
      </c>
      <c r="BD101" s="1">
        <v>43012</v>
      </c>
    </row>
    <row r="102" spans="1:56" x14ac:dyDescent="0.2">
      <c r="A102" s="3" t="s">
        <v>380</v>
      </c>
      <c r="B102" t="str">
        <f>VLOOKUP(A102, IDSLOOKUP!C:E, 2, FALSE)</f>
        <v>Screen</v>
      </c>
      <c r="C102" t="str">
        <f>VLOOKUP(D102, METADATALOOKUP!$A:$AI, 13, FALSE)</f>
        <v>Oral Cavity</v>
      </c>
      <c r="D102" t="str">
        <f>VLOOKUP(A102, IDSLOOKUP!C:E, 3, FALSE)</f>
        <v>HN01-14</v>
      </c>
      <c r="E102" s="48">
        <f>VLOOKUP(A102,CFDNALOOKUP!AG:AI,2,FALSE)</f>
        <v>43829</v>
      </c>
      <c r="F102" s="48">
        <f>VLOOKUP(A102,CFDNALOOKUP!AG:AI,3,FALSE)</f>
        <v>43898</v>
      </c>
      <c r="G102" s="1">
        <f>VLOOKUP(D102, SURVLOOKUP!$A:$Q, 2, FALSE)</f>
        <v>42978</v>
      </c>
      <c r="H102" s="1">
        <f>VLOOKUP(D102, SURVLOOKUP!$A:$Q, 3, FALSE)</f>
        <v>43007</v>
      </c>
      <c r="I102" s="1">
        <f>VLOOKUP(D102, SURVLOOKUP!$A:$Q, 4, FALSE)</f>
        <v>43011</v>
      </c>
      <c r="J102" s="1">
        <f>VLOOKUP(D102, SURVLOOKUP!$A:$Q, 5, FALSE)</f>
        <v>43024</v>
      </c>
      <c r="K102" s="1">
        <f>VLOOKUP(D102, SURVLOOKUP!$A:$Q, 6, FALSE)</f>
        <v>43059</v>
      </c>
      <c r="L102" s="1">
        <f>VLOOKUP(D102, SURVLOOKUP!$A:$Q, 7, FALSE)</f>
        <v>43104</v>
      </c>
      <c r="M102" s="1">
        <f>VLOOKUP(D102, SURVLOOKUP!$A:$Q, 8, FALSE)</f>
        <v>43052</v>
      </c>
      <c r="N102" s="1">
        <f>VLOOKUP(D102, SURVLOOKUP!$A:$Q, 9, FALSE)</f>
        <v>43158</v>
      </c>
      <c r="O102" s="1" t="str">
        <f>VLOOKUP(D102, SURVLOOKUP!$A:$Q, 10, FALSE)</f>
        <v>NA</v>
      </c>
      <c r="P102" s="1">
        <f>VLOOKUP(D102, OLDSURVLOOKUP!$A:$AA, 19, FALSE)</f>
        <v>44306</v>
      </c>
      <c r="Q102" s="1">
        <f>VLOOKUP(D102, SURVLOOKUP!$A:$Q, 11, FALSE)</f>
        <v>45182</v>
      </c>
      <c r="R102" s="1"/>
      <c r="S102" s="1"/>
      <c r="T102" s="1"/>
      <c r="U102" s="1"/>
      <c r="V102">
        <f>_xlfn.XLOOKUP(D102, OLDSURVLOOKUP!$A:$A, OLDSURVLOOKUP!V:V)</f>
        <v>0</v>
      </c>
      <c r="W102">
        <f>VLOOKUP(D102, SURVLOOKUP!$A:$Q, 14, FALSE)</f>
        <v>0</v>
      </c>
      <c r="X102">
        <f>_xlfn.XLOOKUP(D102, OLDSURVLOOKUP!$A:$A, OLDSURVLOOKUP!X:X)</f>
        <v>0</v>
      </c>
      <c r="Y102">
        <f>VLOOKUP(D102, SURVLOOKUP!$A:$Q, 15, FALSE)</f>
        <v>0</v>
      </c>
      <c r="Z102">
        <f t="shared" si="24"/>
        <v>42.548387096774192</v>
      </c>
      <c r="AA102">
        <f t="shared" si="25"/>
        <v>71.322580645161295</v>
      </c>
      <c r="AB102">
        <f t="shared" si="26"/>
        <v>42.548387096774192</v>
      </c>
      <c r="AC102">
        <f t="shared" si="27"/>
        <v>71.322580645161295</v>
      </c>
      <c r="AD102">
        <f t="shared" si="28"/>
        <v>42.12903225806452</v>
      </c>
      <c r="AE102">
        <f t="shared" si="35"/>
        <v>70.903225806451616</v>
      </c>
      <c r="AF102">
        <f t="shared" si="36"/>
        <v>42.12903225806452</v>
      </c>
      <c r="AG102">
        <f t="shared" si="37"/>
        <v>70.903225806451616</v>
      </c>
      <c r="AH102">
        <f t="shared" si="29"/>
        <v>41.233333333333334</v>
      </c>
      <c r="AI102">
        <f t="shared" si="30"/>
        <v>70</v>
      </c>
      <c r="AJ102">
        <f t="shared" si="31"/>
        <v>41.233333333333334</v>
      </c>
      <c r="AK102">
        <f t="shared" si="32"/>
        <v>70</v>
      </c>
      <c r="AL102">
        <f t="shared" si="34"/>
        <v>1</v>
      </c>
      <c r="AM102" t="str">
        <f t="shared" si="38"/>
        <v>University of Cincinnati</v>
      </c>
      <c r="AN102">
        <v>1</v>
      </c>
      <c r="AO102">
        <v>39</v>
      </c>
      <c r="AP102">
        <f>VLOOKUP(D102, METADATALOOKUP!$A:$AI, 7, FALSE)</f>
        <v>53</v>
      </c>
      <c r="AQ102" t="str">
        <f>VLOOKUP(D102, METADATALOOKUP!$A:$AI, 8, FALSE)</f>
        <v>Male</v>
      </c>
      <c r="AR102" t="str">
        <f>VLOOKUP(D102, METADATALOOKUP!$A:$AI, 9, FALSE)</f>
        <v>White</v>
      </c>
      <c r="AS102" t="str">
        <f>VLOOKUP(D102, METADATALOOKUP!$A:$AI, 11, FALSE)</f>
        <v>No</v>
      </c>
      <c r="AT102" t="str">
        <f>VLOOKUP(D102, METADATALOOKUP!$A:$AI, 10, FALSE)</f>
        <v>Non-Hispanic</v>
      </c>
      <c r="AU102" t="str">
        <f>VLOOKUP(D102, METADATALOOKUP!$A:$AI, 12, FALSE)</f>
        <v>Yes</v>
      </c>
      <c r="AV102" t="str">
        <f>VLOOKUP(D102, METADATALOOKUP!$A:$AI, 14, FALSE)</f>
        <v>T2N2bM0</v>
      </c>
      <c r="AW102" t="str">
        <f>VLOOKUP(D102, METADATALOOKUP!$A:$AI, 6, FALSE)</f>
        <v>Intermediate</v>
      </c>
      <c r="AX102" t="str">
        <f>VLOOKUP(D102, METADATALOOKUP!$A:$AI, 19, FALSE)</f>
        <v>No</v>
      </c>
      <c r="AY102">
        <f>LOOKUP(D102, SURVLOOKUP!$A:$A, SURVLOOKUP!$P:$P)</f>
        <v>2</v>
      </c>
      <c r="AZ102" s="46">
        <v>9</v>
      </c>
      <c r="BA102" t="str">
        <f>TEXT(VLOOKUP(D102, METADATALOOKUP!$A:$AI, 34, FALSE), "@")</f>
        <v>90-100%</v>
      </c>
      <c r="BB102" s="47" t="str">
        <f t="shared" si="33"/>
        <v>Responder</v>
      </c>
      <c r="BC102">
        <v>0.05</v>
      </c>
      <c r="BD102" s="1">
        <v>43011</v>
      </c>
    </row>
    <row r="103" spans="1:56" x14ac:dyDescent="0.2">
      <c r="A103" s="3" t="s">
        <v>384</v>
      </c>
      <c r="B103" t="str">
        <f>VLOOKUP(A103, IDSLOOKUP!C:E, 2, FALSE)</f>
        <v>Day 0</v>
      </c>
      <c r="C103" t="str">
        <f>VLOOKUP(D103, METADATALOOKUP!$A:$AI, 13, FALSE)</f>
        <v>Oral Cavity</v>
      </c>
      <c r="D103" t="str">
        <f>VLOOKUP(A103, IDSLOOKUP!C:E, 3, FALSE)</f>
        <v>HN01-14</v>
      </c>
      <c r="E103" s="48">
        <f>VLOOKUP(A103,CFDNALOOKUP!AG:AI,2,FALSE)</f>
        <v>43829</v>
      </c>
      <c r="F103" s="48">
        <f>VLOOKUP(A103,CFDNALOOKUP!AG:AI,3,FALSE)</f>
        <v>43889</v>
      </c>
      <c r="G103" s="1">
        <f>VLOOKUP(D103, SURVLOOKUP!$A:$Q, 2, FALSE)</f>
        <v>42978</v>
      </c>
      <c r="H103" s="1">
        <f>VLOOKUP(D103, SURVLOOKUP!$A:$Q, 3, FALSE)</f>
        <v>43007</v>
      </c>
      <c r="I103" s="1">
        <f>VLOOKUP(D103, SURVLOOKUP!$A:$Q, 4, FALSE)</f>
        <v>43011</v>
      </c>
      <c r="J103" s="1">
        <f>VLOOKUP(D103, SURVLOOKUP!$A:$Q, 5, FALSE)</f>
        <v>43024</v>
      </c>
      <c r="K103" s="1">
        <f>VLOOKUP(D103, SURVLOOKUP!$A:$Q, 6, FALSE)</f>
        <v>43059</v>
      </c>
      <c r="L103" s="1">
        <f>VLOOKUP(D103, SURVLOOKUP!$A:$Q, 7, FALSE)</f>
        <v>43104</v>
      </c>
      <c r="M103" s="1">
        <f>VLOOKUP(D103, SURVLOOKUP!$A:$Q, 8, FALSE)</f>
        <v>43052</v>
      </c>
      <c r="N103" s="1">
        <f>VLOOKUP(D103, SURVLOOKUP!$A:$Q, 9, FALSE)</f>
        <v>43158</v>
      </c>
      <c r="O103" s="1" t="str">
        <f>VLOOKUP(D103, SURVLOOKUP!$A:$Q, 10, FALSE)</f>
        <v>NA</v>
      </c>
      <c r="P103" s="1">
        <f>VLOOKUP(D103, OLDSURVLOOKUP!$A:$AA, 19, FALSE)</f>
        <v>44306</v>
      </c>
      <c r="Q103" s="1">
        <f>VLOOKUP(D103, SURVLOOKUP!$A:$Q, 11, FALSE)</f>
        <v>45182</v>
      </c>
      <c r="R103" s="1"/>
      <c r="S103" s="1"/>
      <c r="T103" s="1"/>
      <c r="U103" s="1"/>
      <c r="V103">
        <f>_xlfn.XLOOKUP(D103, OLDSURVLOOKUP!$A:$A, OLDSURVLOOKUP!V:V)</f>
        <v>0</v>
      </c>
      <c r="W103">
        <f>VLOOKUP(D103, SURVLOOKUP!$A:$Q, 14, FALSE)</f>
        <v>0</v>
      </c>
      <c r="X103">
        <f>_xlfn.XLOOKUP(D103, OLDSURVLOOKUP!$A:$A, OLDSURVLOOKUP!X:X)</f>
        <v>0</v>
      </c>
      <c r="Y103">
        <f>VLOOKUP(D103, SURVLOOKUP!$A:$Q, 15, FALSE)</f>
        <v>0</v>
      </c>
      <c r="Z103">
        <f t="shared" si="24"/>
        <v>42.548387096774192</v>
      </c>
      <c r="AA103">
        <f t="shared" si="25"/>
        <v>71.322580645161295</v>
      </c>
      <c r="AB103">
        <f t="shared" si="26"/>
        <v>42.548387096774192</v>
      </c>
      <c r="AC103">
        <f t="shared" si="27"/>
        <v>71.322580645161295</v>
      </c>
      <c r="AD103">
        <f t="shared" si="28"/>
        <v>42.12903225806452</v>
      </c>
      <c r="AE103">
        <f t="shared" si="35"/>
        <v>70.903225806451616</v>
      </c>
      <c r="AF103">
        <f t="shared" si="36"/>
        <v>42.12903225806452</v>
      </c>
      <c r="AG103">
        <f t="shared" si="37"/>
        <v>70.903225806451616</v>
      </c>
      <c r="AH103">
        <f t="shared" si="29"/>
        <v>41.233333333333334</v>
      </c>
      <c r="AI103">
        <f t="shared" si="30"/>
        <v>70</v>
      </c>
      <c r="AJ103">
        <f t="shared" si="31"/>
        <v>41.233333333333334</v>
      </c>
      <c r="AK103">
        <f t="shared" si="32"/>
        <v>70</v>
      </c>
      <c r="AL103">
        <f t="shared" si="34"/>
        <v>1</v>
      </c>
      <c r="AM103" t="str">
        <f t="shared" si="38"/>
        <v>University of Cincinnati</v>
      </c>
      <c r="AN103">
        <v>1</v>
      </c>
      <c r="AO103">
        <v>39</v>
      </c>
      <c r="AP103">
        <f>VLOOKUP(D103, METADATALOOKUP!$A:$AI, 7, FALSE)</f>
        <v>53</v>
      </c>
      <c r="AQ103" t="str">
        <f>VLOOKUP(D103, METADATALOOKUP!$A:$AI, 8, FALSE)</f>
        <v>Male</v>
      </c>
      <c r="AR103" t="str">
        <f>VLOOKUP(D103, METADATALOOKUP!$A:$AI, 9, FALSE)</f>
        <v>White</v>
      </c>
      <c r="AS103" t="str">
        <f>VLOOKUP(D103, METADATALOOKUP!$A:$AI, 11, FALSE)</f>
        <v>No</v>
      </c>
      <c r="AT103" t="str">
        <f>VLOOKUP(D103, METADATALOOKUP!$A:$AI, 10, FALSE)</f>
        <v>Non-Hispanic</v>
      </c>
      <c r="AU103" t="str">
        <f>VLOOKUP(D103, METADATALOOKUP!$A:$AI, 12, FALSE)</f>
        <v>Yes</v>
      </c>
      <c r="AV103" t="str">
        <f>VLOOKUP(D103, METADATALOOKUP!$A:$AI, 14, FALSE)</f>
        <v>T2N2bM0</v>
      </c>
      <c r="AW103" t="str">
        <f>VLOOKUP(D103, METADATALOOKUP!$A:$AI, 6, FALSE)</f>
        <v>Intermediate</v>
      </c>
      <c r="AX103" t="str">
        <f>VLOOKUP(D103, METADATALOOKUP!$A:$AI, 19, FALSE)</f>
        <v>No</v>
      </c>
      <c r="AY103">
        <f>LOOKUP(D103, SURVLOOKUP!$A:$A, SURVLOOKUP!$P:$P)</f>
        <v>2</v>
      </c>
      <c r="AZ103" s="46">
        <v>9</v>
      </c>
      <c r="BA103" t="str">
        <f>TEXT(VLOOKUP(D103, METADATALOOKUP!$A:$AI, 34, FALSE), "@")</f>
        <v>90-100%</v>
      </c>
      <c r="BB103" s="47" t="str">
        <f t="shared" si="33"/>
        <v>Responder</v>
      </c>
      <c r="BC103">
        <v>0.182</v>
      </c>
      <c r="BD103" s="1">
        <v>43021</v>
      </c>
    </row>
    <row r="104" spans="1:56" x14ac:dyDescent="0.2">
      <c r="A104" s="3" t="s">
        <v>385</v>
      </c>
      <c r="B104" t="str">
        <f>VLOOKUP(A104, IDSLOOKUP!C:E, 2, FALSE)</f>
        <v>Adj Wk 1</v>
      </c>
      <c r="C104" t="str">
        <f>VLOOKUP(D104, METADATALOOKUP!$A:$AI, 13, FALSE)</f>
        <v>Oral Cavity</v>
      </c>
      <c r="D104" t="str">
        <f>VLOOKUP(A104, IDSLOOKUP!C:E, 3, FALSE)</f>
        <v>HN01-14</v>
      </c>
      <c r="E104" s="48">
        <f>VLOOKUP(A104,CFDNALOOKUP!AG:AI,2,FALSE)</f>
        <v>43829</v>
      </c>
      <c r="F104" s="48">
        <f>VLOOKUP(A104,CFDNALOOKUP!AG:AI,3,FALSE)</f>
        <v>43891</v>
      </c>
      <c r="G104" s="1">
        <f>VLOOKUP(D104, SURVLOOKUP!$A:$Q, 2, FALSE)</f>
        <v>42978</v>
      </c>
      <c r="H104" s="1">
        <f>VLOOKUP(D104, SURVLOOKUP!$A:$Q, 3, FALSE)</f>
        <v>43007</v>
      </c>
      <c r="I104" s="1">
        <f>VLOOKUP(D104, SURVLOOKUP!$A:$Q, 4, FALSE)</f>
        <v>43011</v>
      </c>
      <c r="J104" s="1">
        <f>VLOOKUP(D104, SURVLOOKUP!$A:$Q, 5, FALSE)</f>
        <v>43024</v>
      </c>
      <c r="K104" s="1">
        <f>VLOOKUP(D104, SURVLOOKUP!$A:$Q, 6, FALSE)</f>
        <v>43059</v>
      </c>
      <c r="L104" s="1">
        <f>VLOOKUP(D104, SURVLOOKUP!$A:$Q, 7, FALSE)</f>
        <v>43104</v>
      </c>
      <c r="M104" s="1">
        <f>VLOOKUP(D104, SURVLOOKUP!$A:$Q, 8, FALSE)</f>
        <v>43052</v>
      </c>
      <c r="N104" s="1">
        <f>VLOOKUP(D104, SURVLOOKUP!$A:$Q, 9, FALSE)</f>
        <v>43158</v>
      </c>
      <c r="O104" s="1" t="str">
        <f>VLOOKUP(D104, SURVLOOKUP!$A:$Q, 10, FALSE)</f>
        <v>NA</v>
      </c>
      <c r="P104" s="1">
        <f>VLOOKUP(D104, OLDSURVLOOKUP!$A:$AA, 19, FALSE)</f>
        <v>44306</v>
      </c>
      <c r="Q104" s="1">
        <f>VLOOKUP(D104, SURVLOOKUP!$A:$Q, 11, FALSE)</f>
        <v>45182</v>
      </c>
      <c r="R104" s="1"/>
      <c r="S104" s="1"/>
      <c r="T104" s="1"/>
      <c r="U104" s="1"/>
      <c r="V104">
        <f>_xlfn.XLOOKUP(D104, OLDSURVLOOKUP!$A:$A, OLDSURVLOOKUP!V:V)</f>
        <v>0</v>
      </c>
      <c r="W104">
        <f>VLOOKUP(D104, SURVLOOKUP!$A:$Q, 14, FALSE)</f>
        <v>0</v>
      </c>
      <c r="X104">
        <f>_xlfn.XLOOKUP(D104, OLDSURVLOOKUP!$A:$A, OLDSURVLOOKUP!X:X)</f>
        <v>0</v>
      </c>
      <c r="Y104">
        <f>VLOOKUP(D104, SURVLOOKUP!$A:$Q, 15, FALSE)</f>
        <v>0</v>
      </c>
      <c r="Z104">
        <f t="shared" si="24"/>
        <v>42.548387096774192</v>
      </c>
      <c r="AA104">
        <f t="shared" si="25"/>
        <v>71.322580645161295</v>
      </c>
      <c r="AB104">
        <f t="shared" si="26"/>
        <v>42.548387096774192</v>
      </c>
      <c r="AC104">
        <f t="shared" si="27"/>
        <v>71.322580645161295</v>
      </c>
      <c r="AD104">
        <f t="shared" si="28"/>
        <v>42.12903225806452</v>
      </c>
      <c r="AE104">
        <f t="shared" si="35"/>
        <v>70.903225806451616</v>
      </c>
      <c r="AF104">
        <f t="shared" si="36"/>
        <v>42.12903225806452</v>
      </c>
      <c r="AG104">
        <f t="shared" si="37"/>
        <v>70.903225806451616</v>
      </c>
      <c r="AH104">
        <f t="shared" si="29"/>
        <v>41.233333333333334</v>
      </c>
      <c r="AI104">
        <f t="shared" si="30"/>
        <v>70</v>
      </c>
      <c r="AJ104">
        <f t="shared" si="31"/>
        <v>41.233333333333334</v>
      </c>
      <c r="AK104">
        <f t="shared" si="32"/>
        <v>70</v>
      </c>
      <c r="AL104">
        <f t="shared" si="34"/>
        <v>1</v>
      </c>
      <c r="AM104" t="str">
        <f t="shared" si="38"/>
        <v>University of Cincinnati</v>
      </c>
      <c r="AN104">
        <v>1</v>
      </c>
      <c r="AO104">
        <v>39</v>
      </c>
      <c r="AP104">
        <f>VLOOKUP(D104, METADATALOOKUP!$A:$AI, 7, FALSE)</f>
        <v>53</v>
      </c>
      <c r="AQ104" t="str">
        <f>VLOOKUP(D104, METADATALOOKUP!$A:$AI, 8, FALSE)</f>
        <v>Male</v>
      </c>
      <c r="AR104" t="str">
        <f>VLOOKUP(D104, METADATALOOKUP!$A:$AI, 9, FALSE)</f>
        <v>White</v>
      </c>
      <c r="AS104" t="str">
        <f>VLOOKUP(D104, METADATALOOKUP!$A:$AI, 11, FALSE)</f>
        <v>No</v>
      </c>
      <c r="AT104" t="str">
        <f>VLOOKUP(D104, METADATALOOKUP!$A:$AI, 10, FALSE)</f>
        <v>Non-Hispanic</v>
      </c>
      <c r="AU104" t="str">
        <f>VLOOKUP(D104, METADATALOOKUP!$A:$AI, 12, FALSE)</f>
        <v>Yes</v>
      </c>
      <c r="AV104" t="str">
        <f>VLOOKUP(D104, METADATALOOKUP!$A:$AI, 14, FALSE)</f>
        <v>T2N2bM0</v>
      </c>
      <c r="AW104" t="str">
        <f>VLOOKUP(D104, METADATALOOKUP!$A:$AI, 6, FALSE)</f>
        <v>Intermediate</v>
      </c>
      <c r="AX104" t="str">
        <f>VLOOKUP(D104, METADATALOOKUP!$A:$AI, 19, FALSE)</f>
        <v>No</v>
      </c>
      <c r="AY104">
        <f>LOOKUP(D104, SURVLOOKUP!$A:$A, SURVLOOKUP!$P:$P)</f>
        <v>2</v>
      </c>
      <c r="AZ104" s="46">
        <v>9</v>
      </c>
      <c r="BA104" t="str">
        <f>TEXT(VLOOKUP(D104, METADATALOOKUP!$A:$AI, 34, FALSE), "@")</f>
        <v>90-100%</v>
      </c>
      <c r="BB104" s="47" t="str">
        <f t="shared" si="33"/>
        <v>Responder</v>
      </c>
      <c r="BC104">
        <v>0.13200000000000001</v>
      </c>
      <c r="BD104" s="1">
        <v>43052</v>
      </c>
    </row>
    <row r="105" spans="1:56" x14ac:dyDescent="0.2">
      <c r="A105" s="3" t="s">
        <v>386</v>
      </c>
      <c r="B105" t="str">
        <f>VLOOKUP(A105, IDSLOOKUP!C:E, 2, FALSE)</f>
        <v>Screen</v>
      </c>
      <c r="C105" t="str">
        <f>VLOOKUP(D105, METADATALOOKUP!$A:$AI, 13, FALSE)</f>
        <v>Oral Cavity</v>
      </c>
      <c r="D105" t="str">
        <f>VLOOKUP(A105, IDSLOOKUP!C:E, 3, FALSE)</f>
        <v>HN01-15</v>
      </c>
      <c r="E105" s="48">
        <f>VLOOKUP(A105,CFDNALOOKUP!AG:AI,2,FALSE)</f>
        <v>43829</v>
      </c>
      <c r="F105" s="48">
        <f>VLOOKUP(A105,CFDNALOOKUP!AG:AI,3,FALSE)</f>
        <v>43887</v>
      </c>
      <c r="G105" s="1">
        <f>VLOOKUP(D105, SURVLOOKUP!$A:$Q, 2, FALSE)</f>
        <v>43060</v>
      </c>
      <c r="H105" s="1">
        <f>VLOOKUP(D105, SURVLOOKUP!$A:$Q, 3, FALSE)</f>
        <v>43081</v>
      </c>
      <c r="I105" s="1">
        <f>VLOOKUP(D105, SURVLOOKUP!$A:$Q, 4, FALSE)</f>
        <v>43088</v>
      </c>
      <c r="J105" s="1">
        <f>VLOOKUP(D105, SURVLOOKUP!$A:$Q, 5, FALSE)</f>
        <v>43109</v>
      </c>
      <c r="K105" s="1">
        <f>VLOOKUP(D105, SURVLOOKUP!$A:$Q, 6, FALSE)</f>
        <v>43160</v>
      </c>
      <c r="L105" s="1">
        <f>VLOOKUP(D105, SURVLOOKUP!$A:$Q, 7, FALSE)</f>
        <v>43200</v>
      </c>
      <c r="M105" s="1" t="str">
        <f>VLOOKUP(D105, SURVLOOKUP!$A:$Q, 8, FALSE)</f>
        <v>NA</v>
      </c>
      <c r="N105" s="1">
        <f>VLOOKUP(D105, SURVLOOKUP!$A:$Q, 9, FALSE)</f>
        <v>43109</v>
      </c>
      <c r="O105" s="1" t="str">
        <f>VLOOKUP(D105, SURVLOOKUP!$A:$Q, 10, FALSE)</f>
        <v>NA</v>
      </c>
      <c r="P105" s="1">
        <f>VLOOKUP(D105, OLDSURVLOOKUP!$A:$AA, 19, FALSE)</f>
        <v>44329</v>
      </c>
      <c r="Q105" s="1">
        <f>VLOOKUP(D105, SURVLOOKUP!$A:$Q, 11, FALSE)</f>
        <v>45582</v>
      </c>
      <c r="R105" s="1"/>
      <c r="S105" s="1"/>
      <c r="T105" s="1"/>
      <c r="U105" s="1"/>
      <c r="V105">
        <f>_xlfn.XLOOKUP(D105, OLDSURVLOOKUP!$A:$A, OLDSURVLOOKUP!V:V)</f>
        <v>0</v>
      </c>
      <c r="W105">
        <f>VLOOKUP(D105, SURVLOOKUP!$A:$Q, 14, FALSE)</f>
        <v>0</v>
      </c>
      <c r="X105">
        <f>_xlfn.XLOOKUP(D105, OLDSURVLOOKUP!$A:$A, OLDSURVLOOKUP!X:X)</f>
        <v>0</v>
      </c>
      <c r="Y105">
        <f>VLOOKUP(D105, SURVLOOKUP!$A:$Q, 15, FALSE)</f>
        <v>0</v>
      </c>
      <c r="Z105">
        <f t="shared" si="24"/>
        <v>40.774193548387096</v>
      </c>
      <c r="AA105">
        <f t="shared" si="25"/>
        <v>81.903225806451616</v>
      </c>
      <c r="AB105">
        <f t="shared" si="26"/>
        <v>40.774193548387096</v>
      </c>
      <c r="AC105">
        <f t="shared" si="27"/>
        <v>81.903225806451616</v>
      </c>
      <c r="AD105">
        <f t="shared" si="28"/>
        <v>40.12903225806452</v>
      </c>
      <c r="AE105">
        <f t="shared" si="35"/>
        <v>81.258064516129039</v>
      </c>
      <c r="AF105">
        <f t="shared" si="36"/>
        <v>40.12903225806452</v>
      </c>
      <c r="AG105">
        <f t="shared" si="37"/>
        <v>81.258064516129039</v>
      </c>
      <c r="AL105">
        <f t="shared" si="34"/>
        <v>1</v>
      </c>
      <c r="AM105" t="str">
        <f t="shared" si="38"/>
        <v>University of Cincinnati</v>
      </c>
      <c r="AN105">
        <v>0</v>
      </c>
      <c r="AO105">
        <v>40</v>
      </c>
      <c r="AP105">
        <f>VLOOKUP(D105, METADATALOOKUP!$A:$AI, 7, FALSE)</f>
        <v>68</v>
      </c>
      <c r="AQ105" t="str">
        <f>VLOOKUP(D105, METADATALOOKUP!$A:$AI, 8, FALSE)</f>
        <v>Male</v>
      </c>
      <c r="AR105" t="str">
        <f>VLOOKUP(D105, METADATALOOKUP!$A:$AI, 9, FALSE)</f>
        <v>White</v>
      </c>
      <c r="AS105" t="str">
        <f>VLOOKUP(D105, METADATALOOKUP!$A:$AI, 11, FALSE)</f>
        <v>Yes</v>
      </c>
      <c r="AT105" t="str">
        <f>VLOOKUP(D105, METADATALOOKUP!$A:$AI, 10, FALSE)</f>
        <v>Non-Hispanic</v>
      </c>
      <c r="AU105" t="str">
        <f>VLOOKUP(D105, METADATALOOKUP!$A:$AI, 12, FALSE)</f>
        <v>Yes</v>
      </c>
      <c r="AV105" t="str">
        <f>VLOOKUP(D105, METADATALOOKUP!$A:$AI, 14, FALSE)</f>
        <v>T1N2cM0</v>
      </c>
      <c r="AW105" t="str">
        <f>VLOOKUP(D105, METADATALOOKUP!$A:$AI, 6, FALSE)</f>
        <v>Intermediate</v>
      </c>
      <c r="AX105" t="str">
        <f>VLOOKUP(D105, METADATALOOKUP!$A:$AI, 19, FALSE)</f>
        <v>No</v>
      </c>
      <c r="AY105">
        <f>LOOKUP(D105, SURVLOOKUP!$A:$A, SURVLOOKUP!$P:$P)</f>
        <v>1</v>
      </c>
      <c r="AZ105" s="46">
        <v>10</v>
      </c>
      <c r="BA105" t="str">
        <f>TEXT(VLOOKUP(D105, METADATALOOKUP!$A:$AI, 34, FALSE), "@")</f>
        <v>1</v>
      </c>
      <c r="BB105" s="47" t="str">
        <f t="shared" si="33"/>
        <v>Responder</v>
      </c>
      <c r="BC105">
        <v>0.11</v>
      </c>
      <c r="BD105" s="1">
        <v>43084</v>
      </c>
    </row>
    <row r="106" spans="1:56" x14ac:dyDescent="0.2">
      <c r="A106" s="3" t="s">
        <v>388</v>
      </c>
      <c r="B106" t="str">
        <f>VLOOKUP(A106, IDSLOOKUP!C:E, 2, FALSE)</f>
        <v>Day 0</v>
      </c>
      <c r="C106" t="str">
        <f>VLOOKUP(D106, METADATALOOKUP!$A:$AI, 13, FALSE)</f>
        <v>Oral Cavity</v>
      </c>
      <c r="D106" t="str">
        <f>VLOOKUP(A106, IDSLOOKUP!C:E, 3, FALSE)</f>
        <v>HN01-15</v>
      </c>
      <c r="E106" s="48">
        <f>VLOOKUP(A106,CFDNALOOKUP!AG:AI,2,FALSE)</f>
        <v>43829</v>
      </c>
      <c r="F106" s="48">
        <f>VLOOKUP(A106,CFDNALOOKUP!AG:AI,3,FALSE)</f>
        <v>43889</v>
      </c>
      <c r="G106" s="1">
        <f>VLOOKUP(D106, SURVLOOKUP!$A:$Q, 2, FALSE)</f>
        <v>43060</v>
      </c>
      <c r="H106" s="1">
        <f>VLOOKUP(D106, SURVLOOKUP!$A:$Q, 3, FALSE)</f>
        <v>43081</v>
      </c>
      <c r="I106" s="1">
        <f>VLOOKUP(D106, SURVLOOKUP!$A:$Q, 4, FALSE)</f>
        <v>43088</v>
      </c>
      <c r="J106" s="1">
        <f>VLOOKUP(D106, SURVLOOKUP!$A:$Q, 5, FALSE)</f>
        <v>43109</v>
      </c>
      <c r="K106" s="1">
        <f>VLOOKUP(D106, SURVLOOKUP!$A:$Q, 6, FALSE)</f>
        <v>43160</v>
      </c>
      <c r="L106" s="1">
        <f>VLOOKUP(D106, SURVLOOKUP!$A:$Q, 7, FALSE)</f>
        <v>43200</v>
      </c>
      <c r="M106" s="1" t="str">
        <f>VLOOKUP(D106, SURVLOOKUP!$A:$Q, 8, FALSE)</f>
        <v>NA</v>
      </c>
      <c r="N106" s="1">
        <f>VLOOKUP(D106, SURVLOOKUP!$A:$Q, 9, FALSE)</f>
        <v>43109</v>
      </c>
      <c r="O106" s="1" t="str">
        <f>VLOOKUP(D106, SURVLOOKUP!$A:$Q, 10, FALSE)</f>
        <v>NA</v>
      </c>
      <c r="P106" s="1">
        <f>VLOOKUP(D106, OLDSURVLOOKUP!$A:$AA, 19, FALSE)</f>
        <v>44329</v>
      </c>
      <c r="Q106" s="1">
        <f>VLOOKUP(D106, SURVLOOKUP!$A:$Q, 11, FALSE)</f>
        <v>45582</v>
      </c>
      <c r="R106" s="1"/>
      <c r="S106" s="1"/>
      <c r="T106" s="1"/>
      <c r="U106" s="1"/>
      <c r="V106">
        <f>_xlfn.XLOOKUP(D106, OLDSURVLOOKUP!$A:$A, OLDSURVLOOKUP!V:V)</f>
        <v>0</v>
      </c>
      <c r="W106">
        <f>VLOOKUP(D106, SURVLOOKUP!$A:$Q, 14, FALSE)</f>
        <v>0</v>
      </c>
      <c r="X106">
        <f>_xlfn.XLOOKUP(D106, OLDSURVLOOKUP!$A:$A, OLDSURVLOOKUP!X:X)</f>
        <v>0</v>
      </c>
      <c r="Y106">
        <f>VLOOKUP(D106, SURVLOOKUP!$A:$Q, 15, FALSE)</f>
        <v>0</v>
      </c>
      <c r="Z106">
        <f t="shared" si="24"/>
        <v>40.774193548387096</v>
      </c>
      <c r="AA106">
        <f t="shared" si="25"/>
        <v>81.903225806451616</v>
      </c>
      <c r="AB106">
        <f t="shared" si="26"/>
        <v>40.774193548387096</v>
      </c>
      <c r="AC106">
        <f t="shared" si="27"/>
        <v>81.903225806451616</v>
      </c>
      <c r="AD106">
        <f t="shared" si="28"/>
        <v>40.12903225806452</v>
      </c>
      <c r="AE106">
        <f t="shared" si="35"/>
        <v>81.258064516129039</v>
      </c>
      <c r="AF106">
        <f t="shared" si="36"/>
        <v>40.12903225806452</v>
      </c>
      <c r="AG106">
        <f t="shared" si="37"/>
        <v>81.258064516129039</v>
      </c>
      <c r="AL106">
        <f t="shared" si="34"/>
        <v>1</v>
      </c>
      <c r="AM106" t="str">
        <f t="shared" si="38"/>
        <v>University of Cincinnati</v>
      </c>
      <c r="AN106">
        <v>0</v>
      </c>
      <c r="AO106">
        <v>40</v>
      </c>
      <c r="AP106">
        <f>VLOOKUP(D106, METADATALOOKUP!$A:$AI, 7, FALSE)</f>
        <v>68</v>
      </c>
      <c r="AQ106" t="str">
        <f>VLOOKUP(D106, METADATALOOKUP!$A:$AI, 8, FALSE)</f>
        <v>Male</v>
      </c>
      <c r="AR106" t="str">
        <f>VLOOKUP(D106, METADATALOOKUP!$A:$AI, 9, FALSE)</f>
        <v>White</v>
      </c>
      <c r="AS106" t="str">
        <f>VLOOKUP(D106, METADATALOOKUP!$A:$AI, 11, FALSE)</f>
        <v>Yes</v>
      </c>
      <c r="AT106" t="str">
        <f>VLOOKUP(D106, METADATALOOKUP!$A:$AI, 10, FALSE)</f>
        <v>Non-Hispanic</v>
      </c>
      <c r="AU106" t="str">
        <f>VLOOKUP(D106, METADATALOOKUP!$A:$AI, 12, FALSE)</f>
        <v>Yes</v>
      </c>
      <c r="AV106" t="str">
        <f>VLOOKUP(D106, METADATALOOKUP!$A:$AI, 14, FALSE)</f>
        <v>T1N2cM0</v>
      </c>
      <c r="AW106" t="str">
        <f>VLOOKUP(D106, METADATALOOKUP!$A:$AI, 6, FALSE)</f>
        <v>Intermediate</v>
      </c>
      <c r="AX106" t="str">
        <f>VLOOKUP(D106, METADATALOOKUP!$A:$AI, 19, FALSE)</f>
        <v>No</v>
      </c>
      <c r="AY106">
        <f>LOOKUP(D106, SURVLOOKUP!$A:$A, SURVLOOKUP!$P:$P)</f>
        <v>1</v>
      </c>
      <c r="AZ106" s="46">
        <v>10</v>
      </c>
      <c r="BA106" t="str">
        <f>TEXT(VLOOKUP(D106, METADATALOOKUP!$A:$AI, 34, FALSE), "@")</f>
        <v>1</v>
      </c>
      <c r="BB106" s="47" t="str">
        <f t="shared" si="33"/>
        <v>Responder</v>
      </c>
      <c r="BC106">
        <v>0.106</v>
      </c>
      <c r="BD106" s="1">
        <v>43105</v>
      </c>
    </row>
    <row r="107" spans="1:56" x14ac:dyDescent="0.2">
      <c r="A107" s="3" t="s">
        <v>389</v>
      </c>
      <c r="B107" t="str">
        <f>VLOOKUP(A107, IDSLOOKUP!C:E, 2, FALSE)</f>
        <v>Screen</v>
      </c>
      <c r="C107" t="str">
        <f>VLOOKUP(D107, METADATALOOKUP!$A:$AI, 13, FALSE)</f>
        <v>Oral Cavity</v>
      </c>
      <c r="D107" t="str">
        <f>VLOOKUP(A107, IDSLOOKUP!C:E, 3, FALSE)</f>
        <v>HN01-17</v>
      </c>
      <c r="E107" s="48">
        <f>VLOOKUP(A107,CFDNALOOKUP!AG:AI,2,FALSE)</f>
        <v>43829</v>
      </c>
      <c r="F107" s="48">
        <f>VLOOKUP(A107,CFDNALOOKUP!AG:AI,3,FALSE)</f>
        <v>43887</v>
      </c>
      <c r="G107" s="1">
        <f>VLOOKUP(D107, SURVLOOKUP!$A:$Q, 2, FALSE)</f>
        <v>43060</v>
      </c>
      <c r="H107" s="1">
        <f>VLOOKUP(D107, SURVLOOKUP!$A:$Q, 3, FALSE)</f>
        <v>43083</v>
      </c>
      <c r="I107" s="1">
        <f>VLOOKUP(D107, SURVLOOKUP!$A:$Q, 4, FALSE)</f>
        <v>43091</v>
      </c>
      <c r="J107" s="1">
        <f>VLOOKUP(D107, SURVLOOKUP!$A:$Q, 5, FALSE)</f>
        <v>43112</v>
      </c>
      <c r="K107" s="1">
        <f>VLOOKUP(D107, SURVLOOKUP!$A:$Q, 6, FALSE)</f>
        <v>43165</v>
      </c>
      <c r="L107" s="1">
        <f>VLOOKUP(D107, SURVLOOKUP!$A:$Q, 7, FALSE)</f>
        <v>43206</v>
      </c>
      <c r="M107" s="1">
        <f>VLOOKUP(D107, SURVLOOKUP!$A:$Q, 8, FALSE)</f>
        <v>43158</v>
      </c>
      <c r="N107" s="1">
        <f>VLOOKUP(D107, SURVLOOKUP!$A:$Q, 9, FALSE)</f>
        <v>43262</v>
      </c>
      <c r="O107" s="1" t="str">
        <f>VLOOKUP(D107, SURVLOOKUP!$A:$Q, 10, FALSE)</f>
        <v>NA</v>
      </c>
      <c r="P107" s="1">
        <f>VLOOKUP(D107, OLDSURVLOOKUP!$A:$AA, 19, FALSE)</f>
        <v>43643</v>
      </c>
      <c r="Q107" s="1">
        <f>VLOOKUP(D107, SURVLOOKUP!$A:$Q, 11, FALSE)</f>
        <v>43951</v>
      </c>
      <c r="R107" s="1"/>
      <c r="S107" s="1"/>
      <c r="T107" s="1"/>
      <c r="U107" s="1"/>
      <c r="V107">
        <f>_xlfn.XLOOKUP(D107, OLDSURVLOOKUP!$A:$A, OLDSURVLOOKUP!V:V)</f>
        <v>0</v>
      </c>
      <c r="W107">
        <f>VLOOKUP(D107, SURVLOOKUP!$A:$Q, 14, FALSE)</f>
        <v>0</v>
      </c>
      <c r="X107">
        <f>_xlfn.XLOOKUP(D107, OLDSURVLOOKUP!$A:$A, OLDSURVLOOKUP!X:X)</f>
        <v>0</v>
      </c>
      <c r="Y107">
        <f>VLOOKUP(D107, SURVLOOKUP!$A:$Q, 15, FALSE)</f>
        <v>0</v>
      </c>
      <c r="Z107">
        <f t="shared" si="24"/>
        <v>18.161290322580644</v>
      </c>
      <c r="AA107">
        <f t="shared" si="25"/>
        <v>28.258064516129032</v>
      </c>
      <c r="AB107">
        <f t="shared" si="26"/>
        <v>18.161290322580644</v>
      </c>
      <c r="AC107">
        <f t="shared" si="27"/>
        <v>28.258064516129032</v>
      </c>
      <c r="AD107">
        <f t="shared" si="28"/>
        <v>17.483870967741936</v>
      </c>
      <c r="AE107">
        <f t="shared" si="35"/>
        <v>27.580645161290324</v>
      </c>
      <c r="AF107">
        <f t="shared" ref="AF107:AF138" si="39">IF(X107=0, DATEDIF(J107,P107,"M")+DATEDIF(J107,P107,"MD")/DAY(EOMONTH(J107,0)), DATEDIF(J107,T107,"M")+DATEDIF(J107,T107,"MD")/DAY(EOMONTH(J107,0)))</f>
        <v>17.483870967741936</v>
      </c>
      <c r="AG107">
        <f t="shared" ref="AG107:AG138" si="40">IF(Y107=0, DATEDIF(J107,Q107,"M")+DATEDIF(J107,Q107,"MD")/DAY(EOMONTH(J107,0)), DATEDIF(J107,U107,"M")+DATEDIF(J107,U107,"MD")/DAY(EOMONTH(J107,0)))</f>
        <v>27.580645161290324</v>
      </c>
      <c r="AH107">
        <f t="shared" si="29"/>
        <v>16</v>
      </c>
      <c r="AI107">
        <f t="shared" si="30"/>
        <v>26.107142857142858</v>
      </c>
      <c r="AJ107">
        <f t="shared" si="31"/>
        <v>16</v>
      </c>
      <c r="AK107">
        <f t="shared" si="32"/>
        <v>26.107142857142858</v>
      </c>
      <c r="AL107">
        <f t="shared" si="34"/>
        <v>1</v>
      </c>
      <c r="AM107" t="str">
        <f t="shared" si="38"/>
        <v>University of Cincinnati</v>
      </c>
      <c r="AN107">
        <v>0</v>
      </c>
      <c r="AO107">
        <v>41</v>
      </c>
      <c r="AP107">
        <f>VLOOKUP(D107, METADATALOOKUP!$A:$AI, 7, FALSE)</f>
        <v>55</v>
      </c>
      <c r="AQ107" t="str">
        <f>VLOOKUP(D107, METADATALOOKUP!$A:$AI, 8, FALSE)</f>
        <v>Male</v>
      </c>
      <c r="AR107" t="str">
        <f>VLOOKUP(D107, METADATALOOKUP!$A:$AI, 9, FALSE)</f>
        <v>White</v>
      </c>
      <c r="AS107" t="str">
        <f>VLOOKUP(D107, METADATALOOKUP!$A:$AI, 11, FALSE)</f>
        <v>Yes</v>
      </c>
      <c r="AT107" t="str">
        <f>VLOOKUP(D107, METADATALOOKUP!$A:$AI, 10, FALSE)</f>
        <v>Non-Hispanic</v>
      </c>
      <c r="AU107" t="str">
        <f>VLOOKUP(D107, METADATALOOKUP!$A:$AI, 12, FALSE)</f>
        <v>Yes</v>
      </c>
      <c r="AV107" t="str">
        <f>VLOOKUP(D107, METADATALOOKUP!$A:$AI, 14, FALSE)</f>
        <v>T4aN2bM0</v>
      </c>
      <c r="AW107" t="str">
        <f>VLOOKUP(D107, METADATALOOKUP!$A:$AI, 6, FALSE)</f>
        <v>High</v>
      </c>
      <c r="AX107" t="str">
        <f>VLOOKUP(D107, METADATALOOKUP!$A:$AI, 19, FALSE)</f>
        <v>No</v>
      </c>
      <c r="AY107">
        <f>LOOKUP(D107, SURVLOOKUP!$A:$A, SURVLOOKUP!$P:$P)</f>
        <v>2</v>
      </c>
      <c r="AZ107" s="46">
        <v>4</v>
      </c>
      <c r="BA107" t="str">
        <f>TEXT(VLOOKUP(D107, METADATALOOKUP!$A:$AI, 34, FALSE), "@")</f>
        <v>40-50%</v>
      </c>
      <c r="BB107" s="47" t="str">
        <f t="shared" si="33"/>
        <v>Responder</v>
      </c>
      <c r="BC107">
        <v>0.14599999999999999</v>
      </c>
      <c r="BD107" s="1">
        <v>43083</v>
      </c>
    </row>
    <row r="108" spans="1:56" x14ac:dyDescent="0.2">
      <c r="A108" s="3" t="s">
        <v>392</v>
      </c>
      <c r="B108" t="str">
        <f>VLOOKUP(A108, IDSLOOKUP!C:E, 2, FALSE)</f>
        <v>Day 0</v>
      </c>
      <c r="C108" t="str">
        <f>VLOOKUP(D108, METADATALOOKUP!$A:$AI, 13, FALSE)</f>
        <v>Oral Cavity</v>
      </c>
      <c r="D108" t="str">
        <f>VLOOKUP(A108, IDSLOOKUP!C:E, 3, FALSE)</f>
        <v>HN01-17</v>
      </c>
      <c r="E108" s="48">
        <f>VLOOKUP(A108,CFDNALOOKUP!AG:AI,2,FALSE)</f>
        <v>43829</v>
      </c>
      <c r="F108" s="48">
        <f>VLOOKUP(A108,CFDNALOOKUP!AG:AI,3,FALSE)</f>
        <v>43888</v>
      </c>
      <c r="G108" s="1">
        <f>VLOOKUP(D108, SURVLOOKUP!$A:$Q, 2, FALSE)</f>
        <v>43060</v>
      </c>
      <c r="H108" s="1">
        <f>VLOOKUP(D108, SURVLOOKUP!$A:$Q, 3, FALSE)</f>
        <v>43083</v>
      </c>
      <c r="I108" s="1">
        <f>VLOOKUP(D108, SURVLOOKUP!$A:$Q, 4, FALSE)</f>
        <v>43091</v>
      </c>
      <c r="J108" s="1">
        <f>VLOOKUP(D108, SURVLOOKUP!$A:$Q, 5, FALSE)</f>
        <v>43112</v>
      </c>
      <c r="K108" s="1">
        <f>VLOOKUP(D108, SURVLOOKUP!$A:$Q, 6, FALSE)</f>
        <v>43165</v>
      </c>
      <c r="L108" s="1">
        <f>VLOOKUP(D108, SURVLOOKUP!$A:$Q, 7, FALSE)</f>
        <v>43206</v>
      </c>
      <c r="M108" s="1">
        <f>VLOOKUP(D108, SURVLOOKUP!$A:$Q, 8, FALSE)</f>
        <v>43158</v>
      </c>
      <c r="N108" s="1">
        <f>VLOOKUP(D108, SURVLOOKUP!$A:$Q, 9, FALSE)</f>
        <v>43262</v>
      </c>
      <c r="O108" s="1" t="str">
        <f>VLOOKUP(D108, SURVLOOKUP!$A:$Q, 10, FALSE)</f>
        <v>NA</v>
      </c>
      <c r="P108" s="1">
        <f>VLOOKUP(D108, OLDSURVLOOKUP!$A:$AA, 19, FALSE)</f>
        <v>43643</v>
      </c>
      <c r="Q108" s="1">
        <f>VLOOKUP(D108, SURVLOOKUP!$A:$Q, 11, FALSE)</f>
        <v>43951</v>
      </c>
      <c r="R108" s="1"/>
      <c r="S108" s="1"/>
      <c r="T108" s="1"/>
      <c r="U108" s="1"/>
      <c r="V108">
        <f>_xlfn.XLOOKUP(D108, OLDSURVLOOKUP!$A:$A, OLDSURVLOOKUP!V:V)</f>
        <v>0</v>
      </c>
      <c r="W108">
        <f>VLOOKUP(D108, SURVLOOKUP!$A:$Q, 14, FALSE)</f>
        <v>0</v>
      </c>
      <c r="X108">
        <f>_xlfn.XLOOKUP(D108, OLDSURVLOOKUP!$A:$A, OLDSURVLOOKUP!X:X)</f>
        <v>0</v>
      </c>
      <c r="Y108">
        <f>VLOOKUP(D108, SURVLOOKUP!$A:$Q, 15, FALSE)</f>
        <v>0</v>
      </c>
      <c r="Z108">
        <f t="shared" si="24"/>
        <v>18.161290322580644</v>
      </c>
      <c r="AA108">
        <f t="shared" si="25"/>
        <v>28.258064516129032</v>
      </c>
      <c r="AB108">
        <f t="shared" si="26"/>
        <v>18.161290322580644</v>
      </c>
      <c r="AC108">
        <f t="shared" si="27"/>
        <v>28.258064516129032</v>
      </c>
      <c r="AD108">
        <f t="shared" si="28"/>
        <v>17.483870967741936</v>
      </c>
      <c r="AE108">
        <f t="shared" si="35"/>
        <v>27.580645161290324</v>
      </c>
      <c r="AF108">
        <f t="shared" si="39"/>
        <v>17.483870967741936</v>
      </c>
      <c r="AG108">
        <f t="shared" si="40"/>
        <v>27.580645161290324</v>
      </c>
      <c r="AH108">
        <f t="shared" si="29"/>
        <v>16</v>
      </c>
      <c r="AI108">
        <f t="shared" si="30"/>
        <v>26.107142857142858</v>
      </c>
      <c r="AJ108">
        <f t="shared" si="31"/>
        <v>16</v>
      </c>
      <c r="AK108">
        <f t="shared" si="32"/>
        <v>26.107142857142858</v>
      </c>
      <c r="AL108">
        <f t="shared" si="34"/>
        <v>1</v>
      </c>
      <c r="AM108" t="str">
        <f t="shared" si="38"/>
        <v>University of Cincinnati</v>
      </c>
      <c r="AN108">
        <v>0</v>
      </c>
      <c r="AO108">
        <v>41</v>
      </c>
      <c r="AP108">
        <f>VLOOKUP(D108, METADATALOOKUP!$A:$AI, 7, FALSE)</f>
        <v>55</v>
      </c>
      <c r="AQ108" t="str">
        <f>VLOOKUP(D108, METADATALOOKUP!$A:$AI, 8, FALSE)</f>
        <v>Male</v>
      </c>
      <c r="AR108" t="str">
        <f>VLOOKUP(D108, METADATALOOKUP!$A:$AI, 9, FALSE)</f>
        <v>White</v>
      </c>
      <c r="AS108" t="str">
        <f>VLOOKUP(D108, METADATALOOKUP!$A:$AI, 11, FALSE)</f>
        <v>Yes</v>
      </c>
      <c r="AT108" t="str">
        <f>VLOOKUP(D108, METADATALOOKUP!$A:$AI, 10, FALSE)</f>
        <v>Non-Hispanic</v>
      </c>
      <c r="AU108" t="str">
        <f>VLOOKUP(D108, METADATALOOKUP!$A:$AI, 12, FALSE)</f>
        <v>Yes</v>
      </c>
      <c r="AV108" t="str">
        <f>VLOOKUP(D108, METADATALOOKUP!$A:$AI, 14, FALSE)</f>
        <v>T4aN2bM0</v>
      </c>
      <c r="AW108" t="str">
        <f>VLOOKUP(D108, METADATALOOKUP!$A:$AI, 6, FALSE)</f>
        <v>High</v>
      </c>
      <c r="AX108" t="str">
        <f>VLOOKUP(D108, METADATALOOKUP!$A:$AI, 19, FALSE)</f>
        <v>No</v>
      </c>
      <c r="AY108">
        <f>LOOKUP(D108, SURVLOOKUP!$A:$A, SURVLOOKUP!$P:$P)</f>
        <v>2</v>
      </c>
      <c r="AZ108" s="46">
        <v>4</v>
      </c>
      <c r="BA108" t="str">
        <f>TEXT(VLOOKUP(D108, METADATALOOKUP!$A:$AI, 34, FALSE), "@")</f>
        <v>40-50%</v>
      </c>
      <c r="BB108" s="47" t="str">
        <f t="shared" si="33"/>
        <v>Responder</v>
      </c>
      <c r="BC108">
        <v>0.23</v>
      </c>
      <c r="BD108" s="1">
        <v>43112</v>
      </c>
    </row>
    <row r="109" spans="1:56" x14ac:dyDescent="0.2">
      <c r="A109" s="3" t="s">
        <v>393</v>
      </c>
      <c r="B109" t="str">
        <f>VLOOKUP(A109, IDSLOOKUP!C:E, 2, FALSE)</f>
        <v>Adj Wk 1</v>
      </c>
      <c r="C109" t="str">
        <f>VLOOKUP(D109, METADATALOOKUP!$A:$AI, 13, FALSE)</f>
        <v>Oral Cavity</v>
      </c>
      <c r="D109" t="str">
        <f>VLOOKUP(A109, IDSLOOKUP!C:E, 3, FALSE)</f>
        <v>HN01-17</v>
      </c>
      <c r="E109" s="48">
        <f>VLOOKUP(A109,CFDNALOOKUP!AG:AI,2,FALSE)</f>
        <v>43829</v>
      </c>
      <c r="F109" s="48">
        <f>VLOOKUP(A109,CFDNALOOKUP!AG:AI,3,FALSE)</f>
        <v>43901</v>
      </c>
      <c r="G109" s="1">
        <f>VLOOKUP(D109, SURVLOOKUP!$A:$Q, 2, FALSE)</f>
        <v>43060</v>
      </c>
      <c r="H109" s="1">
        <f>VLOOKUP(D109, SURVLOOKUP!$A:$Q, 3, FALSE)</f>
        <v>43083</v>
      </c>
      <c r="I109" s="1">
        <f>VLOOKUP(D109, SURVLOOKUP!$A:$Q, 4, FALSE)</f>
        <v>43091</v>
      </c>
      <c r="J109" s="1">
        <f>VLOOKUP(D109, SURVLOOKUP!$A:$Q, 5, FALSE)</f>
        <v>43112</v>
      </c>
      <c r="K109" s="1">
        <f>VLOOKUP(D109, SURVLOOKUP!$A:$Q, 6, FALSE)</f>
        <v>43165</v>
      </c>
      <c r="L109" s="1">
        <f>VLOOKUP(D109, SURVLOOKUP!$A:$Q, 7, FALSE)</f>
        <v>43206</v>
      </c>
      <c r="M109" s="1">
        <f>VLOOKUP(D109, SURVLOOKUP!$A:$Q, 8, FALSE)</f>
        <v>43158</v>
      </c>
      <c r="N109" s="1">
        <f>VLOOKUP(D109, SURVLOOKUP!$A:$Q, 9, FALSE)</f>
        <v>43262</v>
      </c>
      <c r="O109" s="1" t="str">
        <f>VLOOKUP(D109, SURVLOOKUP!$A:$Q, 10, FALSE)</f>
        <v>NA</v>
      </c>
      <c r="P109" s="1">
        <f>VLOOKUP(D109, OLDSURVLOOKUP!$A:$AA, 19, FALSE)</f>
        <v>43643</v>
      </c>
      <c r="Q109" s="1">
        <f>VLOOKUP(D109, SURVLOOKUP!$A:$Q, 11, FALSE)</f>
        <v>43951</v>
      </c>
      <c r="R109" s="1"/>
      <c r="S109" s="1"/>
      <c r="T109" s="1"/>
      <c r="U109" s="1"/>
      <c r="V109">
        <f>_xlfn.XLOOKUP(D109, OLDSURVLOOKUP!$A:$A, OLDSURVLOOKUP!V:V)</f>
        <v>0</v>
      </c>
      <c r="W109">
        <f>VLOOKUP(D109, SURVLOOKUP!$A:$Q, 14, FALSE)</f>
        <v>0</v>
      </c>
      <c r="X109">
        <f>_xlfn.XLOOKUP(D109, OLDSURVLOOKUP!$A:$A, OLDSURVLOOKUP!X:X)</f>
        <v>0</v>
      </c>
      <c r="Y109">
        <f>VLOOKUP(D109, SURVLOOKUP!$A:$Q, 15, FALSE)</f>
        <v>0</v>
      </c>
      <c r="Z109">
        <f t="shared" si="24"/>
        <v>18.161290322580644</v>
      </c>
      <c r="AA109">
        <f t="shared" si="25"/>
        <v>28.258064516129032</v>
      </c>
      <c r="AB109">
        <f t="shared" si="26"/>
        <v>18.161290322580644</v>
      </c>
      <c r="AC109">
        <f t="shared" si="27"/>
        <v>28.258064516129032</v>
      </c>
      <c r="AD109">
        <f t="shared" si="28"/>
        <v>17.483870967741936</v>
      </c>
      <c r="AE109">
        <f t="shared" si="35"/>
        <v>27.580645161290324</v>
      </c>
      <c r="AF109">
        <f t="shared" si="39"/>
        <v>17.483870967741936</v>
      </c>
      <c r="AG109">
        <f t="shared" si="40"/>
        <v>27.580645161290324</v>
      </c>
      <c r="AH109">
        <f t="shared" si="29"/>
        <v>16</v>
      </c>
      <c r="AI109">
        <f t="shared" si="30"/>
        <v>26.107142857142858</v>
      </c>
      <c r="AJ109">
        <f t="shared" si="31"/>
        <v>16</v>
      </c>
      <c r="AK109">
        <f t="shared" si="32"/>
        <v>26.107142857142858</v>
      </c>
      <c r="AL109">
        <f t="shared" si="34"/>
        <v>1</v>
      </c>
      <c r="AM109" t="str">
        <f t="shared" si="38"/>
        <v>University of Cincinnati</v>
      </c>
      <c r="AN109">
        <v>0</v>
      </c>
      <c r="AO109">
        <v>41</v>
      </c>
      <c r="AP109">
        <f>VLOOKUP(D109, METADATALOOKUP!$A:$AI, 7, FALSE)</f>
        <v>55</v>
      </c>
      <c r="AQ109" t="str">
        <f>VLOOKUP(D109, METADATALOOKUP!$A:$AI, 8, FALSE)</f>
        <v>Male</v>
      </c>
      <c r="AR109" t="str">
        <f>VLOOKUP(D109, METADATALOOKUP!$A:$AI, 9, FALSE)</f>
        <v>White</v>
      </c>
      <c r="AS109" t="str">
        <f>VLOOKUP(D109, METADATALOOKUP!$A:$AI, 11, FALSE)</f>
        <v>Yes</v>
      </c>
      <c r="AT109" t="str">
        <f>VLOOKUP(D109, METADATALOOKUP!$A:$AI, 10, FALSE)</f>
        <v>Non-Hispanic</v>
      </c>
      <c r="AU109" t="str">
        <f>VLOOKUP(D109, METADATALOOKUP!$A:$AI, 12, FALSE)</f>
        <v>Yes</v>
      </c>
      <c r="AV109" t="str">
        <f>VLOOKUP(D109, METADATALOOKUP!$A:$AI, 14, FALSE)</f>
        <v>T4aN2bM0</v>
      </c>
      <c r="AW109" t="str">
        <f>VLOOKUP(D109, METADATALOOKUP!$A:$AI, 6, FALSE)</f>
        <v>High</v>
      </c>
      <c r="AX109" t="str">
        <f>VLOOKUP(D109, METADATALOOKUP!$A:$AI, 19, FALSE)</f>
        <v>No</v>
      </c>
      <c r="AY109">
        <f>LOOKUP(D109, SURVLOOKUP!$A:$A, SURVLOOKUP!$P:$P)</f>
        <v>2</v>
      </c>
      <c r="AZ109" s="46">
        <v>4</v>
      </c>
      <c r="BA109" t="str">
        <f>TEXT(VLOOKUP(D109, METADATALOOKUP!$A:$AI, 34, FALSE), "@")</f>
        <v>40-50%</v>
      </c>
      <c r="BB109" s="47" t="str">
        <f t="shared" si="33"/>
        <v>Responder</v>
      </c>
      <c r="BC109">
        <v>0.1</v>
      </c>
      <c r="BD109" s="1">
        <v>43158</v>
      </c>
    </row>
    <row r="110" spans="1:56" x14ac:dyDescent="0.2">
      <c r="A110" s="3" t="s">
        <v>394</v>
      </c>
      <c r="B110" t="str">
        <f>VLOOKUP(A110, IDSLOOKUP!C:E, 2, FALSE)</f>
        <v>Screen</v>
      </c>
      <c r="C110" t="str">
        <f>VLOOKUP(D110, METADATALOOKUP!$A:$AI, 13, FALSE)</f>
        <v>Oral Cavity</v>
      </c>
      <c r="D110" t="str">
        <f>VLOOKUP(A110, IDSLOOKUP!C:E, 3, FALSE)</f>
        <v>HN01-19</v>
      </c>
      <c r="E110" s="48">
        <f>VLOOKUP(A110,CFDNALOOKUP!AG:AI,2,FALSE)</f>
        <v>43829</v>
      </c>
      <c r="F110" s="48">
        <f>VLOOKUP(A110,CFDNALOOKUP!AG:AI,3,FALSE)</f>
        <v>43889</v>
      </c>
      <c r="G110" s="1">
        <f>VLOOKUP(D110, SURVLOOKUP!$A:$Q, 2, FALSE)</f>
        <v>43102</v>
      </c>
      <c r="H110" s="1">
        <f>VLOOKUP(D110, SURVLOOKUP!$A:$Q, 3, FALSE)</f>
        <v>43118</v>
      </c>
      <c r="I110" s="1">
        <f>VLOOKUP(D110, SURVLOOKUP!$A:$Q, 4, FALSE)</f>
        <v>43116</v>
      </c>
      <c r="J110" s="1">
        <f>VLOOKUP(D110, SURVLOOKUP!$A:$Q, 5, FALSE)</f>
        <v>43136</v>
      </c>
      <c r="K110" s="1">
        <f>VLOOKUP(D110, SURVLOOKUP!$A:$Q, 6, FALSE)</f>
        <v>43185</v>
      </c>
      <c r="L110" s="1">
        <f>VLOOKUP(D110, SURVLOOKUP!$A:$Q, 7, FALSE)</f>
        <v>43224</v>
      </c>
      <c r="M110" s="1">
        <f>VLOOKUP(D110, SURVLOOKUP!$A:$Q, 8, FALSE)</f>
        <v>43179</v>
      </c>
      <c r="N110" s="1">
        <f>VLOOKUP(D110, SURVLOOKUP!$A:$Q, 9, FALSE)</f>
        <v>43284</v>
      </c>
      <c r="O110" s="1" t="str">
        <f>VLOOKUP(D110, SURVLOOKUP!$A:$Q, 10, FALSE)</f>
        <v>NA</v>
      </c>
      <c r="P110" s="1">
        <f>VLOOKUP(D110, OLDSURVLOOKUP!$A:$AA, 19, FALSE)</f>
        <v>44349</v>
      </c>
      <c r="Q110" s="1">
        <f>VLOOKUP(D110, SURVLOOKUP!$A:$Q, 11, FALSE)</f>
        <v>44646</v>
      </c>
      <c r="R110" s="1"/>
      <c r="S110" s="1"/>
      <c r="T110" s="1"/>
      <c r="U110" s="1">
        <f>VLOOKUP(D110, SURVLOOKUP!$A:$Q, 13, FALSE)</f>
        <v>44647</v>
      </c>
      <c r="V110">
        <f>_xlfn.XLOOKUP(D110, OLDSURVLOOKUP!$A:$A, OLDSURVLOOKUP!V:V)</f>
        <v>0</v>
      </c>
      <c r="W110">
        <f>VLOOKUP(D110, SURVLOOKUP!$A:$Q, 14, FALSE)</f>
        <v>1</v>
      </c>
      <c r="X110">
        <f>_xlfn.XLOOKUP(D110, OLDSURVLOOKUP!$A:$A, OLDSURVLOOKUP!X:X)</f>
        <v>0</v>
      </c>
      <c r="Y110">
        <f>VLOOKUP(D110, SURVLOOKUP!$A:$Q, 15, FALSE)</f>
        <v>1</v>
      </c>
      <c r="Z110">
        <f t="shared" si="24"/>
        <v>40.548387096774192</v>
      </c>
      <c r="AA110" s="2">
        <v>50.354838710000003</v>
      </c>
      <c r="AB110">
        <f t="shared" si="26"/>
        <v>40.548387096774192</v>
      </c>
      <c r="AC110">
        <f t="shared" si="27"/>
        <v>50.354838709677416</v>
      </c>
      <c r="AD110">
        <f t="shared" si="28"/>
        <v>40</v>
      </c>
      <c r="AE110" s="2">
        <v>49.785714290000001</v>
      </c>
      <c r="AF110">
        <f t="shared" si="39"/>
        <v>40</v>
      </c>
      <c r="AG110">
        <f t="shared" si="40"/>
        <v>49.785714285714285</v>
      </c>
      <c r="AH110">
        <f t="shared" si="29"/>
        <v>38.41935483870968</v>
      </c>
      <c r="AI110" s="2">
        <v>48.22580645</v>
      </c>
      <c r="AJ110">
        <f t="shared" si="31"/>
        <v>38.41935483870968</v>
      </c>
      <c r="AK110">
        <f t="shared" si="32"/>
        <v>48.225806451612904</v>
      </c>
      <c r="AL110">
        <f t="shared" si="34"/>
        <v>1</v>
      </c>
      <c r="AM110" t="str">
        <f t="shared" si="38"/>
        <v>University of Cincinnati</v>
      </c>
      <c r="AN110">
        <v>0</v>
      </c>
      <c r="AO110">
        <v>42</v>
      </c>
      <c r="AP110">
        <f>VLOOKUP(D110, METADATALOOKUP!$A:$AI, 7, FALSE)</f>
        <v>45</v>
      </c>
      <c r="AQ110" t="str">
        <f>VLOOKUP(D110, METADATALOOKUP!$A:$AI, 8, FALSE)</f>
        <v>Male</v>
      </c>
      <c r="AR110" t="str">
        <f>VLOOKUP(D110, METADATALOOKUP!$A:$AI, 9, FALSE)</f>
        <v>White</v>
      </c>
      <c r="AS110" t="str">
        <f>VLOOKUP(D110, METADATALOOKUP!$A:$AI, 11, FALSE)</f>
        <v>Yes</v>
      </c>
      <c r="AT110" t="str">
        <f>VLOOKUP(D110, METADATALOOKUP!$A:$AI, 10, FALSE)</f>
        <v>Non-Hispanic</v>
      </c>
      <c r="AU110" t="str">
        <f>VLOOKUP(D110, METADATALOOKUP!$A:$AI, 12, FALSE)</f>
        <v>Yes</v>
      </c>
      <c r="AV110" t="str">
        <f>VLOOKUP(D110, METADATALOOKUP!$A:$AI, 14, FALSE)</f>
        <v>T4aN2cM0</v>
      </c>
      <c r="AW110" t="str">
        <f>VLOOKUP(D110, METADATALOOKUP!$A:$AI, 6, FALSE)</f>
        <v>High</v>
      </c>
      <c r="AX110" t="str">
        <f>VLOOKUP(D110, METADATALOOKUP!$A:$AI, 19, FALSE)</f>
        <v>Unknown</v>
      </c>
      <c r="AY110">
        <f>LOOKUP(D110, SURVLOOKUP!$A:$A, SURVLOOKUP!$P:$P)</f>
        <v>2</v>
      </c>
      <c r="AZ110" s="46">
        <v>4</v>
      </c>
      <c r="BA110" t="str">
        <f>TEXT(VLOOKUP(D110, METADATALOOKUP!$A:$AI, 34, FALSE), "@")</f>
        <v>40-50%</v>
      </c>
      <c r="BB110" s="47" t="str">
        <f t="shared" si="33"/>
        <v>Responder</v>
      </c>
      <c r="BC110">
        <v>0.05</v>
      </c>
      <c r="BD110" s="1">
        <v>43126</v>
      </c>
    </row>
    <row r="111" spans="1:56" x14ac:dyDescent="0.2">
      <c r="A111" s="3" t="s">
        <v>396</v>
      </c>
      <c r="B111" t="str">
        <f>VLOOKUP(A111, IDSLOOKUP!C:E, 2, FALSE)</f>
        <v>Day 0</v>
      </c>
      <c r="C111" t="str">
        <f>VLOOKUP(D111, METADATALOOKUP!$A:$AI, 13, FALSE)</f>
        <v>Oral Cavity</v>
      </c>
      <c r="D111" t="str">
        <f>VLOOKUP(A111, IDSLOOKUP!C:E, 3, FALSE)</f>
        <v>HN01-19</v>
      </c>
      <c r="E111" s="48">
        <f>VLOOKUP(A111,CFDNALOOKUP!AG:AI,2,FALSE)</f>
        <v>43829</v>
      </c>
      <c r="F111" s="48">
        <f>VLOOKUP(A111,CFDNALOOKUP!AG:AI,3,FALSE)</f>
        <v>43889</v>
      </c>
      <c r="G111" s="1">
        <f>VLOOKUP(D111, SURVLOOKUP!$A:$Q, 2, FALSE)</f>
        <v>43102</v>
      </c>
      <c r="H111" s="1">
        <f>VLOOKUP(D111, SURVLOOKUP!$A:$Q, 3, FALSE)</f>
        <v>43118</v>
      </c>
      <c r="I111" s="1">
        <f>VLOOKUP(D111, SURVLOOKUP!$A:$Q, 4, FALSE)</f>
        <v>43116</v>
      </c>
      <c r="J111" s="1">
        <f>VLOOKUP(D111, SURVLOOKUP!$A:$Q, 5, FALSE)</f>
        <v>43136</v>
      </c>
      <c r="K111" s="1">
        <f>VLOOKUP(D111, SURVLOOKUP!$A:$Q, 6, FALSE)</f>
        <v>43185</v>
      </c>
      <c r="L111" s="1">
        <f>VLOOKUP(D111, SURVLOOKUP!$A:$Q, 7, FALSE)</f>
        <v>43224</v>
      </c>
      <c r="M111" s="1">
        <f>VLOOKUP(D111, SURVLOOKUP!$A:$Q, 8, FALSE)</f>
        <v>43179</v>
      </c>
      <c r="N111" s="1">
        <f>VLOOKUP(D111, SURVLOOKUP!$A:$Q, 9, FALSE)</f>
        <v>43284</v>
      </c>
      <c r="O111" s="1" t="str">
        <f>VLOOKUP(D111, SURVLOOKUP!$A:$Q, 10, FALSE)</f>
        <v>NA</v>
      </c>
      <c r="P111" s="1">
        <f>VLOOKUP(D111, OLDSURVLOOKUP!$A:$AA, 19, FALSE)</f>
        <v>44349</v>
      </c>
      <c r="Q111" s="1">
        <f>VLOOKUP(D111, SURVLOOKUP!$A:$Q, 11, FALSE)</f>
        <v>44646</v>
      </c>
      <c r="R111" s="1"/>
      <c r="S111" s="1"/>
      <c r="T111" s="1"/>
      <c r="U111" s="1">
        <f>VLOOKUP(D111, SURVLOOKUP!$A:$Q, 13, FALSE)</f>
        <v>44647</v>
      </c>
      <c r="V111">
        <f>_xlfn.XLOOKUP(D111, OLDSURVLOOKUP!$A:$A, OLDSURVLOOKUP!V:V)</f>
        <v>0</v>
      </c>
      <c r="W111">
        <f>VLOOKUP(D111, SURVLOOKUP!$A:$Q, 14, FALSE)</f>
        <v>1</v>
      </c>
      <c r="X111">
        <f>_xlfn.XLOOKUP(D111, OLDSURVLOOKUP!$A:$A, OLDSURVLOOKUP!X:X)</f>
        <v>0</v>
      </c>
      <c r="Y111">
        <f>VLOOKUP(D111, SURVLOOKUP!$A:$Q, 15, FALSE)</f>
        <v>1</v>
      </c>
      <c r="Z111">
        <f t="shared" si="24"/>
        <v>40.548387096774192</v>
      </c>
      <c r="AA111" s="2">
        <v>50.354838710000003</v>
      </c>
      <c r="AB111">
        <f t="shared" si="26"/>
        <v>40.548387096774192</v>
      </c>
      <c r="AC111">
        <f t="shared" si="27"/>
        <v>50.354838709677416</v>
      </c>
      <c r="AD111">
        <f t="shared" si="28"/>
        <v>40</v>
      </c>
      <c r="AE111" s="2">
        <v>49.785714290000001</v>
      </c>
      <c r="AF111">
        <f t="shared" si="39"/>
        <v>40</v>
      </c>
      <c r="AG111">
        <f t="shared" si="40"/>
        <v>49.785714285714285</v>
      </c>
      <c r="AH111">
        <f t="shared" si="29"/>
        <v>38.41935483870968</v>
      </c>
      <c r="AI111" s="2">
        <v>48.22580645</v>
      </c>
      <c r="AJ111">
        <f t="shared" si="31"/>
        <v>38.41935483870968</v>
      </c>
      <c r="AK111">
        <f t="shared" si="32"/>
        <v>48.225806451612904</v>
      </c>
      <c r="AL111">
        <f t="shared" si="34"/>
        <v>1</v>
      </c>
      <c r="AM111" t="str">
        <f t="shared" si="38"/>
        <v>University of Cincinnati</v>
      </c>
      <c r="AN111">
        <v>0</v>
      </c>
      <c r="AO111">
        <v>42</v>
      </c>
      <c r="AP111">
        <f>VLOOKUP(D111, METADATALOOKUP!$A:$AI, 7, FALSE)</f>
        <v>45</v>
      </c>
      <c r="AQ111" t="str">
        <f>VLOOKUP(D111, METADATALOOKUP!$A:$AI, 8, FALSE)</f>
        <v>Male</v>
      </c>
      <c r="AR111" t="str">
        <f>VLOOKUP(D111, METADATALOOKUP!$A:$AI, 9, FALSE)</f>
        <v>White</v>
      </c>
      <c r="AS111" t="str">
        <f>VLOOKUP(D111, METADATALOOKUP!$A:$AI, 11, FALSE)</f>
        <v>Yes</v>
      </c>
      <c r="AT111" t="str">
        <f>VLOOKUP(D111, METADATALOOKUP!$A:$AI, 10, FALSE)</f>
        <v>Non-Hispanic</v>
      </c>
      <c r="AU111" t="str">
        <f>VLOOKUP(D111, METADATALOOKUP!$A:$AI, 12, FALSE)</f>
        <v>Yes</v>
      </c>
      <c r="AV111" t="str">
        <f>VLOOKUP(D111, METADATALOOKUP!$A:$AI, 14, FALSE)</f>
        <v>T4aN2cM0</v>
      </c>
      <c r="AW111" t="str">
        <f>VLOOKUP(D111, METADATALOOKUP!$A:$AI, 6, FALSE)</f>
        <v>High</v>
      </c>
      <c r="AX111" t="str">
        <f>VLOOKUP(D111, METADATALOOKUP!$A:$AI, 19, FALSE)</f>
        <v>Unknown</v>
      </c>
      <c r="AY111">
        <f>LOOKUP(D111, SURVLOOKUP!$A:$A, SURVLOOKUP!$P:$P)</f>
        <v>2</v>
      </c>
      <c r="AZ111" s="46">
        <v>4</v>
      </c>
      <c r="BA111" t="str">
        <f>TEXT(VLOOKUP(D111, METADATALOOKUP!$A:$AI, 34, FALSE), "@")</f>
        <v>40-50%</v>
      </c>
      <c r="BB111" s="47" t="str">
        <f t="shared" si="33"/>
        <v>Responder</v>
      </c>
      <c r="BC111">
        <v>0.18</v>
      </c>
      <c r="BD111" s="1">
        <v>43133</v>
      </c>
    </row>
    <row r="112" spans="1:56" x14ac:dyDescent="0.2">
      <c r="A112" s="3" t="s">
        <v>397</v>
      </c>
      <c r="B112" t="str">
        <f>VLOOKUP(A112, IDSLOOKUP!C:E, 2, FALSE)</f>
        <v>Adj Wk 1</v>
      </c>
      <c r="C112" t="str">
        <f>VLOOKUP(D112, METADATALOOKUP!$A:$AI, 13, FALSE)</f>
        <v>Oral Cavity</v>
      </c>
      <c r="D112" t="str">
        <f>VLOOKUP(A112, IDSLOOKUP!C:E, 3, FALSE)</f>
        <v>HN01-19</v>
      </c>
      <c r="E112" s="48">
        <f>VLOOKUP(A112,CFDNALOOKUP!AG:AI,2,FALSE)</f>
        <v>43829</v>
      </c>
      <c r="F112" s="48">
        <f>VLOOKUP(A112,CFDNALOOKUP!AG:AI,3,FALSE)</f>
        <v>43887</v>
      </c>
      <c r="G112" s="1">
        <f>VLOOKUP(D112, SURVLOOKUP!$A:$Q, 2, FALSE)</f>
        <v>43102</v>
      </c>
      <c r="H112" s="1">
        <f>VLOOKUP(D112, SURVLOOKUP!$A:$Q, 3, FALSE)</f>
        <v>43118</v>
      </c>
      <c r="I112" s="1">
        <f>VLOOKUP(D112, SURVLOOKUP!$A:$Q, 4, FALSE)</f>
        <v>43116</v>
      </c>
      <c r="J112" s="1">
        <f>VLOOKUP(D112, SURVLOOKUP!$A:$Q, 5, FALSE)</f>
        <v>43136</v>
      </c>
      <c r="K112" s="1">
        <f>VLOOKUP(D112, SURVLOOKUP!$A:$Q, 6, FALSE)</f>
        <v>43185</v>
      </c>
      <c r="L112" s="1">
        <f>VLOOKUP(D112, SURVLOOKUP!$A:$Q, 7, FALSE)</f>
        <v>43224</v>
      </c>
      <c r="M112" s="1">
        <f>VLOOKUP(D112, SURVLOOKUP!$A:$Q, 8, FALSE)</f>
        <v>43179</v>
      </c>
      <c r="N112" s="1">
        <f>VLOOKUP(D112, SURVLOOKUP!$A:$Q, 9, FALSE)</f>
        <v>43284</v>
      </c>
      <c r="O112" s="1" t="str">
        <f>VLOOKUP(D112, SURVLOOKUP!$A:$Q, 10, FALSE)</f>
        <v>NA</v>
      </c>
      <c r="P112" s="1">
        <f>VLOOKUP(D112, OLDSURVLOOKUP!$A:$AA, 19, FALSE)</f>
        <v>44349</v>
      </c>
      <c r="Q112" s="1">
        <f>VLOOKUP(D112, SURVLOOKUP!$A:$Q, 11, FALSE)</f>
        <v>44646</v>
      </c>
      <c r="R112" s="1"/>
      <c r="S112" s="1"/>
      <c r="T112" s="1"/>
      <c r="U112" s="1">
        <f>VLOOKUP(D112, SURVLOOKUP!$A:$Q, 13, FALSE)</f>
        <v>44647</v>
      </c>
      <c r="V112">
        <f>_xlfn.XLOOKUP(D112, OLDSURVLOOKUP!$A:$A, OLDSURVLOOKUP!V:V)</f>
        <v>0</v>
      </c>
      <c r="W112">
        <f>VLOOKUP(D112, SURVLOOKUP!$A:$Q, 14, FALSE)</f>
        <v>1</v>
      </c>
      <c r="X112">
        <f>_xlfn.XLOOKUP(D112, OLDSURVLOOKUP!$A:$A, OLDSURVLOOKUP!X:X)</f>
        <v>0</v>
      </c>
      <c r="Y112">
        <f>VLOOKUP(D112, SURVLOOKUP!$A:$Q, 15, FALSE)</f>
        <v>1</v>
      </c>
      <c r="Z112">
        <f t="shared" si="24"/>
        <v>40.548387096774192</v>
      </c>
      <c r="AA112" s="2">
        <v>50.354838710000003</v>
      </c>
      <c r="AB112">
        <f t="shared" si="26"/>
        <v>40.548387096774192</v>
      </c>
      <c r="AC112">
        <f t="shared" si="27"/>
        <v>50.354838709677416</v>
      </c>
      <c r="AD112">
        <f t="shared" si="28"/>
        <v>40</v>
      </c>
      <c r="AE112" s="2">
        <v>49.785714290000001</v>
      </c>
      <c r="AF112">
        <f t="shared" si="39"/>
        <v>40</v>
      </c>
      <c r="AG112">
        <f t="shared" si="40"/>
        <v>49.785714285714285</v>
      </c>
      <c r="AH112">
        <f t="shared" si="29"/>
        <v>38.41935483870968</v>
      </c>
      <c r="AI112" s="2">
        <v>48.22580645</v>
      </c>
      <c r="AJ112">
        <f t="shared" si="31"/>
        <v>38.41935483870968</v>
      </c>
      <c r="AK112">
        <f t="shared" si="32"/>
        <v>48.225806451612904</v>
      </c>
      <c r="AL112">
        <f t="shared" si="34"/>
        <v>1</v>
      </c>
      <c r="AM112" t="str">
        <f t="shared" si="38"/>
        <v>University of Cincinnati</v>
      </c>
      <c r="AN112">
        <v>0</v>
      </c>
      <c r="AO112">
        <v>42</v>
      </c>
      <c r="AP112">
        <f>VLOOKUP(D112, METADATALOOKUP!$A:$AI, 7, FALSE)</f>
        <v>45</v>
      </c>
      <c r="AQ112" t="str">
        <f>VLOOKUP(D112, METADATALOOKUP!$A:$AI, 8, FALSE)</f>
        <v>Male</v>
      </c>
      <c r="AR112" t="str">
        <f>VLOOKUP(D112, METADATALOOKUP!$A:$AI, 9, FALSE)</f>
        <v>White</v>
      </c>
      <c r="AS112" t="str">
        <f>VLOOKUP(D112, METADATALOOKUP!$A:$AI, 11, FALSE)</f>
        <v>Yes</v>
      </c>
      <c r="AT112" t="str">
        <f>VLOOKUP(D112, METADATALOOKUP!$A:$AI, 10, FALSE)</f>
        <v>Non-Hispanic</v>
      </c>
      <c r="AU112" t="str">
        <f>VLOOKUP(D112, METADATALOOKUP!$A:$AI, 12, FALSE)</f>
        <v>Yes</v>
      </c>
      <c r="AV112" t="str">
        <f>VLOOKUP(D112, METADATALOOKUP!$A:$AI, 14, FALSE)</f>
        <v>T4aN2cM0</v>
      </c>
      <c r="AW112" t="str">
        <f>VLOOKUP(D112, METADATALOOKUP!$A:$AI, 6, FALSE)</f>
        <v>High</v>
      </c>
      <c r="AX112" t="str">
        <f>VLOOKUP(D112, METADATALOOKUP!$A:$AI, 19, FALSE)</f>
        <v>Unknown</v>
      </c>
      <c r="AY112">
        <f>LOOKUP(D112, SURVLOOKUP!$A:$A, SURVLOOKUP!$P:$P)</f>
        <v>2</v>
      </c>
      <c r="AZ112" s="46">
        <v>4</v>
      </c>
      <c r="BA112" t="str">
        <f>TEXT(VLOOKUP(D112, METADATALOOKUP!$A:$AI, 34, FALSE), "@")</f>
        <v>40-50%</v>
      </c>
      <c r="BB112" s="47" t="str">
        <f t="shared" si="33"/>
        <v>Responder</v>
      </c>
      <c r="BC112">
        <v>0.05</v>
      </c>
      <c r="BD112" s="1">
        <v>43179</v>
      </c>
    </row>
    <row r="113" spans="1:56" x14ac:dyDescent="0.2">
      <c r="A113" s="3" t="s">
        <v>398</v>
      </c>
      <c r="B113" t="str">
        <f>VLOOKUP(A113, IDSLOOKUP!C:E, 2, FALSE)</f>
        <v>Screen</v>
      </c>
      <c r="C113" t="str">
        <f>VLOOKUP(D113, METADATALOOKUP!$A:$AI, 13, FALSE)</f>
        <v>Oral Cavity</v>
      </c>
      <c r="D113" t="str">
        <f>VLOOKUP(A113, IDSLOOKUP!C:E, 3, FALSE)</f>
        <v>HN01-24</v>
      </c>
      <c r="E113" s="48">
        <f>VLOOKUP(A113,CFDNALOOKUP!AG:AI,2,FALSE)</f>
        <v>43829</v>
      </c>
      <c r="F113" s="48">
        <f>VLOOKUP(A113,CFDNALOOKUP!AG:AI,3,FALSE)</f>
        <v>43901</v>
      </c>
      <c r="G113" s="1">
        <f>VLOOKUP(D113, SURVLOOKUP!$A:$Q, 2, FALSE)</f>
        <v>43179</v>
      </c>
      <c r="H113" s="1">
        <f>VLOOKUP(D113, SURVLOOKUP!$A:$Q, 3, FALSE)</f>
        <v>43180</v>
      </c>
      <c r="I113" s="1">
        <f>VLOOKUP(D113, SURVLOOKUP!$A:$Q, 4, FALSE)</f>
        <v>43187</v>
      </c>
      <c r="J113" s="1">
        <f>VLOOKUP(D113, SURVLOOKUP!$A:$Q, 5, FALSE)</f>
        <v>43217</v>
      </c>
      <c r="K113" s="1">
        <f>VLOOKUP(D113, SURVLOOKUP!$A:$Q, 6, FALSE)</f>
        <v>43267</v>
      </c>
      <c r="L113" s="1">
        <f>VLOOKUP(D113, SURVLOOKUP!$A:$Q, 7, FALSE)</f>
        <v>43312</v>
      </c>
      <c r="M113" s="1">
        <f>VLOOKUP(D113, SURVLOOKUP!$A:$Q, 8, FALSE)</f>
        <v>43263</v>
      </c>
      <c r="N113" s="1">
        <f>VLOOKUP(D113, SURVLOOKUP!$A:$Q, 9, FALSE)</f>
        <v>43369</v>
      </c>
      <c r="O113" s="1" t="str">
        <f>VLOOKUP(D113, SURVLOOKUP!$A:$Q, 10, FALSE)</f>
        <v>NA</v>
      </c>
      <c r="P113" s="1">
        <f>VLOOKUP(D113, OLDSURVLOOKUP!$A:$AA, 19, FALSE)</f>
        <v>44278</v>
      </c>
      <c r="Q113" s="1">
        <f>VLOOKUP(D113, SURVLOOKUP!$A:$Q, 11, FALSE)</f>
        <v>45002</v>
      </c>
      <c r="R113" s="1"/>
      <c r="S113" s="1"/>
      <c r="T113" s="1"/>
      <c r="U113" s="1"/>
      <c r="V113">
        <f>_xlfn.XLOOKUP(D113, OLDSURVLOOKUP!$A:$A, OLDSURVLOOKUP!V:V)</f>
        <v>0</v>
      </c>
      <c r="W113">
        <f>VLOOKUP(D113, SURVLOOKUP!$A:$Q, 14, FALSE)</f>
        <v>0</v>
      </c>
      <c r="X113">
        <f>_xlfn.XLOOKUP(D113, OLDSURVLOOKUP!$A:$A, OLDSURVLOOKUP!X:X)</f>
        <v>0</v>
      </c>
      <c r="Y113">
        <f>VLOOKUP(D113, SURVLOOKUP!$A:$Q, 15, FALSE)</f>
        <v>0</v>
      </c>
      <c r="Z113">
        <f t="shared" si="24"/>
        <v>35.741935483870968</v>
      </c>
      <c r="AA113">
        <f t="shared" si="25"/>
        <v>59.548387096774192</v>
      </c>
      <c r="AB113">
        <f t="shared" si="26"/>
        <v>35.741935483870968</v>
      </c>
      <c r="AC113">
        <f t="shared" si="27"/>
        <v>59.548387096774192</v>
      </c>
      <c r="AD113">
        <f t="shared" si="28"/>
        <v>34.799999999999997</v>
      </c>
      <c r="AE113">
        <f t="shared" ref="AE113:AE136" si="41">IF(W113=0, DATEDIF(J113,Q113,"M")+DATEDIF(J113,Q113,"MD")/DAY(EOMONTH(J113,0)), DATEDIF(J113,S113,"M")+DATEDIF(J113,S113,"MD")/DAY(EOMONTH(J113,0)))</f>
        <v>58.6</v>
      </c>
      <c r="AF113">
        <f t="shared" si="39"/>
        <v>34.799999999999997</v>
      </c>
      <c r="AG113">
        <f t="shared" si="40"/>
        <v>58.6</v>
      </c>
      <c r="AH113">
        <f t="shared" si="29"/>
        <v>33.366666666666667</v>
      </c>
      <c r="AI113">
        <f t="shared" si="30"/>
        <v>57.166666666666664</v>
      </c>
      <c r="AJ113">
        <f t="shared" si="31"/>
        <v>33.366666666666667</v>
      </c>
      <c r="AK113">
        <f t="shared" si="32"/>
        <v>57.166666666666664</v>
      </c>
      <c r="AL113">
        <f t="shared" si="34"/>
        <v>1</v>
      </c>
      <c r="AM113" t="str">
        <f t="shared" si="38"/>
        <v>University of Cincinnati</v>
      </c>
      <c r="AN113">
        <v>1</v>
      </c>
      <c r="AO113">
        <v>43</v>
      </c>
      <c r="AP113">
        <f>VLOOKUP(D113, METADATALOOKUP!$A:$AI, 7, FALSE)</f>
        <v>61</v>
      </c>
      <c r="AQ113" t="str">
        <f>VLOOKUP(D113, METADATALOOKUP!$A:$AI, 8, FALSE)</f>
        <v>Male</v>
      </c>
      <c r="AR113" t="str">
        <f>VLOOKUP(D113, METADATALOOKUP!$A:$AI, 9, FALSE)</f>
        <v>White</v>
      </c>
      <c r="AS113" t="str">
        <f>VLOOKUP(D113, METADATALOOKUP!$A:$AI, 11, FALSE)</f>
        <v>Yes</v>
      </c>
      <c r="AT113" t="str">
        <f>VLOOKUP(D113, METADATALOOKUP!$A:$AI, 10, FALSE)</f>
        <v>Non-Hispanic</v>
      </c>
      <c r="AU113" t="str">
        <f>VLOOKUP(D113, METADATALOOKUP!$A:$AI, 12, FALSE)</f>
        <v>Yes</v>
      </c>
      <c r="AV113" t="str">
        <f>VLOOKUP(D113, METADATALOOKUP!$A:$AI, 14, FALSE)</f>
        <v>T4aN2cM0</v>
      </c>
      <c r="AW113" t="str">
        <f>VLOOKUP(D113, METADATALOOKUP!$A:$AI, 6, FALSE)</f>
        <v>High</v>
      </c>
      <c r="AX113" t="str">
        <f>VLOOKUP(D113, METADATALOOKUP!$A:$AI, 19, FALSE)</f>
        <v>Unknown</v>
      </c>
      <c r="AY113">
        <f>LOOKUP(D113, SURVLOOKUP!$A:$A, SURVLOOKUP!$P:$P)</f>
        <v>0</v>
      </c>
      <c r="AZ113" s="46">
        <v>2</v>
      </c>
      <c r="BA113" t="str">
        <f>TEXT(VLOOKUP(D113, METADATALOOKUP!$A:$AI, 34, FALSE), "@")</f>
        <v>0.2</v>
      </c>
      <c r="BB113" s="47" t="str">
        <f t="shared" si="33"/>
        <v>Responder</v>
      </c>
      <c r="BC113">
        <v>0.05</v>
      </c>
      <c r="BD113" s="1">
        <v>43187</v>
      </c>
    </row>
    <row r="114" spans="1:56" x14ac:dyDescent="0.2">
      <c r="A114" s="3" t="s">
        <v>400</v>
      </c>
      <c r="B114" t="str">
        <f>VLOOKUP(A114, IDSLOOKUP!C:E, 2, FALSE)</f>
        <v>Day 0</v>
      </c>
      <c r="C114" t="str">
        <f>VLOOKUP(D114, METADATALOOKUP!$A:$AI, 13, FALSE)</f>
        <v>Oral Cavity</v>
      </c>
      <c r="D114" t="str">
        <f>VLOOKUP(A114, IDSLOOKUP!C:E, 3, FALSE)</f>
        <v>HN01-24</v>
      </c>
      <c r="E114" s="48">
        <f>VLOOKUP(A114,CFDNALOOKUP!AG:AI,2,FALSE)</f>
        <v>43829</v>
      </c>
      <c r="F114" s="48">
        <f>VLOOKUP(A114,CFDNALOOKUP!AG:AI,3,FALSE)</f>
        <v>43898</v>
      </c>
      <c r="G114" s="1">
        <f>VLOOKUP(D114, SURVLOOKUP!$A:$Q, 2, FALSE)</f>
        <v>43179</v>
      </c>
      <c r="H114" s="1">
        <f>VLOOKUP(D114, SURVLOOKUP!$A:$Q, 3, FALSE)</f>
        <v>43180</v>
      </c>
      <c r="I114" s="1">
        <f>VLOOKUP(D114, SURVLOOKUP!$A:$Q, 4, FALSE)</f>
        <v>43187</v>
      </c>
      <c r="J114" s="1">
        <f>VLOOKUP(D114, SURVLOOKUP!$A:$Q, 5, FALSE)</f>
        <v>43217</v>
      </c>
      <c r="K114" s="1">
        <f>VLOOKUP(D114, SURVLOOKUP!$A:$Q, 6, FALSE)</f>
        <v>43267</v>
      </c>
      <c r="L114" s="1">
        <f>VLOOKUP(D114, SURVLOOKUP!$A:$Q, 7, FALSE)</f>
        <v>43312</v>
      </c>
      <c r="M114" s="1">
        <f>VLOOKUP(D114, SURVLOOKUP!$A:$Q, 8, FALSE)</f>
        <v>43263</v>
      </c>
      <c r="N114" s="1">
        <f>VLOOKUP(D114, SURVLOOKUP!$A:$Q, 9, FALSE)</f>
        <v>43369</v>
      </c>
      <c r="O114" s="1" t="str">
        <f>VLOOKUP(D114, SURVLOOKUP!$A:$Q, 10, FALSE)</f>
        <v>NA</v>
      </c>
      <c r="P114" s="1">
        <f>VLOOKUP(D114, OLDSURVLOOKUP!$A:$AA, 19, FALSE)</f>
        <v>44278</v>
      </c>
      <c r="Q114" s="1">
        <f>VLOOKUP(D114, SURVLOOKUP!$A:$Q, 11, FALSE)</f>
        <v>45002</v>
      </c>
      <c r="R114" s="1"/>
      <c r="S114" s="1"/>
      <c r="T114" s="1"/>
      <c r="U114" s="1"/>
      <c r="V114">
        <f>_xlfn.XLOOKUP(D114, OLDSURVLOOKUP!$A:$A, OLDSURVLOOKUP!V:V)</f>
        <v>0</v>
      </c>
      <c r="W114">
        <f>VLOOKUP(D114, SURVLOOKUP!$A:$Q, 14, FALSE)</f>
        <v>0</v>
      </c>
      <c r="X114">
        <f>_xlfn.XLOOKUP(D114, OLDSURVLOOKUP!$A:$A, OLDSURVLOOKUP!X:X)</f>
        <v>0</v>
      </c>
      <c r="Y114">
        <f>VLOOKUP(D114, SURVLOOKUP!$A:$Q, 15, FALSE)</f>
        <v>0</v>
      </c>
      <c r="Z114">
        <f t="shared" si="24"/>
        <v>35.741935483870968</v>
      </c>
      <c r="AA114">
        <f t="shared" si="25"/>
        <v>59.548387096774192</v>
      </c>
      <c r="AB114">
        <f t="shared" si="26"/>
        <v>35.741935483870968</v>
      </c>
      <c r="AC114">
        <f t="shared" si="27"/>
        <v>59.548387096774192</v>
      </c>
      <c r="AD114">
        <f t="shared" si="28"/>
        <v>34.799999999999997</v>
      </c>
      <c r="AE114">
        <f t="shared" si="41"/>
        <v>58.6</v>
      </c>
      <c r="AF114">
        <f t="shared" si="39"/>
        <v>34.799999999999997</v>
      </c>
      <c r="AG114">
        <f t="shared" si="40"/>
        <v>58.6</v>
      </c>
      <c r="AH114">
        <f t="shared" si="29"/>
        <v>33.366666666666667</v>
      </c>
      <c r="AI114">
        <f t="shared" si="30"/>
        <v>57.166666666666664</v>
      </c>
      <c r="AJ114">
        <f t="shared" si="31"/>
        <v>33.366666666666667</v>
      </c>
      <c r="AK114">
        <f t="shared" si="32"/>
        <v>57.166666666666664</v>
      </c>
      <c r="AL114">
        <f t="shared" si="34"/>
        <v>1</v>
      </c>
      <c r="AM114" t="str">
        <f t="shared" si="38"/>
        <v>University of Cincinnati</v>
      </c>
      <c r="AN114">
        <v>1</v>
      </c>
      <c r="AO114">
        <v>43</v>
      </c>
      <c r="AP114">
        <f>VLOOKUP(D114, METADATALOOKUP!$A:$AI, 7, FALSE)</f>
        <v>61</v>
      </c>
      <c r="AQ114" t="str">
        <f>VLOOKUP(D114, METADATALOOKUP!$A:$AI, 8, FALSE)</f>
        <v>Male</v>
      </c>
      <c r="AR114" t="str">
        <f>VLOOKUP(D114, METADATALOOKUP!$A:$AI, 9, FALSE)</f>
        <v>White</v>
      </c>
      <c r="AS114" t="str">
        <f>VLOOKUP(D114, METADATALOOKUP!$A:$AI, 11, FALSE)</f>
        <v>Yes</v>
      </c>
      <c r="AT114" t="str">
        <f>VLOOKUP(D114, METADATALOOKUP!$A:$AI, 10, FALSE)</f>
        <v>Non-Hispanic</v>
      </c>
      <c r="AU114" t="str">
        <f>VLOOKUP(D114, METADATALOOKUP!$A:$AI, 12, FALSE)</f>
        <v>Yes</v>
      </c>
      <c r="AV114" t="str">
        <f>VLOOKUP(D114, METADATALOOKUP!$A:$AI, 14, FALSE)</f>
        <v>T4aN2cM0</v>
      </c>
      <c r="AW114" t="str">
        <f>VLOOKUP(D114, METADATALOOKUP!$A:$AI, 6, FALSE)</f>
        <v>High</v>
      </c>
      <c r="AX114" t="str">
        <f>VLOOKUP(D114, METADATALOOKUP!$A:$AI, 19, FALSE)</f>
        <v>Unknown</v>
      </c>
      <c r="AY114">
        <f>LOOKUP(D114, SURVLOOKUP!$A:$A, SURVLOOKUP!$P:$P)</f>
        <v>0</v>
      </c>
      <c r="AZ114" s="46">
        <v>2</v>
      </c>
      <c r="BA114" t="str">
        <f>TEXT(VLOOKUP(D114, METADATALOOKUP!$A:$AI, 34, FALSE), "@")</f>
        <v>0.2</v>
      </c>
      <c r="BB114" s="47" t="str">
        <f t="shared" si="33"/>
        <v>Responder</v>
      </c>
      <c r="BC114">
        <v>0.29599999999999999</v>
      </c>
      <c r="BD114" s="1">
        <v>43217</v>
      </c>
    </row>
    <row r="115" spans="1:56" x14ac:dyDescent="0.2">
      <c r="A115" s="3" t="s">
        <v>401</v>
      </c>
      <c r="B115" t="str">
        <f>VLOOKUP(A115, IDSLOOKUP!C:E, 2, FALSE)</f>
        <v>Adj Wk 1</v>
      </c>
      <c r="C115" t="str">
        <f>VLOOKUP(D115, METADATALOOKUP!$A:$AI, 13, FALSE)</f>
        <v>Oral Cavity</v>
      </c>
      <c r="D115" t="str">
        <f>VLOOKUP(A115, IDSLOOKUP!C:E, 3, FALSE)</f>
        <v>HN01-24</v>
      </c>
      <c r="E115" s="48">
        <f>VLOOKUP(A115,CFDNALOOKUP!AG:AI,2,FALSE)</f>
        <v>43829</v>
      </c>
      <c r="F115" s="48">
        <f>VLOOKUP(A115,CFDNALOOKUP!AG:AI,3,FALSE)</f>
        <v>43891</v>
      </c>
      <c r="G115" s="1">
        <f>VLOOKUP(D115, SURVLOOKUP!$A:$Q, 2, FALSE)</f>
        <v>43179</v>
      </c>
      <c r="H115" s="1">
        <f>VLOOKUP(D115, SURVLOOKUP!$A:$Q, 3, FALSE)</f>
        <v>43180</v>
      </c>
      <c r="I115" s="1">
        <f>VLOOKUP(D115, SURVLOOKUP!$A:$Q, 4, FALSE)</f>
        <v>43187</v>
      </c>
      <c r="J115" s="1">
        <f>VLOOKUP(D115, SURVLOOKUP!$A:$Q, 5, FALSE)</f>
        <v>43217</v>
      </c>
      <c r="K115" s="1">
        <f>VLOOKUP(D115, SURVLOOKUP!$A:$Q, 6, FALSE)</f>
        <v>43267</v>
      </c>
      <c r="L115" s="1">
        <f>VLOOKUP(D115, SURVLOOKUP!$A:$Q, 7, FALSE)</f>
        <v>43312</v>
      </c>
      <c r="M115" s="1">
        <f>VLOOKUP(D115, SURVLOOKUP!$A:$Q, 8, FALSE)</f>
        <v>43263</v>
      </c>
      <c r="N115" s="1">
        <f>VLOOKUP(D115, SURVLOOKUP!$A:$Q, 9, FALSE)</f>
        <v>43369</v>
      </c>
      <c r="O115" s="1" t="str">
        <f>VLOOKUP(D115, SURVLOOKUP!$A:$Q, 10, FALSE)</f>
        <v>NA</v>
      </c>
      <c r="P115" s="1">
        <f>VLOOKUP(D115, OLDSURVLOOKUP!$A:$AA, 19, FALSE)</f>
        <v>44278</v>
      </c>
      <c r="Q115" s="1">
        <f>VLOOKUP(D115, SURVLOOKUP!$A:$Q, 11, FALSE)</f>
        <v>45002</v>
      </c>
      <c r="R115" s="1"/>
      <c r="S115" s="1"/>
      <c r="T115" s="1"/>
      <c r="U115" s="1"/>
      <c r="V115">
        <f>_xlfn.XLOOKUP(D115, OLDSURVLOOKUP!$A:$A, OLDSURVLOOKUP!V:V)</f>
        <v>0</v>
      </c>
      <c r="W115">
        <f>VLOOKUP(D115, SURVLOOKUP!$A:$Q, 14, FALSE)</f>
        <v>0</v>
      </c>
      <c r="X115">
        <f>_xlfn.XLOOKUP(D115, OLDSURVLOOKUP!$A:$A, OLDSURVLOOKUP!X:X)</f>
        <v>0</v>
      </c>
      <c r="Y115">
        <f>VLOOKUP(D115, SURVLOOKUP!$A:$Q, 15, FALSE)</f>
        <v>0</v>
      </c>
      <c r="Z115">
        <f t="shared" si="24"/>
        <v>35.741935483870968</v>
      </c>
      <c r="AA115">
        <f t="shared" si="25"/>
        <v>59.548387096774192</v>
      </c>
      <c r="AB115">
        <f t="shared" si="26"/>
        <v>35.741935483870968</v>
      </c>
      <c r="AC115">
        <f t="shared" si="27"/>
        <v>59.548387096774192</v>
      </c>
      <c r="AD115">
        <f t="shared" si="28"/>
        <v>34.799999999999997</v>
      </c>
      <c r="AE115">
        <f t="shared" si="41"/>
        <v>58.6</v>
      </c>
      <c r="AF115">
        <f t="shared" si="39"/>
        <v>34.799999999999997</v>
      </c>
      <c r="AG115">
        <f t="shared" si="40"/>
        <v>58.6</v>
      </c>
      <c r="AH115">
        <f t="shared" si="29"/>
        <v>33.366666666666667</v>
      </c>
      <c r="AI115">
        <f t="shared" si="30"/>
        <v>57.166666666666664</v>
      </c>
      <c r="AJ115">
        <f t="shared" si="31"/>
        <v>33.366666666666667</v>
      </c>
      <c r="AK115">
        <f t="shared" si="32"/>
        <v>57.166666666666664</v>
      </c>
      <c r="AL115">
        <f t="shared" si="34"/>
        <v>1</v>
      </c>
      <c r="AM115" t="str">
        <f t="shared" si="38"/>
        <v>University of Cincinnati</v>
      </c>
      <c r="AN115">
        <v>1</v>
      </c>
      <c r="AO115">
        <v>43</v>
      </c>
      <c r="AP115">
        <f>VLOOKUP(D115, METADATALOOKUP!$A:$AI, 7, FALSE)</f>
        <v>61</v>
      </c>
      <c r="AQ115" t="str">
        <f>VLOOKUP(D115, METADATALOOKUP!$A:$AI, 8, FALSE)</f>
        <v>Male</v>
      </c>
      <c r="AR115" t="str">
        <f>VLOOKUP(D115, METADATALOOKUP!$A:$AI, 9, FALSE)</f>
        <v>White</v>
      </c>
      <c r="AS115" t="str">
        <f>VLOOKUP(D115, METADATALOOKUP!$A:$AI, 11, FALSE)</f>
        <v>Yes</v>
      </c>
      <c r="AT115" t="str">
        <f>VLOOKUP(D115, METADATALOOKUP!$A:$AI, 10, FALSE)</f>
        <v>Non-Hispanic</v>
      </c>
      <c r="AU115" t="str">
        <f>VLOOKUP(D115, METADATALOOKUP!$A:$AI, 12, FALSE)</f>
        <v>Yes</v>
      </c>
      <c r="AV115" t="str">
        <f>VLOOKUP(D115, METADATALOOKUP!$A:$AI, 14, FALSE)</f>
        <v>T4aN2cM0</v>
      </c>
      <c r="AW115" t="str">
        <f>VLOOKUP(D115, METADATALOOKUP!$A:$AI, 6, FALSE)</f>
        <v>High</v>
      </c>
      <c r="AX115" t="str">
        <f>VLOOKUP(D115, METADATALOOKUP!$A:$AI, 19, FALSE)</f>
        <v>Unknown</v>
      </c>
      <c r="AY115">
        <f>LOOKUP(D115, SURVLOOKUP!$A:$A, SURVLOOKUP!$P:$P)</f>
        <v>0</v>
      </c>
      <c r="AZ115" s="46">
        <v>2</v>
      </c>
      <c r="BA115" t="str">
        <f>TEXT(VLOOKUP(D115, METADATALOOKUP!$A:$AI, 34, FALSE), "@")</f>
        <v>0.2</v>
      </c>
      <c r="BB115" s="47" t="str">
        <f t="shared" si="33"/>
        <v>Responder</v>
      </c>
      <c r="BC115">
        <v>0.05</v>
      </c>
      <c r="BD115" s="1">
        <v>43263</v>
      </c>
    </row>
    <row r="116" spans="1:56" x14ac:dyDescent="0.2">
      <c r="A116" s="3" t="s">
        <v>402</v>
      </c>
      <c r="B116" t="str">
        <f>VLOOKUP(A116, IDSLOOKUP!C:E, 2, FALSE)</f>
        <v>Screen</v>
      </c>
      <c r="C116" t="str">
        <f>VLOOKUP(D116, METADATALOOKUP!$A:$AI, 13, FALSE)</f>
        <v>Oral Cavity</v>
      </c>
      <c r="D116" t="str">
        <f>VLOOKUP(A116, IDSLOOKUP!C:E, 3, FALSE)</f>
        <v>HN01-29</v>
      </c>
      <c r="E116" s="48">
        <f>VLOOKUP(A116,CFDNALOOKUP!AG:AI,2,FALSE)</f>
        <v>43830</v>
      </c>
      <c r="F116" s="48">
        <f>VLOOKUP(A116,CFDNALOOKUP!AG:AI,3,FALSE)</f>
        <v>43889</v>
      </c>
      <c r="G116" s="1">
        <f>VLOOKUP(D116, SURVLOOKUP!$A:$Q, 2, FALSE)</f>
        <v>43375</v>
      </c>
      <c r="H116" s="1">
        <f>VLOOKUP(D116, SURVLOOKUP!$A:$Q, 3, FALSE)</f>
        <v>43425</v>
      </c>
      <c r="I116" s="1">
        <f>VLOOKUP(D116, SURVLOOKUP!$A:$Q, 4, FALSE)</f>
        <v>43432</v>
      </c>
      <c r="J116" s="1">
        <f>VLOOKUP(D116, SURVLOOKUP!$A:$Q, 5, FALSE)</f>
        <v>43440</v>
      </c>
      <c r="K116" s="1">
        <f>VLOOKUP(D116, SURVLOOKUP!$A:$Q, 6, FALSE)</f>
        <v>43496</v>
      </c>
      <c r="L116" s="1">
        <f>VLOOKUP(D116, SURVLOOKUP!$A:$Q, 7, FALSE)</f>
        <v>43553</v>
      </c>
      <c r="M116" s="1">
        <f>VLOOKUP(D116, SURVLOOKUP!$A:$Q, 8, FALSE)</f>
        <v>43488</v>
      </c>
      <c r="N116" s="1">
        <f>VLOOKUP(D116, SURVLOOKUP!$A:$Q, 9, FALSE)</f>
        <v>43593</v>
      </c>
      <c r="O116" s="1" t="str">
        <f>VLOOKUP(D116, SURVLOOKUP!$A:$Q, 10, FALSE)</f>
        <v>NA</v>
      </c>
      <c r="P116" s="1">
        <f>VLOOKUP(D116, OLDSURVLOOKUP!$A:$AA, 19, FALSE)</f>
        <v>44355</v>
      </c>
      <c r="Q116" s="1">
        <f>VLOOKUP(D116, SURVLOOKUP!$A:$Q, 11, FALSE)</f>
        <v>44826</v>
      </c>
      <c r="R116" s="1"/>
      <c r="S116" s="1"/>
      <c r="T116" s="1"/>
      <c r="U116" s="1"/>
      <c r="V116">
        <f>_xlfn.XLOOKUP(D116, OLDSURVLOOKUP!$A:$A, OLDSURVLOOKUP!V:V)</f>
        <v>0</v>
      </c>
      <c r="W116">
        <f>VLOOKUP(D116, SURVLOOKUP!$A:$Q, 14, FALSE)</f>
        <v>0</v>
      </c>
      <c r="X116">
        <f>_xlfn.XLOOKUP(D116, OLDSURVLOOKUP!$A:$A, OLDSURVLOOKUP!X:X)</f>
        <v>0</v>
      </c>
      <c r="Y116">
        <f>VLOOKUP(D116, SURVLOOKUP!$A:$Q, 15, FALSE)</f>
        <v>0</v>
      </c>
      <c r="Z116">
        <f t="shared" si="24"/>
        <v>30.366666666666667</v>
      </c>
      <c r="AA116">
        <f t="shared" si="25"/>
        <v>45.833333333333336</v>
      </c>
      <c r="AB116">
        <f t="shared" si="26"/>
        <v>30.366666666666667</v>
      </c>
      <c r="AC116">
        <f t="shared" si="27"/>
        <v>45.833333333333336</v>
      </c>
      <c r="AD116">
        <f t="shared" si="28"/>
        <v>30.06451612903226</v>
      </c>
      <c r="AE116">
        <f t="shared" si="41"/>
        <v>45.516129032258064</v>
      </c>
      <c r="AF116">
        <f t="shared" si="39"/>
        <v>30.06451612903226</v>
      </c>
      <c r="AG116">
        <f t="shared" si="40"/>
        <v>45.516129032258064</v>
      </c>
      <c r="AH116">
        <f t="shared" si="29"/>
        <v>28.516129032258064</v>
      </c>
      <c r="AI116">
        <f t="shared" si="30"/>
        <v>43.967741935483872</v>
      </c>
      <c r="AJ116">
        <f t="shared" si="31"/>
        <v>28.516129032258064</v>
      </c>
      <c r="AK116">
        <f t="shared" si="32"/>
        <v>43.967741935483872</v>
      </c>
      <c r="AL116">
        <f t="shared" si="34"/>
        <v>1</v>
      </c>
      <c r="AM116" t="str">
        <f t="shared" si="38"/>
        <v>University of Cincinnati</v>
      </c>
      <c r="AN116">
        <v>0</v>
      </c>
      <c r="AO116">
        <v>44</v>
      </c>
      <c r="AP116">
        <f>VLOOKUP(D116, METADATALOOKUP!$A:$AI, 7, FALSE)</f>
        <v>59</v>
      </c>
      <c r="AQ116" t="str">
        <f>VLOOKUP(D116, METADATALOOKUP!$A:$AI, 8, FALSE)</f>
        <v>Male</v>
      </c>
      <c r="AR116" t="str">
        <f>VLOOKUP(D116, METADATALOOKUP!$A:$AI, 9, FALSE)</f>
        <v>White</v>
      </c>
      <c r="AS116" t="str">
        <f>VLOOKUP(D116, METADATALOOKUP!$A:$AI, 11, FALSE)</f>
        <v>Yes</v>
      </c>
      <c r="AT116" t="str">
        <f>VLOOKUP(D116, METADATALOOKUP!$A:$AI, 10, FALSE)</f>
        <v>Non-Hispanic</v>
      </c>
      <c r="AU116" t="str">
        <f>VLOOKUP(D116, METADATALOOKUP!$A:$AI, 12, FALSE)</f>
        <v>Yes</v>
      </c>
      <c r="AV116" t="str">
        <f>VLOOKUP(D116, METADATALOOKUP!$A:$AI, 14, FALSE)</f>
        <v>T4aN0M0</v>
      </c>
      <c r="AW116" t="str">
        <f>VLOOKUP(D116, METADATALOOKUP!$A:$AI, 6, FALSE)</f>
        <v>Intermediate</v>
      </c>
      <c r="AX116" t="str">
        <f>VLOOKUP(D116, METADATALOOKUP!$A:$AI, 19, FALSE)</f>
        <v>Unknown</v>
      </c>
      <c r="AY116">
        <f>LOOKUP(D116, SURVLOOKUP!$A:$A, SURVLOOKUP!$P:$P)</f>
        <v>1</v>
      </c>
      <c r="AZ116" s="46">
        <v>2</v>
      </c>
      <c r="BA116" t="str">
        <f>TEXT(VLOOKUP(D116, METADATALOOKUP!$A:$AI, 34, FALSE), "@")</f>
        <v>0.2</v>
      </c>
      <c r="BB116" s="47" t="str">
        <f t="shared" si="33"/>
        <v>Responder</v>
      </c>
      <c r="BC116">
        <v>0.11799999999999999</v>
      </c>
      <c r="BD116" s="1">
        <v>43425</v>
      </c>
    </row>
    <row r="117" spans="1:56" x14ac:dyDescent="0.2">
      <c r="A117" s="3" t="s">
        <v>404</v>
      </c>
      <c r="B117" t="str">
        <f>VLOOKUP(A117, IDSLOOKUP!C:E, 2, FALSE)</f>
        <v>Day 0</v>
      </c>
      <c r="C117" t="str">
        <f>VLOOKUP(D117, METADATALOOKUP!$A:$AI, 13, FALSE)</f>
        <v>Oral Cavity</v>
      </c>
      <c r="D117" t="str">
        <f>VLOOKUP(A117, IDSLOOKUP!C:E, 3, FALSE)</f>
        <v>HN01-29</v>
      </c>
      <c r="E117" s="48">
        <f>VLOOKUP(A117,CFDNALOOKUP!AG:AI,2,FALSE)</f>
        <v>43830</v>
      </c>
      <c r="F117" s="48">
        <f>VLOOKUP(A117,CFDNALOOKUP!AG:AI,3,FALSE)</f>
        <v>43898</v>
      </c>
      <c r="G117" s="1">
        <f>VLOOKUP(D117, SURVLOOKUP!$A:$Q, 2, FALSE)</f>
        <v>43375</v>
      </c>
      <c r="H117" s="1">
        <f>VLOOKUP(D117, SURVLOOKUP!$A:$Q, 3, FALSE)</f>
        <v>43425</v>
      </c>
      <c r="I117" s="1">
        <f>VLOOKUP(D117, SURVLOOKUP!$A:$Q, 4, FALSE)</f>
        <v>43432</v>
      </c>
      <c r="J117" s="1">
        <f>VLOOKUP(D117, SURVLOOKUP!$A:$Q, 5, FALSE)</f>
        <v>43440</v>
      </c>
      <c r="K117" s="1">
        <f>VLOOKUP(D117, SURVLOOKUP!$A:$Q, 6, FALSE)</f>
        <v>43496</v>
      </c>
      <c r="L117" s="1">
        <f>VLOOKUP(D117, SURVLOOKUP!$A:$Q, 7, FALSE)</f>
        <v>43553</v>
      </c>
      <c r="M117" s="1">
        <f>VLOOKUP(D117, SURVLOOKUP!$A:$Q, 8, FALSE)</f>
        <v>43488</v>
      </c>
      <c r="N117" s="1">
        <f>VLOOKUP(D117, SURVLOOKUP!$A:$Q, 9, FALSE)</f>
        <v>43593</v>
      </c>
      <c r="O117" s="1" t="str">
        <f>VLOOKUP(D117, SURVLOOKUP!$A:$Q, 10, FALSE)</f>
        <v>NA</v>
      </c>
      <c r="P117" s="1">
        <f>VLOOKUP(D117, OLDSURVLOOKUP!$A:$AA, 19, FALSE)</f>
        <v>44355</v>
      </c>
      <c r="Q117" s="1">
        <f>VLOOKUP(D117, SURVLOOKUP!$A:$Q, 11, FALSE)</f>
        <v>44826</v>
      </c>
      <c r="R117" s="1"/>
      <c r="S117" s="1"/>
      <c r="T117" s="1"/>
      <c r="U117" s="1"/>
      <c r="V117">
        <f>_xlfn.XLOOKUP(D117, OLDSURVLOOKUP!$A:$A, OLDSURVLOOKUP!V:V)</f>
        <v>0</v>
      </c>
      <c r="W117">
        <f>VLOOKUP(D117, SURVLOOKUP!$A:$Q, 14, FALSE)</f>
        <v>0</v>
      </c>
      <c r="X117">
        <f>_xlfn.XLOOKUP(D117, OLDSURVLOOKUP!$A:$A, OLDSURVLOOKUP!X:X)</f>
        <v>0</v>
      </c>
      <c r="Y117">
        <f>VLOOKUP(D117, SURVLOOKUP!$A:$Q, 15, FALSE)</f>
        <v>0</v>
      </c>
      <c r="Z117">
        <f t="shared" si="24"/>
        <v>30.366666666666667</v>
      </c>
      <c r="AA117">
        <f t="shared" si="25"/>
        <v>45.833333333333336</v>
      </c>
      <c r="AB117">
        <f t="shared" si="26"/>
        <v>30.366666666666667</v>
      </c>
      <c r="AC117">
        <f t="shared" si="27"/>
        <v>45.833333333333336</v>
      </c>
      <c r="AD117">
        <f t="shared" si="28"/>
        <v>30.06451612903226</v>
      </c>
      <c r="AE117">
        <f t="shared" si="41"/>
        <v>45.516129032258064</v>
      </c>
      <c r="AF117">
        <f t="shared" si="39"/>
        <v>30.06451612903226</v>
      </c>
      <c r="AG117">
        <f t="shared" si="40"/>
        <v>45.516129032258064</v>
      </c>
      <c r="AH117">
        <f t="shared" si="29"/>
        <v>28.516129032258064</v>
      </c>
      <c r="AI117">
        <f t="shared" si="30"/>
        <v>43.967741935483872</v>
      </c>
      <c r="AJ117">
        <f t="shared" si="31"/>
        <v>28.516129032258064</v>
      </c>
      <c r="AK117">
        <f t="shared" si="32"/>
        <v>43.967741935483872</v>
      </c>
      <c r="AL117">
        <f t="shared" si="34"/>
        <v>1</v>
      </c>
      <c r="AM117" t="str">
        <f t="shared" si="38"/>
        <v>University of Cincinnati</v>
      </c>
      <c r="AN117">
        <v>0</v>
      </c>
      <c r="AO117">
        <v>44</v>
      </c>
      <c r="AP117">
        <f>VLOOKUP(D117, METADATALOOKUP!$A:$AI, 7, FALSE)</f>
        <v>59</v>
      </c>
      <c r="AQ117" t="str">
        <f>VLOOKUP(D117, METADATALOOKUP!$A:$AI, 8, FALSE)</f>
        <v>Male</v>
      </c>
      <c r="AR117" t="str">
        <f>VLOOKUP(D117, METADATALOOKUP!$A:$AI, 9, FALSE)</f>
        <v>White</v>
      </c>
      <c r="AS117" t="str">
        <f>VLOOKUP(D117, METADATALOOKUP!$A:$AI, 11, FALSE)</f>
        <v>Yes</v>
      </c>
      <c r="AT117" t="str">
        <f>VLOOKUP(D117, METADATALOOKUP!$A:$AI, 10, FALSE)</f>
        <v>Non-Hispanic</v>
      </c>
      <c r="AU117" t="str">
        <f>VLOOKUP(D117, METADATALOOKUP!$A:$AI, 12, FALSE)</f>
        <v>Yes</v>
      </c>
      <c r="AV117" t="str">
        <f>VLOOKUP(D117, METADATALOOKUP!$A:$AI, 14, FALSE)</f>
        <v>T4aN0M0</v>
      </c>
      <c r="AW117" t="str">
        <f>VLOOKUP(D117, METADATALOOKUP!$A:$AI, 6, FALSE)</f>
        <v>Intermediate</v>
      </c>
      <c r="AX117" t="str">
        <f>VLOOKUP(D117, METADATALOOKUP!$A:$AI, 19, FALSE)</f>
        <v>Unknown</v>
      </c>
      <c r="AY117">
        <f>LOOKUP(D117, SURVLOOKUP!$A:$A, SURVLOOKUP!$P:$P)</f>
        <v>1</v>
      </c>
      <c r="AZ117" s="46">
        <v>2</v>
      </c>
      <c r="BA117" t="str">
        <f>TEXT(VLOOKUP(D117, METADATALOOKUP!$A:$AI, 34, FALSE), "@")</f>
        <v>0.2</v>
      </c>
      <c r="BB117" s="47" t="str">
        <f t="shared" si="33"/>
        <v>Responder</v>
      </c>
      <c r="BC117">
        <v>0.10199999999999999</v>
      </c>
      <c r="BD117" s="1">
        <v>43440</v>
      </c>
    </row>
    <row r="118" spans="1:56" x14ac:dyDescent="0.2">
      <c r="A118" s="3" t="s">
        <v>405</v>
      </c>
      <c r="B118" t="str">
        <f>VLOOKUP(A118, IDSLOOKUP!C:E, 2, FALSE)</f>
        <v>Adj Wk 1</v>
      </c>
      <c r="C118" t="str">
        <f>VLOOKUP(D118, METADATALOOKUP!$A:$AI, 13, FALSE)</f>
        <v>Oral Cavity</v>
      </c>
      <c r="D118" t="str">
        <f>VLOOKUP(A118, IDSLOOKUP!C:E, 3, FALSE)</f>
        <v>HN01-29</v>
      </c>
      <c r="E118" s="48">
        <f>VLOOKUP(A118,CFDNALOOKUP!AG:AI,2,FALSE)</f>
        <v>43830</v>
      </c>
      <c r="F118" s="48">
        <f>VLOOKUP(A118,CFDNALOOKUP!AG:AI,3,FALSE)</f>
        <v>43887</v>
      </c>
      <c r="G118" s="1">
        <f>VLOOKUP(D118, SURVLOOKUP!$A:$Q, 2, FALSE)</f>
        <v>43375</v>
      </c>
      <c r="H118" s="1">
        <f>VLOOKUP(D118, SURVLOOKUP!$A:$Q, 3, FALSE)</f>
        <v>43425</v>
      </c>
      <c r="I118" s="1">
        <f>VLOOKUP(D118, SURVLOOKUP!$A:$Q, 4, FALSE)</f>
        <v>43432</v>
      </c>
      <c r="J118" s="1">
        <f>VLOOKUP(D118, SURVLOOKUP!$A:$Q, 5, FALSE)</f>
        <v>43440</v>
      </c>
      <c r="K118" s="1">
        <f>VLOOKUP(D118, SURVLOOKUP!$A:$Q, 6, FALSE)</f>
        <v>43496</v>
      </c>
      <c r="L118" s="1">
        <f>VLOOKUP(D118, SURVLOOKUP!$A:$Q, 7, FALSE)</f>
        <v>43553</v>
      </c>
      <c r="M118" s="1">
        <f>VLOOKUP(D118, SURVLOOKUP!$A:$Q, 8, FALSE)</f>
        <v>43488</v>
      </c>
      <c r="N118" s="1">
        <f>VLOOKUP(D118, SURVLOOKUP!$A:$Q, 9, FALSE)</f>
        <v>43593</v>
      </c>
      <c r="O118" s="1" t="str">
        <f>VLOOKUP(D118, SURVLOOKUP!$A:$Q, 10, FALSE)</f>
        <v>NA</v>
      </c>
      <c r="P118" s="1">
        <f>VLOOKUP(D118, OLDSURVLOOKUP!$A:$AA, 19, FALSE)</f>
        <v>44355</v>
      </c>
      <c r="Q118" s="1">
        <f>VLOOKUP(D118, SURVLOOKUP!$A:$Q, 11, FALSE)</f>
        <v>44826</v>
      </c>
      <c r="R118" s="1"/>
      <c r="S118" s="1"/>
      <c r="T118" s="1"/>
      <c r="U118" s="1"/>
      <c r="V118">
        <f>_xlfn.XLOOKUP(D118, OLDSURVLOOKUP!$A:$A, OLDSURVLOOKUP!V:V)</f>
        <v>0</v>
      </c>
      <c r="W118">
        <f>VLOOKUP(D118, SURVLOOKUP!$A:$Q, 14, FALSE)</f>
        <v>0</v>
      </c>
      <c r="X118">
        <f>_xlfn.XLOOKUP(D118, OLDSURVLOOKUP!$A:$A, OLDSURVLOOKUP!X:X)</f>
        <v>0</v>
      </c>
      <c r="Y118">
        <f>VLOOKUP(D118, SURVLOOKUP!$A:$Q, 15, FALSE)</f>
        <v>0</v>
      </c>
      <c r="Z118">
        <f t="shared" si="24"/>
        <v>30.366666666666667</v>
      </c>
      <c r="AA118">
        <f t="shared" si="25"/>
        <v>45.833333333333336</v>
      </c>
      <c r="AB118">
        <f t="shared" si="26"/>
        <v>30.366666666666667</v>
      </c>
      <c r="AC118">
        <f t="shared" si="27"/>
        <v>45.833333333333336</v>
      </c>
      <c r="AD118">
        <f t="shared" si="28"/>
        <v>30.06451612903226</v>
      </c>
      <c r="AE118">
        <f t="shared" si="41"/>
        <v>45.516129032258064</v>
      </c>
      <c r="AF118">
        <f t="shared" si="39"/>
        <v>30.06451612903226</v>
      </c>
      <c r="AG118">
        <f t="shared" si="40"/>
        <v>45.516129032258064</v>
      </c>
      <c r="AH118">
        <f t="shared" si="29"/>
        <v>28.516129032258064</v>
      </c>
      <c r="AI118">
        <f t="shared" si="30"/>
        <v>43.967741935483872</v>
      </c>
      <c r="AJ118">
        <f t="shared" si="31"/>
        <v>28.516129032258064</v>
      </c>
      <c r="AK118">
        <f t="shared" si="32"/>
        <v>43.967741935483872</v>
      </c>
      <c r="AL118">
        <f t="shared" si="34"/>
        <v>1</v>
      </c>
      <c r="AM118" t="str">
        <f t="shared" si="38"/>
        <v>University of Cincinnati</v>
      </c>
      <c r="AN118">
        <v>0</v>
      </c>
      <c r="AO118">
        <v>44</v>
      </c>
      <c r="AP118">
        <f>VLOOKUP(D118, METADATALOOKUP!$A:$AI, 7, FALSE)</f>
        <v>59</v>
      </c>
      <c r="AQ118" t="str">
        <f>VLOOKUP(D118, METADATALOOKUP!$A:$AI, 8, FALSE)</f>
        <v>Male</v>
      </c>
      <c r="AR118" t="str">
        <f>VLOOKUP(D118, METADATALOOKUP!$A:$AI, 9, FALSE)</f>
        <v>White</v>
      </c>
      <c r="AS118" t="str">
        <f>VLOOKUP(D118, METADATALOOKUP!$A:$AI, 11, FALSE)</f>
        <v>Yes</v>
      </c>
      <c r="AT118" t="str">
        <f>VLOOKUP(D118, METADATALOOKUP!$A:$AI, 10, FALSE)</f>
        <v>Non-Hispanic</v>
      </c>
      <c r="AU118" t="str">
        <f>VLOOKUP(D118, METADATALOOKUP!$A:$AI, 12, FALSE)</f>
        <v>Yes</v>
      </c>
      <c r="AV118" t="str">
        <f>VLOOKUP(D118, METADATALOOKUP!$A:$AI, 14, FALSE)</f>
        <v>T4aN0M0</v>
      </c>
      <c r="AW118" t="str">
        <f>VLOOKUP(D118, METADATALOOKUP!$A:$AI, 6, FALSE)</f>
        <v>Intermediate</v>
      </c>
      <c r="AX118" t="str">
        <f>VLOOKUP(D118, METADATALOOKUP!$A:$AI, 19, FALSE)</f>
        <v>Unknown</v>
      </c>
      <c r="AY118">
        <f>LOOKUP(D118, SURVLOOKUP!$A:$A, SURVLOOKUP!$P:$P)</f>
        <v>1</v>
      </c>
      <c r="AZ118" s="46">
        <v>2</v>
      </c>
      <c r="BA118" t="str">
        <f>TEXT(VLOOKUP(D118, METADATALOOKUP!$A:$AI, 34, FALSE), "@")</f>
        <v>0.2</v>
      </c>
      <c r="BB118" s="47" t="str">
        <f t="shared" si="33"/>
        <v>Responder</v>
      </c>
      <c r="BC118">
        <v>0.13</v>
      </c>
      <c r="BD118" s="1">
        <v>43488</v>
      </c>
    </row>
    <row r="119" spans="1:56" x14ac:dyDescent="0.2">
      <c r="A119" s="3" t="s">
        <v>406</v>
      </c>
      <c r="B119" t="str">
        <f>VLOOKUP(A119, IDSLOOKUP!C:E, 2, FALSE)</f>
        <v>Screen</v>
      </c>
      <c r="C119" t="str">
        <f>VLOOKUP(D119, METADATALOOKUP!$A:$AI, 13, FALSE)</f>
        <v>Oral Cavity</v>
      </c>
      <c r="D119" t="str">
        <f>VLOOKUP(A119, IDSLOOKUP!C:E, 3, FALSE)</f>
        <v>HN02-03</v>
      </c>
      <c r="E119" s="48">
        <f>VLOOKUP(A119,CFDNALOOKUP!AG:AI,2,FALSE)</f>
        <v>43830</v>
      </c>
      <c r="F119" s="48">
        <f>VLOOKUP(A119,CFDNALOOKUP!AG:AI,3,FALSE)</f>
        <v>43888</v>
      </c>
      <c r="G119" s="1">
        <f>VLOOKUP(D119, SURVLOOKUP!$A:$Q, 2, FALSE)</f>
        <v>42991</v>
      </c>
      <c r="H119" s="1">
        <f>VLOOKUP(D119, SURVLOOKUP!$A:$Q, 3, FALSE)</f>
        <v>43006</v>
      </c>
      <c r="I119" s="1">
        <f>VLOOKUP(D119, SURVLOOKUP!$A:$Q, 4, FALSE)</f>
        <v>43018</v>
      </c>
      <c r="J119" s="1">
        <f>VLOOKUP(D119, SURVLOOKUP!$A:$Q, 5, FALSE)</f>
        <v>43025</v>
      </c>
      <c r="K119" s="1">
        <f>VLOOKUP(D119, SURVLOOKUP!$A:$Q, 6, FALSE)</f>
        <v>43066</v>
      </c>
      <c r="L119" s="1">
        <f>VLOOKUP(D119, SURVLOOKUP!$A:$Q, 7, FALSE)</f>
        <v>43109</v>
      </c>
      <c r="M119" s="1">
        <f>VLOOKUP(D119, SURVLOOKUP!$A:$Q, 8, FALSE)</f>
        <v>43059</v>
      </c>
      <c r="N119" s="1">
        <f>VLOOKUP(D119, SURVLOOKUP!$A:$Q, 9, FALSE)</f>
        <v>43164</v>
      </c>
      <c r="O119" s="1" t="str">
        <f>VLOOKUP(D119, SURVLOOKUP!$A:$Q, 10, FALSE)</f>
        <v>NA</v>
      </c>
      <c r="P119" s="1">
        <f>VLOOKUP(D119, OLDSURVLOOKUP!$A:$AA, 19, FALSE)</f>
        <v>44320</v>
      </c>
      <c r="Q119" s="1">
        <f>VLOOKUP(D119, SURVLOOKUP!$A:$Q, 11, FALSE)</f>
        <v>44320</v>
      </c>
      <c r="R119" s="1"/>
      <c r="S119" s="1"/>
      <c r="T119" s="1"/>
      <c r="U119" s="1"/>
      <c r="V119">
        <f>_xlfn.XLOOKUP(D119, OLDSURVLOOKUP!$A:$A, OLDSURVLOOKUP!V:V)</f>
        <v>0</v>
      </c>
      <c r="W119">
        <f>VLOOKUP(D119, SURVLOOKUP!$A:$Q, 14, FALSE)</f>
        <v>0</v>
      </c>
      <c r="X119">
        <f>_xlfn.XLOOKUP(D119, OLDSURVLOOKUP!$A:$A, OLDSURVLOOKUP!X:X)</f>
        <v>0</v>
      </c>
      <c r="Y119">
        <f>VLOOKUP(D119, SURVLOOKUP!$A:$Q, 15, FALSE)</f>
        <v>0</v>
      </c>
      <c r="Z119">
        <f t="shared" si="24"/>
        <v>42.774193548387096</v>
      </c>
      <c r="AA119">
        <f t="shared" si="25"/>
        <v>42.774193548387096</v>
      </c>
      <c r="AB119">
        <f t="shared" si="26"/>
        <v>42.774193548387096</v>
      </c>
      <c r="AC119">
        <f t="shared" si="27"/>
        <v>42.774193548387096</v>
      </c>
      <c r="AD119">
        <f t="shared" si="28"/>
        <v>42.548387096774192</v>
      </c>
      <c r="AE119">
        <f t="shared" si="41"/>
        <v>42.548387096774192</v>
      </c>
      <c r="AF119">
        <f t="shared" si="39"/>
        <v>42.548387096774192</v>
      </c>
      <c r="AG119">
        <f t="shared" si="40"/>
        <v>42.548387096774192</v>
      </c>
      <c r="AH119">
        <f t="shared" si="29"/>
        <v>41.466666666666669</v>
      </c>
      <c r="AI119">
        <f t="shared" si="30"/>
        <v>41.466666666666669</v>
      </c>
      <c r="AJ119">
        <f t="shared" si="31"/>
        <v>41.466666666666669</v>
      </c>
      <c r="AK119">
        <f t="shared" si="32"/>
        <v>41.466666666666669</v>
      </c>
      <c r="AL119">
        <f t="shared" si="34"/>
        <v>1</v>
      </c>
      <c r="AM119" t="str">
        <f t="shared" si="38"/>
        <v>Ohio State University</v>
      </c>
      <c r="AN119">
        <v>1</v>
      </c>
      <c r="AO119">
        <v>45</v>
      </c>
      <c r="AP119">
        <f>VLOOKUP(D119, METADATALOOKUP!$A:$AI, 7, FALSE)</f>
        <v>56</v>
      </c>
      <c r="AQ119" t="str">
        <f>VLOOKUP(D119, METADATALOOKUP!$A:$AI, 8, FALSE)</f>
        <v>Male</v>
      </c>
      <c r="AR119" t="str">
        <f>VLOOKUP(D119, METADATALOOKUP!$A:$AI, 9, FALSE)</f>
        <v>White</v>
      </c>
      <c r="AS119" t="str">
        <f>VLOOKUP(D119, METADATALOOKUP!$A:$AI, 11, FALSE)</f>
        <v>No</v>
      </c>
      <c r="AT119" t="str">
        <f>VLOOKUP(D119, METADATALOOKUP!$A:$AI, 10, FALSE)</f>
        <v>Non-Hispanic</v>
      </c>
      <c r="AU119" t="str">
        <f>VLOOKUP(D119, METADATALOOKUP!$A:$AI, 12, FALSE)</f>
        <v>No</v>
      </c>
      <c r="AV119" t="str">
        <f>VLOOKUP(D119, METADATALOOKUP!$A:$AI, 14, FALSE)</f>
        <v>cT4N2cM0</v>
      </c>
      <c r="AW119" t="str">
        <f>VLOOKUP(D119, METADATALOOKUP!$A:$AI, 6, FALSE)</f>
        <v>Intermediate</v>
      </c>
      <c r="AX119" t="str">
        <f>VLOOKUP(D119, METADATALOOKUP!$A:$AI, 19, FALSE)</f>
        <v>Unknown</v>
      </c>
      <c r="AY119">
        <f>LOOKUP(D119, SURVLOOKUP!$A:$A, SURVLOOKUP!$P:$P)</f>
        <v>1</v>
      </c>
      <c r="AZ119" s="46">
        <v>9</v>
      </c>
      <c r="BA119" t="str">
        <f>TEXT(VLOOKUP(D119, METADATALOOKUP!$A:$AI, 34, FALSE), "@")</f>
        <v>95-100%</v>
      </c>
      <c r="BB119" s="47" t="str">
        <f t="shared" si="33"/>
        <v>Responder</v>
      </c>
      <c r="BC119">
        <v>1.1599999999999999</v>
      </c>
      <c r="BD119" s="1">
        <v>43019</v>
      </c>
    </row>
    <row r="120" spans="1:56" x14ac:dyDescent="0.2">
      <c r="A120" s="3" t="s">
        <v>409</v>
      </c>
      <c r="B120" t="str">
        <f>VLOOKUP(A120, IDSLOOKUP!C:E, 2, FALSE)</f>
        <v>Day 0</v>
      </c>
      <c r="C120" t="str">
        <f>VLOOKUP(D120, METADATALOOKUP!$A:$AI, 13, FALSE)</f>
        <v>Oral Cavity</v>
      </c>
      <c r="D120" t="str">
        <f>VLOOKUP(A120, IDSLOOKUP!C:E, 3, FALSE)</f>
        <v>HN02-03</v>
      </c>
      <c r="E120" s="48">
        <f>VLOOKUP(A120,CFDNALOOKUP!AG:AI,2,FALSE)</f>
        <v>43830</v>
      </c>
      <c r="F120" s="48">
        <f>VLOOKUP(A120,CFDNALOOKUP!AG:AI,3,FALSE)</f>
        <v>43901</v>
      </c>
      <c r="G120" s="1">
        <f>VLOOKUP(D120, SURVLOOKUP!$A:$Q, 2, FALSE)</f>
        <v>42991</v>
      </c>
      <c r="H120" s="1">
        <f>VLOOKUP(D120, SURVLOOKUP!$A:$Q, 3, FALSE)</f>
        <v>43006</v>
      </c>
      <c r="I120" s="1">
        <f>VLOOKUP(D120, SURVLOOKUP!$A:$Q, 4, FALSE)</f>
        <v>43018</v>
      </c>
      <c r="J120" s="1">
        <f>VLOOKUP(D120, SURVLOOKUP!$A:$Q, 5, FALSE)</f>
        <v>43025</v>
      </c>
      <c r="K120" s="1">
        <f>VLOOKUP(D120, SURVLOOKUP!$A:$Q, 6, FALSE)</f>
        <v>43066</v>
      </c>
      <c r="L120" s="1">
        <f>VLOOKUP(D120, SURVLOOKUP!$A:$Q, 7, FALSE)</f>
        <v>43109</v>
      </c>
      <c r="M120" s="1">
        <f>VLOOKUP(D120, SURVLOOKUP!$A:$Q, 8, FALSE)</f>
        <v>43059</v>
      </c>
      <c r="N120" s="1">
        <f>VLOOKUP(D120, SURVLOOKUP!$A:$Q, 9, FALSE)</f>
        <v>43164</v>
      </c>
      <c r="O120" s="1" t="str">
        <f>VLOOKUP(D120, SURVLOOKUP!$A:$Q, 10, FALSE)</f>
        <v>NA</v>
      </c>
      <c r="P120" s="1">
        <f>VLOOKUP(D120, OLDSURVLOOKUP!$A:$AA, 19, FALSE)</f>
        <v>44320</v>
      </c>
      <c r="Q120" s="1">
        <f>VLOOKUP(D120, SURVLOOKUP!$A:$Q, 11, FALSE)</f>
        <v>44320</v>
      </c>
      <c r="R120" s="1"/>
      <c r="S120" s="1"/>
      <c r="T120" s="1"/>
      <c r="U120" s="1"/>
      <c r="V120">
        <f>_xlfn.XLOOKUP(D120, OLDSURVLOOKUP!$A:$A, OLDSURVLOOKUP!V:V)</f>
        <v>0</v>
      </c>
      <c r="W120">
        <f>VLOOKUP(D120, SURVLOOKUP!$A:$Q, 14, FALSE)</f>
        <v>0</v>
      </c>
      <c r="X120">
        <f>_xlfn.XLOOKUP(D120, OLDSURVLOOKUP!$A:$A, OLDSURVLOOKUP!X:X)</f>
        <v>0</v>
      </c>
      <c r="Y120">
        <f>VLOOKUP(D120, SURVLOOKUP!$A:$Q, 15, FALSE)</f>
        <v>0</v>
      </c>
      <c r="Z120">
        <f t="shared" si="24"/>
        <v>42.774193548387096</v>
      </c>
      <c r="AA120">
        <f t="shared" si="25"/>
        <v>42.774193548387096</v>
      </c>
      <c r="AB120">
        <f t="shared" si="26"/>
        <v>42.774193548387096</v>
      </c>
      <c r="AC120">
        <f t="shared" si="27"/>
        <v>42.774193548387096</v>
      </c>
      <c r="AD120">
        <f t="shared" si="28"/>
        <v>42.548387096774192</v>
      </c>
      <c r="AE120">
        <f t="shared" si="41"/>
        <v>42.548387096774192</v>
      </c>
      <c r="AF120">
        <f t="shared" si="39"/>
        <v>42.548387096774192</v>
      </c>
      <c r="AG120">
        <f t="shared" si="40"/>
        <v>42.548387096774192</v>
      </c>
      <c r="AH120">
        <f t="shared" si="29"/>
        <v>41.466666666666669</v>
      </c>
      <c r="AI120">
        <f t="shared" si="30"/>
        <v>41.466666666666669</v>
      </c>
      <c r="AJ120">
        <f t="shared" si="31"/>
        <v>41.466666666666669</v>
      </c>
      <c r="AK120">
        <f t="shared" si="32"/>
        <v>41.466666666666669</v>
      </c>
      <c r="AL120">
        <f t="shared" si="34"/>
        <v>1</v>
      </c>
      <c r="AM120" t="str">
        <f t="shared" si="38"/>
        <v>Ohio State University</v>
      </c>
      <c r="AN120">
        <v>1</v>
      </c>
      <c r="AO120">
        <v>45</v>
      </c>
      <c r="AP120">
        <f>VLOOKUP(D120, METADATALOOKUP!$A:$AI, 7, FALSE)</f>
        <v>56</v>
      </c>
      <c r="AQ120" t="str">
        <f>VLOOKUP(D120, METADATALOOKUP!$A:$AI, 8, FALSE)</f>
        <v>Male</v>
      </c>
      <c r="AR120" t="str">
        <f>VLOOKUP(D120, METADATALOOKUP!$A:$AI, 9, FALSE)</f>
        <v>White</v>
      </c>
      <c r="AS120" t="str">
        <f>VLOOKUP(D120, METADATALOOKUP!$A:$AI, 11, FALSE)</f>
        <v>No</v>
      </c>
      <c r="AT120" t="str">
        <f>VLOOKUP(D120, METADATALOOKUP!$A:$AI, 10, FALSE)</f>
        <v>Non-Hispanic</v>
      </c>
      <c r="AU120" t="str">
        <f>VLOOKUP(D120, METADATALOOKUP!$A:$AI, 12, FALSE)</f>
        <v>No</v>
      </c>
      <c r="AV120" t="str">
        <f>VLOOKUP(D120, METADATALOOKUP!$A:$AI, 14, FALSE)</f>
        <v>cT4N2cM0</v>
      </c>
      <c r="AW120" t="str">
        <f>VLOOKUP(D120, METADATALOOKUP!$A:$AI, 6, FALSE)</f>
        <v>Intermediate</v>
      </c>
      <c r="AX120" t="str">
        <f>VLOOKUP(D120, METADATALOOKUP!$A:$AI, 19, FALSE)</f>
        <v>Unknown</v>
      </c>
      <c r="AY120">
        <f>LOOKUP(D120, SURVLOOKUP!$A:$A, SURVLOOKUP!$P:$P)</f>
        <v>1</v>
      </c>
      <c r="AZ120" s="46">
        <v>9</v>
      </c>
      <c r="BA120" t="str">
        <f>TEXT(VLOOKUP(D120, METADATALOOKUP!$A:$AI, 34, FALSE), "@")</f>
        <v>95-100%</v>
      </c>
      <c r="BB120" s="47" t="str">
        <f t="shared" si="33"/>
        <v>Responder</v>
      </c>
      <c r="BC120">
        <v>1.67</v>
      </c>
      <c r="BD120" s="1">
        <v>43026</v>
      </c>
    </row>
    <row r="121" spans="1:56" x14ac:dyDescent="0.2">
      <c r="A121" s="3" t="s">
        <v>410</v>
      </c>
      <c r="B121" t="str">
        <f>VLOOKUP(A121, IDSLOOKUP!C:E, 2, FALSE)</f>
        <v>Adj Wk 1</v>
      </c>
      <c r="C121" t="str">
        <f>VLOOKUP(D121, METADATALOOKUP!$A:$AI, 13, FALSE)</f>
        <v>Oral Cavity</v>
      </c>
      <c r="D121" t="str">
        <f>VLOOKUP(A121, IDSLOOKUP!C:E, 3, FALSE)</f>
        <v>HN02-03</v>
      </c>
      <c r="E121" s="48">
        <f>VLOOKUP(A121,CFDNALOOKUP!AG:AI,2,FALSE)</f>
        <v>43830</v>
      </c>
      <c r="F121" s="48">
        <f>VLOOKUP(A121,CFDNALOOKUP!AG:AI,3,FALSE)</f>
        <v>43898</v>
      </c>
      <c r="G121" s="1">
        <f>VLOOKUP(D121, SURVLOOKUP!$A:$Q, 2, FALSE)</f>
        <v>42991</v>
      </c>
      <c r="H121" s="1">
        <f>VLOOKUP(D121, SURVLOOKUP!$A:$Q, 3, FALSE)</f>
        <v>43006</v>
      </c>
      <c r="I121" s="1">
        <f>VLOOKUP(D121, SURVLOOKUP!$A:$Q, 4, FALSE)</f>
        <v>43018</v>
      </c>
      <c r="J121" s="1">
        <f>VLOOKUP(D121, SURVLOOKUP!$A:$Q, 5, FALSE)</f>
        <v>43025</v>
      </c>
      <c r="K121" s="1">
        <f>VLOOKUP(D121, SURVLOOKUP!$A:$Q, 6, FALSE)</f>
        <v>43066</v>
      </c>
      <c r="L121" s="1">
        <f>VLOOKUP(D121, SURVLOOKUP!$A:$Q, 7, FALSE)</f>
        <v>43109</v>
      </c>
      <c r="M121" s="1">
        <f>VLOOKUP(D121, SURVLOOKUP!$A:$Q, 8, FALSE)</f>
        <v>43059</v>
      </c>
      <c r="N121" s="1">
        <f>VLOOKUP(D121, SURVLOOKUP!$A:$Q, 9, FALSE)</f>
        <v>43164</v>
      </c>
      <c r="O121" s="1" t="str">
        <f>VLOOKUP(D121, SURVLOOKUP!$A:$Q, 10, FALSE)</f>
        <v>NA</v>
      </c>
      <c r="P121" s="1">
        <f>VLOOKUP(D121, OLDSURVLOOKUP!$A:$AA, 19, FALSE)</f>
        <v>44320</v>
      </c>
      <c r="Q121" s="1">
        <f>VLOOKUP(D121, SURVLOOKUP!$A:$Q, 11, FALSE)</f>
        <v>44320</v>
      </c>
      <c r="R121" s="1"/>
      <c r="S121" s="1"/>
      <c r="T121" s="1"/>
      <c r="U121" s="1"/>
      <c r="V121">
        <f>_xlfn.XLOOKUP(D121, OLDSURVLOOKUP!$A:$A, OLDSURVLOOKUP!V:V)</f>
        <v>0</v>
      </c>
      <c r="W121">
        <f>VLOOKUP(D121, SURVLOOKUP!$A:$Q, 14, FALSE)</f>
        <v>0</v>
      </c>
      <c r="X121">
        <f>_xlfn.XLOOKUP(D121, OLDSURVLOOKUP!$A:$A, OLDSURVLOOKUP!X:X)</f>
        <v>0</v>
      </c>
      <c r="Y121">
        <f>VLOOKUP(D121, SURVLOOKUP!$A:$Q, 15, FALSE)</f>
        <v>0</v>
      </c>
      <c r="Z121">
        <f t="shared" si="24"/>
        <v>42.774193548387096</v>
      </c>
      <c r="AA121">
        <f t="shared" si="25"/>
        <v>42.774193548387096</v>
      </c>
      <c r="AB121">
        <f t="shared" si="26"/>
        <v>42.774193548387096</v>
      </c>
      <c r="AC121">
        <f t="shared" si="27"/>
        <v>42.774193548387096</v>
      </c>
      <c r="AD121">
        <f t="shared" si="28"/>
        <v>42.548387096774192</v>
      </c>
      <c r="AE121">
        <f t="shared" si="41"/>
        <v>42.548387096774192</v>
      </c>
      <c r="AF121">
        <f t="shared" si="39"/>
        <v>42.548387096774192</v>
      </c>
      <c r="AG121">
        <f t="shared" si="40"/>
        <v>42.548387096774192</v>
      </c>
      <c r="AH121">
        <f t="shared" si="29"/>
        <v>41.466666666666669</v>
      </c>
      <c r="AI121">
        <f t="shared" si="30"/>
        <v>41.466666666666669</v>
      </c>
      <c r="AJ121">
        <f t="shared" si="31"/>
        <v>41.466666666666669</v>
      </c>
      <c r="AK121">
        <f t="shared" si="32"/>
        <v>41.466666666666669</v>
      </c>
      <c r="AL121">
        <f t="shared" si="34"/>
        <v>1</v>
      </c>
      <c r="AM121" t="str">
        <f t="shared" si="38"/>
        <v>Ohio State University</v>
      </c>
      <c r="AN121">
        <v>1</v>
      </c>
      <c r="AO121">
        <v>45</v>
      </c>
      <c r="AP121">
        <f>VLOOKUP(D121, METADATALOOKUP!$A:$AI, 7, FALSE)</f>
        <v>56</v>
      </c>
      <c r="AQ121" t="str">
        <f>VLOOKUP(D121, METADATALOOKUP!$A:$AI, 8, FALSE)</f>
        <v>Male</v>
      </c>
      <c r="AR121" t="str">
        <f>VLOOKUP(D121, METADATALOOKUP!$A:$AI, 9, FALSE)</f>
        <v>White</v>
      </c>
      <c r="AS121" t="str">
        <f>VLOOKUP(D121, METADATALOOKUP!$A:$AI, 11, FALSE)</f>
        <v>No</v>
      </c>
      <c r="AT121" t="str">
        <f>VLOOKUP(D121, METADATALOOKUP!$A:$AI, 10, FALSE)</f>
        <v>Non-Hispanic</v>
      </c>
      <c r="AU121" t="str">
        <f>VLOOKUP(D121, METADATALOOKUP!$A:$AI, 12, FALSE)</f>
        <v>No</v>
      </c>
      <c r="AV121" t="str">
        <f>VLOOKUP(D121, METADATALOOKUP!$A:$AI, 14, FALSE)</f>
        <v>cT4N2cM0</v>
      </c>
      <c r="AW121" t="str">
        <f>VLOOKUP(D121, METADATALOOKUP!$A:$AI, 6, FALSE)</f>
        <v>Intermediate</v>
      </c>
      <c r="AX121" t="str">
        <f>VLOOKUP(D121, METADATALOOKUP!$A:$AI, 19, FALSE)</f>
        <v>Unknown</v>
      </c>
      <c r="AY121">
        <f>LOOKUP(D121, SURVLOOKUP!$A:$A, SURVLOOKUP!$P:$P)</f>
        <v>1</v>
      </c>
      <c r="AZ121" s="46">
        <v>9</v>
      </c>
      <c r="BA121" t="str">
        <f>TEXT(VLOOKUP(D121, METADATALOOKUP!$A:$AI, 34, FALSE), "@")</f>
        <v>95-100%</v>
      </c>
      <c r="BB121" s="47" t="str">
        <f t="shared" si="33"/>
        <v>Responder</v>
      </c>
      <c r="BC121">
        <v>0.16200000000000001</v>
      </c>
      <c r="BD121" s="1">
        <v>43060</v>
      </c>
    </row>
    <row r="122" spans="1:56" x14ac:dyDescent="0.2">
      <c r="A122" s="3" t="s">
        <v>411</v>
      </c>
      <c r="B122" t="str">
        <f>VLOOKUP(A122, IDSLOOKUP!C:E, 2, FALSE)</f>
        <v>Screen</v>
      </c>
      <c r="C122" t="str">
        <f>VLOOKUP(D122, METADATALOOKUP!$A:$AI, 13, FALSE)</f>
        <v>Oral Cavity</v>
      </c>
      <c r="D122" t="str">
        <f>VLOOKUP(A122, IDSLOOKUP!C:E, 3, FALSE)</f>
        <v>HN01-01</v>
      </c>
      <c r="E122" s="48">
        <f>VLOOKUP(A122,CFDNALOOKUP!AG:AI,2,FALSE)</f>
        <v>43830</v>
      </c>
      <c r="F122" s="48">
        <f>VLOOKUP(A122,CFDNALOOKUP!AG:AI,3,FALSE)</f>
        <v>43889</v>
      </c>
      <c r="G122" s="1">
        <f>VLOOKUP(D122, SURVLOOKUP!$A:$Q, 2, FALSE)</f>
        <v>42374</v>
      </c>
      <c r="H122" s="1">
        <f>VLOOKUP(D122, SURVLOOKUP!$A:$Q, 3, FALSE)</f>
        <v>42396</v>
      </c>
      <c r="I122" s="1">
        <f>VLOOKUP(D122, SURVLOOKUP!$A:$Q, 4, FALSE)</f>
        <v>42409</v>
      </c>
      <c r="J122" s="1">
        <f>VLOOKUP(D122, SURVLOOKUP!$A:$Q, 5, FALSE)</f>
        <v>42422</v>
      </c>
      <c r="K122" s="1">
        <f>VLOOKUP(D122, SURVLOOKUP!$A:$Q, 6, FALSE)</f>
        <v>42465</v>
      </c>
      <c r="L122" s="1">
        <f>VLOOKUP(D122, SURVLOOKUP!$A:$Q, 7, FALSE)</f>
        <v>42503</v>
      </c>
      <c r="M122" s="1">
        <f>VLOOKUP(D122, SURVLOOKUP!$A:$Q, 8, FALSE)</f>
        <v>42458</v>
      </c>
      <c r="N122" s="1">
        <f>VLOOKUP(D122, SURVLOOKUP!$A:$Q, 9, FALSE)</f>
        <v>42543</v>
      </c>
      <c r="O122" s="1" t="str">
        <f>VLOOKUP(D122, SURVLOOKUP!$A:$Q, 10, FALSE)</f>
        <v>NA</v>
      </c>
      <c r="P122" s="1">
        <f>VLOOKUP(D122, OLDSURVLOOKUP!$A:$AA, 19, FALSE)</f>
        <v>43247</v>
      </c>
      <c r="Q122" s="1">
        <f>VLOOKUP(D122, SURVLOOKUP!$A:$Q, 11, FALSE)</f>
        <v>43247</v>
      </c>
      <c r="R122" s="1">
        <f>VLOOKUP(D122, OLDSURVLOOKUP!$A:$AA, 20, FALSE)</f>
        <v>42641</v>
      </c>
      <c r="S122" s="1">
        <f>VLOOKUP(D122, SURVLOOKUP!$A:$Q, 12, FALSE)</f>
        <v>42641</v>
      </c>
      <c r="T122" s="1">
        <f>VLOOKUP(D122, OLDSURVLOOKUP!$A:$AA, 21, FALSE)</f>
        <v>43248</v>
      </c>
      <c r="U122" s="1">
        <f>VLOOKUP(D122, SURVLOOKUP!$A:$Q, 13, FALSE)</f>
        <v>43248</v>
      </c>
      <c r="V122">
        <f>_xlfn.XLOOKUP(D122, OLDSURVLOOKUP!$A:$A, OLDSURVLOOKUP!V:V)</f>
        <v>1</v>
      </c>
      <c r="W122">
        <f>VLOOKUP(D122, SURVLOOKUP!$A:$Q, 14, FALSE)</f>
        <v>1</v>
      </c>
      <c r="X122">
        <f>_xlfn.XLOOKUP(D122, OLDSURVLOOKUP!$A:$A, OLDSURVLOOKUP!X:X)</f>
        <v>1</v>
      </c>
      <c r="Y122">
        <f>VLOOKUP(D122, SURVLOOKUP!$A:$Q, 15, FALSE)</f>
        <v>1</v>
      </c>
      <c r="Z122">
        <f t="shared" si="24"/>
        <v>7.6551724137931032</v>
      </c>
      <c r="AA122">
        <f t="shared" si="25"/>
        <v>7.6551724137931032</v>
      </c>
      <c r="AB122">
        <f t="shared" si="26"/>
        <v>27.655172413793103</v>
      </c>
      <c r="AC122">
        <f t="shared" si="27"/>
        <v>27.655172413793103</v>
      </c>
      <c r="AD122">
        <f t="shared" si="28"/>
        <v>7.2068965517241379</v>
      </c>
      <c r="AE122">
        <f t="shared" si="41"/>
        <v>7.2068965517241379</v>
      </c>
      <c r="AF122">
        <f t="shared" si="39"/>
        <v>27.206896551724139</v>
      </c>
      <c r="AG122">
        <f t="shared" si="40"/>
        <v>27.206896551724139</v>
      </c>
      <c r="AH122">
        <f t="shared" si="29"/>
        <v>5.967741935483871</v>
      </c>
      <c r="AI122">
        <f t="shared" si="30"/>
        <v>5.967741935483871</v>
      </c>
      <c r="AJ122">
        <f t="shared" si="31"/>
        <v>25.93548387096774</v>
      </c>
      <c r="AK122">
        <f t="shared" si="32"/>
        <v>25.93548387096774</v>
      </c>
      <c r="AL122">
        <f t="shared" si="34"/>
        <v>1</v>
      </c>
      <c r="AM122" t="str">
        <f t="shared" si="38"/>
        <v>University of Cincinnati</v>
      </c>
      <c r="AN122">
        <v>0</v>
      </c>
      <c r="AO122">
        <v>46</v>
      </c>
      <c r="AP122">
        <f>VLOOKUP(D122, METADATALOOKUP!$A:$AI, 7, FALSE)</f>
        <v>47</v>
      </c>
      <c r="AQ122" t="str">
        <f>VLOOKUP(D122, METADATALOOKUP!$A:$AI, 8, FALSE)</f>
        <v>Male</v>
      </c>
      <c r="AR122" t="str">
        <f>VLOOKUP(D122, METADATALOOKUP!$A:$AI, 9, FALSE)</f>
        <v>White</v>
      </c>
      <c r="AS122" t="str">
        <f>VLOOKUP(D122, METADATALOOKUP!$A:$AI, 11, FALSE)</f>
        <v>No</v>
      </c>
      <c r="AT122" t="str">
        <f>VLOOKUP(D122, METADATALOOKUP!$A:$AI, 10, FALSE)</f>
        <v>Non-Hispanic</v>
      </c>
      <c r="AU122" t="str">
        <f>VLOOKUP(D122, METADATALOOKUP!$A:$AI, 12, FALSE)</f>
        <v>No</v>
      </c>
      <c r="AV122" t="str">
        <f>VLOOKUP(D122, METADATALOOKUP!$A:$AI, 14, FALSE)</f>
        <v>T4aN0M0</v>
      </c>
      <c r="AW122" t="str">
        <f>VLOOKUP(D122, METADATALOOKUP!$A:$AI, 6, FALSE)</f>
        <v>Intermediate</v>
      </c>
      <c r="AX122" t="str">
        <f>VLOOKUP(D122, METADATALOOKUP!$A:$AI, 19, FALSE)</f>
        <v>No</v>
      </c>
      <c r="AY122">
        <f>LOOKUP(D122, SURVLOOKUP!$A:$A, SURVLOOKUP!$P:$P)</f>
        <v>1</v>
      </c>
      <c r="AZ122" s="46">
        <v>0</v>
      </c>
      <c r="BA122" t="str">
        <f>TEXT(VLOOKUP(D122, METADATALOOKUP!$A:$AI, 34, FALSE), "@")</f>
        <v>&lt; 10%</v>
      </c>
      <c r="BB122" s="47" t="str">
        <f t="shared" si="33"/>
        <v>Non-Responder</v>
      </c>
      <c r="BC122">
        <v>0.17199999999999999</v>
      </c>
      <c r="BD122" s="1">
        <v>42409</v>
      </c>
    </row>
    <row r="123" spans="1:56" x14ac:dyDescent="0.2">
      <c r="A123" s="3" t="s">
        <v>414</v>
      </c>
      <c r="B123" t="str">
        <f>VLOOKUP(A123, IDSLOOKUP!C:E, 2, FALSE)</f>
        <v>Day 0</v>
      </c>
      <c r="C123" t="str">
        <f>VLOOKUP(D123, METADATALOOKUP!$A:$AI, 13, FALSE)</f>
        <v>Oral Cavity</v>
      </c>
      <c r="D123" t="str">
        <f>VLOOKUP(A123, IDSLOOKUP!C:E, 3, FALSE)</f>
        <v>HN01-01</v>
      </c>
      <c r="E123" s="48">
        <f>VLOOKUP(A123,CFDNALOOKUP!AG:AI,2,FALSE)</f>
        <v>43830</v>
      </c>
      <c r="F123" s="48">
        <f>VLOOKUP(A123,CFDNALOOKUP!AG:AI,3,FALSE)</f>
        <v>43891</v>
      </c>
      <c r="G123" s="1">
        <f>VLOOKUP(D123, SURVLOOKUP!$A:$Q, 2, FALSE)</f>
        <v>42374</v>
      </c>
      <c r="H123" s="1">
        <f>VLOOKUP(D123, SURVLOOKUP!$A:$Q, 3, FALSE)</f>
        <v>42396</v>
      </c>
      <c r="I123" s="1">
        <f>VLOOKUP(D123, SURVLOOKUP!$A:$Q, 4, FALSE)</f>
        <v>42409</v>
      </c>
      <c r="J123" s="1">
        <f>VLOOKUP(D123, SURVLOOKUP!$A:$Q, 5, FALSE)</f>
        <v>42422</v>
      </c>
      <c r="K123" s="1">
        <f>VLOOKUP(D123, SURVLOOKUP!$A:$Q, 6, FALSE)</f>
        <v>42465</v>
      </c>
      <c r="L123" s="1">
        <f>VLOOKUP(D123, SURVLOOKUP!$A:$Q, 7, FALSE)</f>
        <v>42503</v>
      </c>
      <c r="M123" s="1">
        <f>VLOOKUP(D123, SURVLOOKUP!$A:$Q, 8, FALSE)</f>
        <v>42458</v>
      </c>
      <c r="N123" s="1">
        <f>VLOOKUP(D123, SURVLOOKUP!$A:$Q, 9, FALSE)</f>
        <v>42543</v>
      </c>
      <c r="O123" s="1" t="str">
        <f>VLOOKUP(D123, SURVLOOKUP!$A:$Q, 10, FALSE)</f>
        <v>NA</v>
      </c>
      <c r="P123" s="1">
        <f>VLOOKUP(D123, OLDSURVLOOKUP!$A:$AA, 19, FALSE)</f>
        <v>43247</v>
      </c>
      <c r="Q123" s="1">
        <f>VLOOKUP(D123, SURVLOOKUP!$A:$Q, 11, FALSE)</f>
        <v>43247</v>
      </c>
      <c r="R123" s="1">
        <f>VLOOKUP(D123, OLDSURVLOOKUP!$A:$AA, 20, FALSE)</f>
        <v>42641</v>
      </c>
      <c r="S123" s="1">
        <f>VLOOKUP(D123, SURVLOOKUP!$A:$Q, 12, FALSE)</f>
        <v>42641</v>
      </c>
      <c r="T123" s="1">
        <f>VLOOKUP(D123, OLDSURVLOOKUP!$A:$AA, 21, FALSE)</f>
        <v>43248</v>
      </c>
      <c r="U123" s="1">
        <f>VLOOKUP(D123, SURVLOOKUP!$A:$Q, 13, FALSE)</f>
        <v>43248</v>
      </c>
      <c r="V123">
        <f>_xlfn.XLOOKUP(D123, OLDSURVLOOKUP!$A:$A, OLDSURVLOOKUP!V:V)</f>
        <v>1</v>
      </c>
      <c r="W123">
        <f>VLOOKUP(D123, SURVLOOKUP!$A:$Q, 14, FALSE)</f>
        <v>1</v>
      </c>
      <c r="X123">
        <f>_xlfn.XLOOKUP(D123, OLDSURVLOOKUP!$A:$A, OLDSURVLOOKUP!X:X)</f>
        <v>1</v>
      </c>
      <c r="Y123">
        <f>VLOOKUP(D123, SURVLOOKUP!$A:$Q, 15, FALSE)</f>
        <v>1</v>
      </c>
      <c r="Z123">
        <f t="shared" si="24"/>
        <v>7.6551724137931032</v>
      </c>
      <c r="AA123">
        <f t="shared" si="25"/>
        <v>7.6551724137931032</v>
      </c>
      <c r="AB123">
        <f t="shared" si="26"/>
        <v>27.655172413793103</v>
      </c>
      <c r="AC123">
        <f t="shared" si="27"/>
        <v>27.655172413793103</v>
      </c>
      <c r="AD123">
        <f t="shared" si="28"/>
        <v>7.2068965517241379</v>
      </c>
      <c r="AE123">
        <f t="shared" si="41"/>
        <v>7.2068965517241379</v>
      </c>
      <c r="AF123">
        <f t="shared" si="39"/>
        <v>27.206896551724139</v>
      </c>
      <c r="AG123">
        <f t="shared" si="40"/>
        <v>27.206896551724139</v>
      </c>
      <c r="AH123">
        <f t="shared" si="29"/>
        <v>5.967741935483871</v>
      </c>
      <c r="AI123">
        <f t="shared" si="30"/>
        <v>5.967741935483871</v>
      </c>
      <c r="AJ123">
        <f t="shared" si="31"/>
        <v>25.93548387096774</v>
      </c>
      <c r="AK123">
        <f t="shared" si="32"/>
        <v>25.93548387096774</v>
      </c>
      <c r="AL123">
        <f t="shared" si="34"/>
        <v>1</v>
      </c>
      <c r="AM123" t="str">
        <f t="shared" si="38"/>
        <v>University of Cincinnati</v>
      </c>
      <c r="AN123">
        <v>0</v>
      </c>
      <c r="AO123">
        <v>46</v>
      </c>
      <c r="AP123">
        <f>VLOOKUP(D123, METADATALOOKUP!$A:$AI, 7, FALSE)</f>
        <v>47</v>
      </c>
      <c r="AQ123" t="str">
        <f>VLOOKUP(D123, METADATALOOKUP!$A:$AI, 8, FALSE)</f>
        <v>Male</v>
      </c>
      <c r="AR123" t="str">
        <f>VLOOKUP(D123, METADATALOOKUP!$A:$AI, 9, FALSE)</f>
        <v>White</v>
      </c>
      <c r="AS123" t="str">
        <f>VLOOKUP(D123, METADATALOOKUP!$A:$AI, 11, FALSE)</f>
        <v>No</v>
      </c>
      <c r="AT123" t="str">
        <f>VLOOKUP(D123, METADATALOOKUP!$A:$AI, 10, FALSE)</f>
        <v>Non-Hispanic</v>
      </c>
      <c r="AU123" t="str">
        <f>VLOOKUP(D123, METADATALOOKUP!$A:$AI, 12, FALSE)</f>
        <v>No</v>
      </c>
      <c r="AV123" t="str">
        <f>VLOOKUP(D123, METADATALOOKUP!$A:$AI, 14, FALSE)</f>
        <v>T4aN0M0</v>
      </c>
      <c r="AW123" t="str">
        <f>VLOOKUP(D123, METADATALOOKUP!$A:$AI, 6, FALSE)</f>
        <v>Intermediate</v>
      </c>
      <c r="AX123" t="str">
        <f>VLOOKUP(D123, METADATALOOKUP!$A:$AI, 19, FALSE)</f>
        <v>No</v>
      </c>
      <c r="AY123">
        <f>LOOKUP(D123, SURVLOOKUP!$A:$A, SURVLOOKUP!$P:$P)</f>
        <v>1</v>
      </c>
      <c r="AZ123" s="46">
        <v>0</v>
      </c>
      <c r="BA123" t="str">
        <f>TEXT(VLOOKUP(D123, METADATALOOKUP!$A:$AI, 34, FALSE), "@")</f>
        <v>&lt; 10%</v>
      </c>
      <c r="BB123" s="47" t="str">
        <f t="shared" si="33"/>
        <v>Non-Responder</v>
      </c>
      <c r="BC123">
        <v>0.11799999999999999</v>
      </c>
      <c r="BD123" s="1">
        <v>42419</v>
      </c>
    </row>
    <row r="124" spans="1:56" x14ac:dyDescent="0.2">
      <c r="A124" s="3" t="s">
        <v>415</v>
      </c>
      <c r="B124" t="str">
        <f>VLOOKUP(A124, IDSLOOKUP!C:E, 2, FALSE)</f>
        <v>Adj Wk 1</v>
      </c>
      <c r="C124" t="str">
        <f>VLOOKUP(D124, METADATALOOKUP!$A:$AI, 13, FALSE)</f>
        <v>Oral Cavity</v>
      </c>
      <c r="D124" t="str">
        <f>VLOOKUP(A124, IDSLOOKUP!C:E, 3, FALSE)</f>
        <v>HN01-01</v>
      </c>
      <c r="E124" s="48">
        <f>VLOOKUP(A124,CFDNALOOKUP!AG:AI,2,FALSE)</f>
        <v>43830</v>
      </c>
      <c r="F124" s="48">
        <f>VLOOKUP(A124,CFDNALOOKUP!AG:AI,3,FALSE)</f>
        <v>43889</v>
      </c>
      <c r="G124" s="1">
        <f>VLOOKUP(D124, SURVLOOKUP!$A:$Q, 2, FALSE)</f>
        <v>42374</v>
      </c>
      <c r="H124" s="1">
        <f>VLOOKUP(D124, SURVLOOKUP!$A:$Q, 3, FALSE)</f>
        <v>42396</v>
      </c>
      <c r="I124" s="1">
        <f>VLOOKUP(D124, SURVLOOKUP!$A:$Q, 4, FALSE)</f>
        <v>42409</v>
      </c>
      <c r="J124" s="1">
        <f>VLOOKUP(D124, SURVLOOKUP!$A:$Q, 5, FALSE)</f>
        <v>42422</v>
      </c>
      <c r="K124" s="1">
        <f>VLOOKUP(D124, SURVLOOKUP!$A:$Q, 6, FALSE)</f>
        <v>42465</v>
      </c>
      <c r="L124" s="1">
        <f>VLOOKUP(D124, SURVLOOKUP!$A:$Q, 7, FALSE)</f>
        <v>42503</v>
      </c>
      <c r="M124" s="1">
        <f>VLOOKUP(D124, SURVLOOKUP!$A:$Q, 8, FALSE)</f>
        <v>42458</v>
      </c>
      <c r="N124" s="1">
        <f>VLOOKUP(D124, SURVLOOKUP!$A:$Q, 9, FALSE)</f>
        <v>42543</v>
      </c>
      <c r="O124" s="1" t="str">
        <f>VLOOKUP(D124, SURVLOOKUP!$A:$Q, 10, FALSE)</f>
        <v>NA</v>
      </c>
      <c r="P124" s="1">
        <f>VLOOKUP(D124, OLDSURVLOOKUP!$A:$AA, 19, FALSE)</f>
        <v>43247</v>
      </c>
      <c r="Q124" s="1">
        <f>VLOOKUP(D124, SURVLOOKUP!$A:$Q, 11, FALSE)</f>
        <v>43247</v>
      </c>
      <c r="R124" s="1">
        <f>VLOOKUP(D124, OLDSURVLOOKUP!$A:$AA, 20, FALSE)</f>
        <v>42641</v>
      </c>
      <c r="S124" s="1">
        <f>VLOOKUP(D124, SURVLOOKUP!$A:$Q, 12, FALSE)</f>
        <v>42641</v>
      </c>
      <c r="T124" s="1">
        <f>VLOOKUP(D124, OLDSURVLOOKUP!$A:$AA, 21, FALSE)</f>
        <v>43248</v>
      </c>
      <c r="U124" s="1">
        <f>VLOOKUP(D124, SURVLOOKUP!$A:$Q, 13, FALSE)</f>
        <v>43248</v>
      </c>
      <c r="V124">
        <f>_xlfn.XLOOKUP(D124, OLDSURVLOOKUP!$A:$A, OLDSURVLOOKUP!V:V)</f>
        <v>1</v>
      </c>
      <c r="W124">
        <f>VLOOKUP(D124, SURVLOOKUP!$A:$Q, 14, FALSE)</f>
        <v>1</v>
      </c>
      <c r="X124">
        <f>_xlfn.XLOOKUP(D124, OLDSURVLOOKUP!$A:$A, OLDSURVLOOKUP!X:X)</f>
        <v>1</v>
      </c>
      <c r="Y124">
        <f>VLOOKUP(D124, SURVLOOKUP!$A:$Q, 15, FALSE)</f>
        <v>1</v>
      </c>
      <c r="Z124">
        <f t="shared" si="24"/>
        <v>7.6551724137931032</v>
      </c>
      <c r="AA124">
        <f t="shared" si="25"/>
        <v>7.6551724137931032</v>
      </c>
      <c r="AB124">
        <f t="shared" si="26"/>
        <v>27.655172413793103</v>
      </c>
      <c r="AC124">
        <f t="shared" si="27"/>
        <v>27.655172413793103</v>
      </c>
      <c r="AD124">
        <f t="shared" si="28"/>
        <v>7.2068965517241379</v>
      </c>
      <c r="AE124">
        <f t="shared" si="41"/>
        <v>7.2068965517241379</v>
      </c>
      <c r="AF124">
        <f t="shared" si="39"/>
        <v>27.206896551724139</v>
      </c>
      <c r="AG124">
        <f t="shared" si="40"/>
        <v>27.206896551724139</v>
      </c>
      <c r="AH124">
        <f t="shared" si="29"/>
        <v>5.967741935483871</v>
      </c>
      <c r="AI124">
        <f t="shared" si="30"/>
        <v>5.967741935483871</v>
      </c>
      <c r="AJ124">
        <f t="shared" si="31"/>
        <v>25.93548387096774</v>
      </c>
      <c r="AK124">
        <f t="shared" si="32"/>
        <v>25.93548387096774</v>
      </c>
      <c r="AL124">
        <f t="shared" si="34"/>
        <v>1</v>
      </c>
      <c r="AM124" t="str">
        <f t="shared" si="38"/>
        <v>University of Cincinnati</v>
      </c>
      <c r="AN124">
        <v>0</v>
      </c>
      <c r="AO124">
        <v>46</v>
      </c>
      <c r="AP124">
        <f>VLOOKUP(D124, METADATALOOKUP!$A:$AI, 7, FALSE)</f>
        <v>47</v>
      </c>
      <c r="AQ124" t="str">
        <f>VLOOKUP(D124, METADATALOOKUP!$A:$AI, 8, FALSE)</f>
        <v>Male</v>
      </c>
      <c r="AR124" t="str">
        <f>VLOOKUP(D124, METADATALOOKUP!$A:$AI, 9, FALSE)</f>
        <v>White</v>
      </c>
      <c r="AS124" t="str">
        <f>VLOOKUP(D124, METADATALOOKUP!$A:$AI, 11, FALSE)</f>
        <v>No</v>
      </c>
      <c r="AT124" t="str">
        <f>VLOOKUP(D124, METADATALOOKUP!$A:$AI, 10, FALSE)</f>
        <v>Non-Hispanic</v>
      </c>
      <c r="AU124" t="str">
        <f>VLOOKUP(D124, METADATALOOKUP!$A:$AI, 12, FALSE)</f>
        <v>No</v>
      </c>
      <c r="AV124" t="str">
        <f>VLOOKUP(D124, METADATALOOKUP!$A:$AI, 14, FALSE)</f>
        <v>T4aN0M0</v>
      </c>
      <c r="AW124" t="str">
        <f>VLOOKUP(D124, METADATALOOKUP!$A:$AI, 6, FALSE)</f>
        <v>Intermediate</v>
      </c>
      <c r="AX124" t="str">
        <f>VLOOKUP(D124, METADATALOOKUP!$A:$AI, 19, FALSE)</f>
        <v>No</v>
      </c>
      <c r="AY124">
        <f>LOOKUP(D124, SURVLOOKUP!$A:$A, SURVLOOKUP!$P:$P)</f>
        <v>1</v>
      </c>
      <c r="AZ124" s="46">
        <v>0</v>
      </c>
      <c r="BA124" t="str">
        <f>TEXT(VLOOKUP(D124, METADATALOOKUP!$A:$AI, 34, FALSE), "@")</f>
        <v>&lt; 10%</v>
      </c>
      <c r="BB124" s="47" t="str">
        <f t="shared" si="33"/>
        <v>Non-Responder</v>
      </c>
      <c r="BC124">
        <v>0.19800000000000001</v>
      </c>
      <c r="BD124" s="1">
        <v>42458</v>
      </c>
    </row>
    <row r="125" spans="1:56" x14ac:dyDescent="0.2">
      <c r="A125" s="3" t="s">
        <v>416</v>
      </c>
      <c r="B125" t="str">
        <f>VLOOKUP(A125, IDSLOOKUP!C:E, 2, FALSE)</f>
        <v>Screen</v>
      </c>
      <c r="C125" t="str">
        <f>VLOOKUP(D125, METADATALOOKUP!$A:$AI, 13, FALSE)</f>
        <v>Oral Cavity</v>
      </c>
      <c r="D125" t="str">
        <f>VLOOKUP(A125, IDSLOOKUP!C:E, 3, FALSE)</f>
        <v>HN01-07</v>
      </c>
      <c r="E125" s="48">
        <f>VLOOKUP(A125,CFDNALOOKUP!AG:AI,2,FALSE)</f>
        <v>43830</v>
      </c>
      <c r="F125" s="48">
        <f>VLOOKUP(A125,CFDNALOOKUP!AG:AI,3,FALSE)</f>
        <v>43889</v>
      </c>
      <c r="G125" s="1">
        <f>VLOOKUP(D125, SURVLOOKUP!$A:$Q, 2, FALSE)</f>
        <v>42709</v>
      </c>
      <c r="H125" s="1">
        <f>VLOOKUP(D125, SURVLOOKUP!$A:$Q, 3, FALSE)</f>
        <v>42719</v>
      </c>
      <c r="I125" s="1">
        <f>VLOOKUP(D125, SURVLOOKUP!$A:$Q, 4, FALSE)</f>
        <v>42724</v>
      </c>
      <c r="J125" s="1">
        <f>VLOOKUP(D125, SURVLOOKUP!$A:$Q, 5, FALSE)</f>
        <v>42745</v>
      </c>
      <c r="K125" s="1">
        <f>VLOOKUP(D125, SURVLOOKUP!$A:$Q, 6, FALSE)</f>
        <v>42793</v>
      </c>
      <c r="L125" s="1">
        <f>VLOOKUP(D125, SURVLOOKUP!$A:$Q, 7, FALSE)</f>
        <v>42832</v>
      </c>
      <c r="M125" s="1">
        <f>VLOOKUP(D125, SURVLOOKUP!$A:$Q, 8, FALSE)</f>
        <v>42787</v>
      </c>
      <c r="N125" s="1">
        <f>VLOOKUP(D125, SURVLOOKUP!$A:$Q, 9, FALSE)</f>
        <v>42892</v>
      </c>
      <c r="O125" s="1" t="str">
        <f>VLOOKUP(D125, SURVLOOKUP!$A:$Q, 10, FALSE)</f>
        <v>NA</v>
      </c>
      <c r="P125" s="1">
        <f>VLOOKUP(D125, OLDSURVLOOKUP!$A:$AA, 19, FALSE)</f>
        <v>42963</v>
      </c>
      <c r="Q125" s="1">
        <f>VLOOKUP(D125, SURVLOOKUP!$A:$Q, 11, FALSE)</f>
        <v>42963</v>
      </c>
      <c r="R125" s="1">
        <f>VLOOKUP(D125, OLDSURVLOOKUP!$A:$AA, 20, FALSE)</f>
        <v>42926</v>
      </c>
      <c r="S125" s="1">
        <f>VLOOKUP(D125, SURVLOOKUP!$A:$Q, 12, FALSE)</f>
        <v>42926</v>
      </c>
      <c r="T125" s="1">
        <f>VLOOKUP(D125, OLDSURVLOOKUP!$A:$AA, 21, FALSE)</f>
        <v>42964</v>
      </c>
      <c r="U125" s="1">
        <f>VLOOKUP(D125, SURVLOOKUP!$A:$Q, 13, FALSE)</f>
        <v>42964</v>
      </c>
      <c r="V125">
        <f>_xlfn.XLOOKUP(D125, OLDSURVLOOKUP!$A:$A, OLDSURVLOOKUP!V:V)</f>
        <v>1</v>
      </c>
      <c r="W125">
        <f>VLOOKUP(D125, SURVLOOKUP!$A:$Q, 14, FALSE)</f>
        <v>1</v>
      </c>
      <c r="X125">
        <f>_xlfn.XLOOKUP(D125, OLDSURVLOOKUP!$A:$A, OLDSURVLOOKUP!X:X)</f>
        <v>1</v>
      </c>
      <c r="Y125">
        <f>VLOOKUP(D125, SURVLOOKUP!$A:$Q, 15, FALSE)</f>
        <v>1</v>
      </c>
      <c r="Z125">
        <f t="shared" si="24"/>
        <v>6.645161290322581</v>
      </c>
      <c r="AA125">
        <f t="shared" si="25"/>
        <v>6.645161290322581</v>
      </c>
      <c r="AB125">
        <f t="shared" si="26"/>
        <v>7.903225806451613</v>
      </c>
      <c r="AC125">
        <f t="shared" si="27"/>
        <v>7.903225806451613</v>
      </c>
      <c r="AD125">
        <f t="shared" si="28"/>
        <v>6</v>
      </c>
      <c r="AE125">
        <f t="shared" si="41"/>
        <v>6</v>
      </c>
      <c r="AF125">
        <f t="shared" si="39"/>
        <v>7.225806451612903</v>
      </c>
      <c r="AG125">
        <f t="shared" si="40"/>
        <v>7.225806451612903</v>
      </c>
      <c r="AH125">
        <f t="shared" si="29"/>
        <v>4.6785714285714288</v>
      </c>
      <c r="AI125">
        <f t="shared" si="30"/>
        <v>4.6785714285714288</v>
      </c>
      <c r="AJ125">
        <f t="shared" si="31"/>
        <v>5.9642857142857144</v>
      </c>
      <c r="AK125">
        <f t="shared" si="32"/>
        <v>5.9642857142857144</v>
      </c>
      <c r="AL125">
        <f t="shared" si="34"/>
        <v>1</v>
      </c>
      <c r="AM125" t="str">
        <f t="shared" si="38"/>
        <v>University of Cincinnati</v>
      </c>
      <c r="AN125">
        <v>0</v>
      </c>
      <c r="AO125">
        <v>47</v>
      </c>
      <c r="AP125">
        <f>VLOOKUP(D125, METADATALOOKUP!$A:$AI, 7, FALSE)</f>
        <v>54</v>
      </c>
      <c r="AQ125" t="str">
        <f>VLOOKUP(D125, METADATALOOKUP!$A:$AI, 8, FALSE)</f>
        <v>Female</v>
      </c>
      <c r="AR125" t="str">
        <f>VLOOKUP(D125, METADATALOOKUP!$A:$AI, 9, FALSE)</f>
        <v>White</v>
      </c>
      <c r="AS125" t="str">
        <f>VLOOKUP(D125, METADATALOOKUP!$A:$AI, 11, FALSE)</f>
        <v>No</v>
      </c>
      <c r="AT125" t="str">
        <f>VLOOKUP(D125, METADATALOOKUP!$A:$AI, 10, FALSE)</f>
        <v>Non-Hispanic</v>
      </c>
      <c r="AU125" t="str">
        <f>VLOOKUP(D125, METADATALOOKUP!$A:$AI, 12, FALSE)</f>
        <v>No</v>
      </c>
      <c r="AV125" t="str">
        <f>VLOOKUP(D125, METADATALOOKUP!$A:$AI, 14, FALSE)</f>
        <v>T4aN2bM0</v>
      </c>
      <c r="AW125" t="str">
        <f>VLOOKUP(D125, METADATALOOKUP!$A:$AI, 6, FALSE)</f>
        <v>High</v>
      </c>
      <c r="AX125" t="str">
        <f>VLOOKUP(D125, METADATALOOKUP!$A:$AI, 19, FALSE)</f>
        <v>No</v>
      </c>
      <c r="AY125">
        <f>LOOKUP(D125, SURVLOOKUP!$A:$A, SURVLOOKUP!$P:$P)</f>
        <v>1</v>
      </c>
      <c r="AZ125" s="46">
        <v>0</v>
      </c>
      <c r="BA125" t="str">
        <f>TEXT(VLOOKUP(D125, METADATALOOKUP!$A:$AI, 34, FALSE), "@")</f>
        <v>&lt; 10%</v>
      </c>
      <c r="BB125" s="47" t="str">
        <f t="shared" si="33"/>
        <v>Non-Responder</v>
      </c>
      <c r="BC125">
        <v>0.216</v>
      </c>
      <c r="BD125" s="1">
        <v>42724</v>
      </c>
    </row>
    <row r="126" spans="1:56" x14ac:dyDescent="0.2">
      <c r="A126" s="3" t="s">
        <v>418</v>
      </c>
      <c r="B126" t="str">
        <f>VLOOKUP(A126, IDSLOOKUP!C:E, 2, FALSE)</f>
        <v>Day 0</v>
      </c>
      <c r="C126" t="str">
        <f>VLOOKUP(D126, METADATALOOKUP!$A:$AI, 13, FALSE)</f>
        <v>Oral Cavity</v>
      </c>
      <c r="D126" t="str">
        <f>VLOOKUP(A126, IDSLOOKUP!C:E, 3, FALSE)</f>
        <v>HN01-07</v>
      </c>
      <c r="E126" s="48">
        <f>VLOOKUP(A126,CFDNALOOKUP!AG:AI,2,FALSE)</f>
        <v>43830</v>
      </c>
      <c r="F126" s="48">
        <f>VLOOKUP(A126,CFDNALOOKUP!AG:AI,3,FALSE)</f>
        <v>43901</v>
      </c>
      <c r="G126" s="1">
        <f>VLOOKUP(D126, SURVLOOKUP!$A:$Q, 2, FALSE)</f>
        <v>42709</v>
      </c>
      <c r="H126" s="1">
        <f>VLOOKUP(D126, SURVLOOKUP!$A:$Q, 3, FALSE)</f>
        <v>42719</v>
      </c>
      <c r="I126" s="1">
        <f>VLOOKUP(D126, SURVLOOKUP!$A:$Q, 4, FALSE)</f>
        <v>42724</v>
      </c>
      <c r="J126" s="1">
        <f>VLOOKUP(D126, SURVLOOKUP!$A:$Q, 5, FALSE)</f>
        <v>42745</v>
      </c>
      <c r="K126" s="1">
        <f>VLOOKUP(D126, SURVLOOKUP!$A:$Q, 6, FALSE)</f>
        <v>42793</v>
      </c>
      <c r="L126" s="1">
        <f>VLOOKUP(D126, SURVLOOKUP!$A:$Q, 7, FALSE)</f>
        <v>42832</v>
      </c>
      <c r="M126" s="1">
        <f>VLOOKUP(D126, SURVLOOKUP!$A:$Q, 8, FALSE)</f>
        <v>42787</v>
      </c>
      <c r="N126" s="1">
        <f>VLOOKUP(D126, SURVLOOKUP!$A:$Q, 9, FALSE)</f>
        <v>42892</v>
      </c>
      <c r="O126" s="1" t="str">
        <f>VLOOKUP(D126, SURVLOOKUP!$A:$Q, 10, FALSE)</f>
        <v>NA</v>
      </c>
      <c r="P126" s="1">
        <f>VLOOKUP(D126, OLDSURVLOOKUP!$A:$AA, 19, FALSE)</f>
        <v>42963</v>
      </c>
      <c r="Q126" s="1">
        <f>VLOOKUP(D126, SURVLOOKUP!$A:$Q, 11, FALSE)</f>
        <v>42963</v>
      </c>
      <c r="R126" s="1">
        <f>VLOOKUP(D126, OLDSURVLOOKUP!$A:$AA, 20, FALSE)</f>
        <v>42926</v>
      </c>
      <c r="S126" s="1">
        <f>VLOOKUP(D126, SURVLOOKUP!$A:$Q, 12, FALSE)</f>
        <v>42926</v>
      </c>
      <c r="T126" s="1">
        <f>VLOOKUP(D126, OLDSURVLOOKUP!$A:$AA, 21, FALSE)</f>
        <v>42964</v>
      </c>
      <c r="U126" s="1">
        <f>VLOOKUP(D126, SURVLOOKUP!$A:$Q, 13, FALSE)</f>
        <v>42964</v>
      </c>
      <c r="V126">
        <f>_xlfn.XLOOKUP(D126, OLDSURVLOOKUP!$A:$A, OLDSURVLOOKUP!V:V)</f>
        <v>1</v>
      </c>
      <c r="W126">
        <f>VLOOKUP(D126, SURVLOOKUP!$A:$Q, 14, FALSE)</f>
        <v>1</v>
      </c>
      <c r="X126">
        <f>_xlfn.XLOOKUP(D126, OLDSURVLOOKUP!$A:$A, OLDSURVLOOKUP!X:X)</f>
        <v>1</v>
      </c>
      <c r="Y126">
        <f>VLOOKUP(D126, SURVLOOKUP!$A:$Q, 15, FALSE)</f>
        <v>1</v>
      </c>
      <c r="Z126">
        <f t="shared" si="24"/>
        <v>6.645161290322581</v>
      </c>
      <c r="AA126">
        <f t="shared" si="25"/>
        <v>6.645161290322581</v>
      </c>
      <c r="AB126">
        <f t="shared" si="26"/>
        <v>7.903225806451613</v>
      </c>
      <c r="AC126">
        <f t="shared" si="27"/>
        <v>7.903225806451613</v>
      </c>
      <c r="AD126">
        <f t="shared" si="28"/>
        <v>6</v>
      </c>
      <c r="AE126">
        <f t="shared" si="41"/>
        <v>6</v>
      </c>
      <c r="AF126">
        <f t="shared" si="39"/>
        <v>7.225806451612903</v>
      </c>
      <c r="AG126">
        <f t="shared" si="40"/>
        <v>7.225806451612903</v>
      </c>
      <c r="AH126">
        <f t="shared" si="29"/>
        <v>4.6785714285714288</v>
      </c>
      <c r="AI126">
        <f t="shared" si="30"/>
        <v>4.6785714285714288</v>
      </c>
      <c r="AJ126">
        <f t="shared" si="31"/>
        <v>5.9642857142857144</v>
      </c>
      <c r="AK126">
        <f t="shared" si="32"/>
        <v>5.9642857142857144</v>
      </c>
      <c r="AL126">
        <f t="shared" si="34"/>
        <v>1</v>
      </c>
      <c r="AM126" t="str">
        <f t="shared" si="38"/>
        <v>University of Cincinnati</v>
      </c>
      <c r="AN126">
        <v>0</v>
      </c>
      <c r="AO126">
        <v>47</v>
      </c>
      <c r="AP126">
        <f>VLOOKUP(D126, METADATALOOKUP!$A:$AI, 7, FALSE)</f>
        <v>54</v>
      </c>
      <c r="AQ126" t="str">
        <f>VLOOKUP(D126, METADATALOOKUP!$A:$AI, 8, FALSE)</f>
        <v>Female</v>
      </c>
      <c r="AR126" t="str">
        <f>VLOOKUP(D126, METADATALOOKUP!$A:$AI, 9, FALSE)</f>
        <v>White</v>
      </c>
      <c r="AS126" t="str">
        <f>VLOOKUP(D126, METADATALOOKUP!$A:$AI, 11, FALSE)</f>
        <v>No</v>
      </c>
      <c r="AT126" t="str">
        <f>VLOOKUP(D126, METADATALOOKUP!$A:$AI, 10, FALSE)</f>
        <v>Non-Hispanic</v>
      </c>
      <c r="AU126" t="str">
        <f>VLOOKUP(D126, METADATALOOKUP!$A:$AI, 12, FALSE)</f>
        <v>No</v>
      </c>
      <c r="AV126" t="str">
        <f>VLOOKUP(D126, METADATALOOKUP!$A:$AI, 14, FALSE)</f>
        <v>T4aN2bM0</v>
      </c>
      <c r="AW126" t="str">
        <f>VLOOKUP(D126, METADATALOOKUP!$A:$AI, 6, FALSE)</f>
        <v>High</v>
      </c>
      <c r="AX126" t="str">
        <f>VLOOKUP(D126, METADATALOOKUP!$A:$AI, 19, FALSE)</f>
        <v>No</v>
      </c>
      <c r="AY126">
        <f>LOOKUP(D126, SURVLOOKUP!$A:$A, SURVLOOKUP!$P:$P)</f>
        <v>1</v>
      </c>
      <c r="AZ126" s="46">
        <v>0</v>
      </c>
      <c r="BA126" t="str">
        <f>TEXT(VLOOKUP(D126, METADATALOOKUP!$A:$AI, 34, FALSE), "@")</f>
        <v>&lt; 10%</v>
      </c>
      <c r="BB126" s="47" t="str">
        <f t="shared" si="33"/>
        <v>Non-Responder</v>
      </c>
      <c r="BC126">
        <v>0.32400000000000001</v>
      </c>
      <c r="BD126" s="1">
        <v>42741</v>
      </c>
    </row>
    <row r="127" spans="1:56" x14ac:dyDescent="0.2">
      <c r="A127" s="3" t="s">
        <v>419</v>
      </c>
      <c r="B127" t="str">
        <f>VLOOKUP(A127, IDSLOOKUP!C:E, 2, FALSE)</f>
        <v>Adj Wk 1</v>
      </c>
      <c r="C127" t="str">
        <f>VLOOKUP(D127, METADATALOOKUP!$A:$AI, 13, FALSE)</f>
        <v>Oral Cavity</v>
      </c>
      <c r="D127" t="str">
        <f>VLOOKUP(A127, IDSLOOKUP!C:E, 3, FALSE)</f>
        <v>HN01-07</v>
      </c>
      <c r="E127" s="48">
        <f>VLOOKUP(A127,CFDNALOOKUP!AG:AI,2,FALSE)</f>
        <v>43830</v>
      </c>
      <c r="F127" s="48">
        <f>VLOOKUP(A127,CFDNALOOKUP!AG:AI,3,FALSE)</f>
        <v>43898</v>
      </c>
      <c r="G127" s="1">
        <f>VLOOKUP(D127, SURVLOOKUP!$A:$Q, 2, FALSE)</f>
        <v>42709</v>
      </c>
      <c r="H127" s="1">
        <f>VLOOKUP(D127, SURVLOOKUP!$A:$Q, 3, FALSE)</f>
        <v>42719</v>
      </c>
      <c r="I127" s="1">
        <f>VLOOKUP(D127, SURVLOOKUP!$A:$Q, 4, FALSE)</f>
        <v>42724</v>
      </c>
      <c r="J127" s="1">
        <f>VLOOKUP(D127, SURVLOOKUP!$A:$Q, 5, FALSE)</f>
        <v>42745</v>
      </c>
      <c r="K127" s="1">
        <f>VLOOKUP(D127, SURVLOOKUP!$A:$Q, 6, FALSE)</f>
        <v>42793</v>
      </c>
      <c r="L127" s="1">
        <f>VLOOKUP(D127, SURVLOOKUP!$A:$Q, 7, FALSE)</f>
        <v>42832</v>
      </c>
      <c r="M127" s="1">
        <f>VLOOKUP(D127, SURVLOOKUP!$A:$Q, 8, FALSE)</f>
        <v>42787</v>
      </c>
      <c r="N127" s="1">
        <f>VLOOKUP(D127, SURVLOOKUP!$A:$Q, 9, FALSE)</f>
        <v>42892</v>
      </c>
      <c r="O127" s="1" t="str">
        <f>VLOOKUP(D127, SURVLOOKUP!$A:$Q, 10, FALSE)</f>
        <v>NA</v>
      </c>
      <c r="P127" s="1">
        <f>VLOOKUP(D127, OLDSURVLOOKUP!$A:$AA, 19, FALSE)</f>
        <v>42963</v>
      </c>
      <c r="Q127" s="1">
        <f>VLOOKUP(D127, SURVLOOKUP!$A:$Q, 11, FALSE)</f>
        <v>42963</v>
      </c>
      <c r="R127" s="1">
        <f>VLOOKUP(D127, OLDSURVLOOKUP!$A:$AA, 20, FALSE)</f>
        <v>42926</v>
      </c>
      <c r="S127" s="1">
        <f>VLOOKUP(D127, SURVLOOKUP!$A:$Q, 12, FALSE)</f>
        <v>42926</v>
      </c>
      <c r="T127" s="1">
        <f>VLOOKUP(D127, OLDSURVLOOKUP!$A:$AA, 21, FALSE)</f>
        <v>42964</v>
      </c>
      <c r="U127" s="1">
        <f>VLOOKUP(D127, SURVLOOKUP!$A:$Q, 13, FALSE)</f>
        <v>42964</v>
      </c>
      <c r="V127">
        <f>_xlfn.XLOOKUP(D127, OLDSURVLOOKUP!$A:$A, OLDSURVLOOKUP!V:V)</f>
        <v>1</v>
      </c>
      <c r="W127">
        <f>VLOOKUP(D127, SURVLOOKUP!$A:$Q, 14, FALSE)</f>
        <v>1</v>
      </c>
      <c r="X127">
        <f>_xlfn.XLOOKUP(D127, OLDSURVLOOKUP!$A:$A, OLDSURVLOOKUP!X:X)</f>
        <v>1</v>
      </c>
      <c r="Y127">
        <f>VLOOKUP(D127, SURVLOOKUP!$A:$Q, 15, FALSE)</f>
        <v>1</v>
      </c>
      <c r="Z127">
        <f t="shared" si="24"/>
        <v>6.645161290322581</v>
      </c>
      <c r="AA127">
        <f t="shared" si="25"/>
        <v>6.645161290322581</v>
      </c>
      <c r="AB127">
        <f t="shared" si="26"/>
        <v>7.903225806451613</v>
      </c>
      <c r="AC127">
        <f t="shared" si="27"/>
        <v>7.903225806451613</v>
      </c>
      <c r="AD127">
        <f t="shared" si="28"/>
        <v>6</v>
      </c>
      <c r="AE127">
        <f t="shared" si="41"/>
        <v>6</v>
      </c>
      <c r="AF127">
        <f t="shared" si="39"/>
        <v>7.225806451612903</v>
      </c>
      <c r="AG127">
        <f t="shared" si="40"/>
        <v>7.225806451612903</v>
      </c>
      <c r="AH127">
        <f t="shared" si="29"/>
        <v>4.6785714285714288</v>
      </c>
      <c r="AI127">
        <f t="shared" si="30"/>
        <v>4.6785714285714288</v>
      </c>
      <c r="AJ127">
        <f t="shared" si="31"/>
        <v>5.9642857142857144</v>
      </c>
      <c r="AK127">
        <f t="shared" si="32"/>
        <v>5.9642857142857144</v>
      </c>
      <c r="AL127">
        <f t="shared" si="34"/>
        <v>1</v>
      </c>
      <c r="AM127" t="str">
        <f t="shared" si="38"/>
        <v>University of Cincinnati</v>
      </c>
      <c r="AN127">
        <v>0</v>
      </c>
      <c r="AO127">
        <v>47</v>
      </c>
      <c r="AP127">
        <f>VLOOKUP(D127, METADATALOOKUP!$A:$AI, 7, FALSE)</f>
        <v>54</v>
      </c>
      <c r="AQ127" t="str">
        <f>VLOOKUP(D127, METADATALOOKUP!$A:$AI, 8, FALSE)</f>
        <v>Female</v>
      </c>
      <c r="AR127" t="str">
        <f>VLOOKUP(D127, METADATALOOKUP!$A:$AI, 9, FALSE)</f>
        <v>White</v>
      </c>
      <c r="AS127" t="str">
        <f>VLOOKUP(D127, METADATALOOKUP!$A:$AI, 11, FALSE)</f>
        <v>No</v>
      </c>
      <c r="AT127" t="str">
        <f>VLOOKUP(D127, METADATALOOKUP!$A:$AI, 10, FALSE)</f>
        <v>Non-Hispanic</v>
      </c>
      <c r="AU127" t="str">
        <f>VLOOKUP(D127, METADATALOOKUP!$A:$AI, 12, FALSE)</f>
        <v>No</v>
      </c>
      <c r="AV127" t="str">
        <f>VLOOKUP(D127, METADATALOOKUP!$A:$AI, 14, FALSE)</f>
        <v>T4aN2bM0</v>
      </c>
      <c r="AW127" t="str">
        <f>VLOOKUP(D127, METADATALOOKUP!$A:$AI, 6, FALSE)</f>
        <v>High</v>
      </c>
      <c r="AX127" t="str">
        <f>VLOOKUP(D127, METADATALOOKUP!$A:$AI, 19, FALSE)</f>
        <v>No</v>
      </c>
      <c r="AY127">
        <f>LOOKUP(D127, SURVLOOKUP!$A:$A, SURVLOOKUP!$P:$P)</f>
        <v>1</v>
      </c>
      <c r="AZ127" s="46">
        <v>0</v>
      </c>
      <c r="BA127" t="str">
        <f>TEXT(VLOOKUP(D127, METADATALOOKUP!$A:$AI, 34, FALSE), "@")</f>
        <v>&lt; 10%</v>
      </c>
      <c r="BB127" s="47" t="str">
        <f t="shared" si="33"/>
        <v>Non-Responder</v>
      </c>
      <c r="BC127">
        <v>0.19</v>
      </c>
      <c r="BD127" s="1">
        <v>42787</v>
      </c>
    </row>
    <row r="128" spans="1:56" x14ac:dyDescent="0.2">
      <c r="A128" s="3" t="s">
        <v>420</v>
      </c>
      <c r="B128" t="str">
        <f>VLOOKUP(A128, IDSLOOKUP!C:E, 2, FALSE)</f>
        <v>Screen</v>
      </c>
      <c r="C128" t="str">
        <f>VLOOKUP(D128, METADATALOOKUP!$A:$AI, 13, FALSE)</f>
        <v>Oral Cavity</v>
      </c>
      <c r="D128" t="str">
        <f>VLOOKUP(A128, IDSLOOKUP!C:E, 3, FALSE)</f>
        <v>HN01-13</v>
      </c>
      <c r="E128" s="48">
        <f>VLOOKUP(A128,CFDNALOOKUP!AG:AI,2,FALSE)</f>
        <v>43830</v>
      </c>
      <c r="F128" s="48">
        <f>VLOOKUP(A128,CFDNALOOKUP!AG:AI,3,FALSE)</f>
        <v>43901</v>
      </c>
      <c r="G128" s="1">
        <f>VLOOKUP(D128, SURVLOOKUP!$A:$Q, 2, FALSE)</f>
        <v>42955</v>
      </c>
      <c r="H128" s="1">
        <f>VLOOKUP(D128, SURVLOOKUP!$A:$Q, 3, FALSE)</f>
        <v>42977</v>
      </c>
      <c r="I128" s="1">
        <f>VLOOKUP(D128, SURVLOOKUP!$A:$Q, 4, FALSE)</f>
        <v>42984</v>
      </c>
      <c r="J128" s="1">
        <f>VLOOKUP(D128, SURVLOOKUP!$A:$Q, 5, FALSE)</f>
        <v>42993</v>
      </c>
      <c r="K128" s="1">
        <f>VLOOKUP(D128, SURVLOOKUP!$A:$Q, 6, FALSE)</f>
        <v>43046</v>
      </c>
      <c r="L128" s="1">
        <f>VLOOKUP(D128, SURVLOOKUP!$A:$Q, 7, FALSE)</f>
        <v>43089</v>
      </c>
      <c r="M128" s="1">
        <f>VLOOKUP(D128, SURVLOOKUP!$A:$Q, 8, FALSE)</f>
        <v>43039</v>
      </c>
      <c r="N128" s="1">
        <f>VLOOKUP(D128, SURVLOOKUP!$A:$Q, 9, FALSE)</f>
        <v>43144</v>
      </c>
      <c r="O128" s="1" t="str">
        <f>VLOOKUP(D128, SURVLOOKUP!$A:$Q, 10, FALSE)</f>
        <v>NA</v>
      </c>
      <c r="P128" s="1">
        <f>VLOOKUP(D128, OLDSURVLOOKUP!$A:$AA, 19, FALSE)</f>
        <v>43355</v>
      </c>
      <c r="Q128" s="1">
        <f>VLOOKUP(D128, SURVLOOKUP!$A:$Q, 11, FALSE)</f>
        <v>43355</v>
      </c>
      <c r="R128" s="1">
        <f>VLOOKUP(D128, OLDSURVLOOKUP!$A:$AA, 20, FALSE)</f>
        <v>43216</v>
      </c>
      <c r="S128" s="1">
        <f>VLOOKUP(D128, SURVLOOKUP!$A:$Q, 12, FALSE)</f>
        <v>43216</v>
      </c>
      <c r="T128" s="1">
        <f>VLOOKUP(D128, OLDSURVLOOKUP!$A:$AA, 21, FALSE)</f>
        <v>43356</v>
      </c>
      <c r="U128" s="1">
        <f>VLOOKUP(D128, SURVLOOKUP!$A:$Q, 13, FALSE)</f>
        <v>43356</v>
      </c>
      <c r="V128">
        <f>_xlfn.XLOOKUP(D128, OLDSURVLOOKUP!$A:$A, OLDSURVLOOKUP!V:V)</f>
        <v>1</v>
      </c>
      <c r="W128">
        <f>VLOOKUP(D128, SURVLOOKUP!$A:$Q, 14, FALSE)</f>
        <v>1</v>
      </c>
      <c r="X128">
        <f>_xlfn.XLOOKUP(D128, OLDSURVLOOKUP!$A:$A, OLDSURVLOOKUP!X:X)</f>
        <v>1</v>
      </c>
      <c r="Y128">
        <f>VLOOKUP(D128, SURVLOOKUP!$A:$Q, 15, FALSE)</f>
        <v>1</v>
      </c>
      <c r="Z128">
        <f t="shared" si="24"/>
        <v>7.666666666666667</v>
      </c>
      <c r="AA128">
        <f t="shared" si="25"/>
        <v>7.666666666666667</v>
      </c>
      <c r="AB128">
        <f t="shared" si="26"/>
        <v>12.233333333333333</v>
      </c>
      <c r="AC128">
        <f t="shared" si="27"/>
        <v>12.233333333333333</v>
      </c>
      <c r="AD128">
        <f t="shared" si="28"/>
        <v>7.3666666666666663</v>
      </c>
      <c r="AE128">
        <f t="shared" si="41"/>
        <v>7.3666666666666663</v>
      </c>
      <c r="AF128">
        <f t="shared" si="39"/>
        <v>11.966666666666667</v>
      </c>
      <c r="AG128">
        <f t="shared" si="40"/>
        <v>11.966666666666667</v>
      </c>
      <c r="AH128">
        <f t="shared" si="29"/>
        <v>5.838709677419355</v>
      </c>
      <c r="AI128">
        <f t="shared" si="30"/>
        <v>5.838709677419355</v>
      </c>
      <c r="AJ128">
        <f t="shared" si="31"/>
        <v>10.419354838709678</v>
      </c>
      <c r="AK128">
        <f t="shared" si="32"/>
        <v>10.419354838709678</v>
      </c>
      <c r="AL128">
        <f t="shared" si="34"/>
        <v>1</v>
      </c>
      <c r="AM128" t="str">
        <f t="shared" si="38"/>
        <v>University of Cincinnati</v>
      </c>
      <c r="AN128">
        <v>0</v>
      </c>
      <c r="AO128">
        <v>48</v>
      </c>
      <c r="AP128">
        <f>VLOOKUP(D128, METADATALOOKUP!$A:$AI, 7, FALSE)</f>
        <v>47</v>
      </c>
      <c r="AQ128" t="str">
        <f>VLOOKUP(D128, METADATALOOKUP!$A:$AI, 8, FALSE)</f>
        <v>Female</v>
      </c>
      <c r="AR128" t="str">
        <f>VLOOKUP(D128, METADATALOOKUP!$A:$AI, 9, FALSE)</f>
        <v>White</v>
      </c>
      <c r="AS128" t="str">
        <f>VLOOKUP(D128, METADATALOOKUP!$A:$AI, 11, FALSE)</f>
        <v>Yes</v>
      </c>
      <c r="AT128" t="str">
        <f>VLOOKUP(D128, METADATALOOKUP!$A:$AI, 10, FALSE)</f>
        <v>Non-Hispanic</v>
      </c>
      <c r="AU128" t="str">
        <f>VLOOKUP(D128, METADATALOOKUP!$A:$AI, 12, FALSE)</f>
        <v>Yes</v>
      </c>
      <c r="AV128" t="str">
        <f>VLOOKUP(D128, METADATALOOKUP!$A:$AI, 14, FALSE)</f>
        <v>T2N2bM0</v>
      </c>
      <c r="AW128" t="str">
        <f>VLOOKUP(D128, METADATALOOKUP!$A:$AI, 6, FALSE)</f>
        <v>High</v>
      </c>
      <c r="AX128" t="str">
        <f>VLOOKUP(D128, METADATALOOKUP!$A:$AI, 19, FALSE)</f>
        <v>No</v>
      </c>
      <c r="AY128">
        <f>LOOKUP(D128, SURVLOOKUP!$A:$A, SURVLOOKUP!$P:$P)</f>
        <v>1</v>
      </c>
      <c r="AZ128" s="46">
        <v>0</v>
      </c>
      <c r="BA128" t="str">
        <f>TEXT(VLOOKUP(D128, METADATALOOKUP!$A:$AI, 34, FALSE), "@")</f>
        <v>&lt; 10%</v>
      </c>
      <c r="BB128" s="47" t="str">
        <f t="shared" si="33"/>
        <v>Non-Responder</v>
      </c>
      <c r="BC128">
        <v>0.186</v>
      </c>
      <c r="BD128" s="1">
        <v>42984</v>
      </c>
    </row>
    <row r="129" spans="1:56" x14ac:dyDescent="0.2">
      <c r="A129" s="3" t="s">
        <v>422</v>
      </c>
      <c r="B129" t="str">
        <f>VLOOKUP(A129, IDSLOOKUP!C:E, 2, FALSE)</f>
        <v>Day 0</v>
      </c>
      <c r="C129" t="str">
        <f>VLOOKUP(D129, METADATALOOKUP!$A:$AI, 13, FALSE)</f>
        <v>Oral Cavity</v>
      </c>
      <c r="D129" t="str">
        <f>VLOOKUP(A129, IDSLOOKUP!C:E, 3, FALSE)</f>
        <v>HN01-13</v>
      </c>
      <c r="E129" s="48">
        <f>VLOOKUP(A129,CFDNALOOKUP!AG:AI,2,FALSE)</f>
        <v>43830</v>
      </c>
      <c r="F129" s="48">
        <f>VLOOKUP(A129,CFDNALOOKUP!AG:AI,3,FALSE)</f>
        <v>43887</v>
      </c>
      <c r="G129" s="1">
        <f>VLOOKUP(D129, SURVLOOKUP!$A:$Q, 2, FALSE)</f>
        <v>42955</v>
      </c>
      <c r="H129" s="1">
        <f>VLOOKUP(D129, SURVLOOKUP!$A:$Q, 3, FALSE)</f>
        <v>42977</v>
      </c>
      <c r="I129" s="1">
        <f>VLOOKUP(D129, SURVLOOKUP!$A:$Q, 4, FALSE)</f>
        <v>42984</v>
      </c>
      <c r="J129" s="1">
        <f>VLOOKUP(D129, SURVLOOKUP!$A:$Q, 5, FALSE)</f>
        <v>42993</v>
      </c>
      <c r="K129" s="1">
        <f>VLOOKUP(D129, SURVLOOKUP!$A:$Q, 6, FALSE)</f>
        <v>43046</v>
      </c>
      <c r="L129" s="1">
        <f>VLOOKUP(D129, SURVLOOKUP!$A:$Q, 7, FALSE)</f>
        <v>43089</v>
      </c>
      <c r="M129" s="1">
        <f>VLOOKUP(D129, SURVLOOKUP!$A:$Q, 8, FALSE)</f>
        <v>43039</v>
      </c>
      <c r="N129" s="1">
        <f>VLOOKUP(D129, SURVLOOKUP!$A:$Q, 9, FALSE)</f>
        <v>43144</v>
      </c>
      <c r="O129" s="1" t="str">
        <f>VLOOKUP(D129, SURVLOOKUP!$A:$Q, 10, FALSE)</f>
        <v>NA</v>
      </c>
      <c r="P129" s="1">
        <f>VLOOKUP(D129, OLDSURVLOOKUP!$A:$AA, 19, FALSE)</f>
        <v>43355</v>
      </c>
      <c r="Q129" s="1">
        <f>VLOOKUP(D129, SURVLOOKUP!$A:$Q, 11, FALSE)</f>
        <v>43355</v>
      </c>
      <c r="R129" s="1">
        <f>VLOOKUP(D129, OLDSURVLOOKUP!$A:$AA, 20, FALSE)</f>
        <v>43216</v>
      </c>
      <c r="S129" s="1">
        <f>VLOOKUP(D129, SURVLOOKUP!$A:$Q, 12, FALSE)</f>
        <v>43216</v>
      </c>
      <c r="T129" s="1">
        <f>VLOOKUP(D129, OLDSURVLOOKUP!$A:$AA, 21, FALSE)</f>
        <v>43356</v>
      </c>
      <c r="U129" s="1">
        <f>VLOOKUP(D129, SURVLOOKUP!$A:$Q, 13, FALSE)</f>
        <v>43356</v>
      </c>
      <c r="V129">
        <f>_xlfn.XLOOKUP(D129, OLDSURVLOOKUP!$A:$A, OLDSURVLOOKUP!V:V)</f>
        <v>1</v>
      </c>
      <c r="W129">
        <f>VLOOKUP(D129, SURVLOOKUP!$A:$Q, 14, FALSE)</f>
        <v>1</v>
      </c>
      <c r="X129">
        <f>_xlfn.XLOOKUP(D129, OLDSURVLOOKUP!$A:$A, OLDSURVLOOKUP!X:X)</f>
        <v>1</v>
      </c>
      <c r="Y129">
        <f>VLOOKUP(D129, SURVLOOKUP!$A:$Q, 15, FALSE)</f>
        <v>1</v>
      </c>
      <c r="Z129">
        <f t="shared" si="24"/>
        <v>7.666666666666667</v>
      </c>
      <c r="AA129">
        <f t="shared" si="25"/>
        <v>7.666666666666667</v>
      </c>
      <c r="AB129">
        <f t="shared" si="26"/>
        <v>12.233333333333333</v>
      </c>
      <c r="AC129">
        <f t="shared" si="27"/>
        <v>12.233333333333333</v>
      </c>
      <c r="AD129">
        <f t="shared" si="28"/>
        <v>7.3666666666666663</v>
      </c>
      <c r="AE129">
        <f t="shared" si="41"/>
        <v>7.3666666666666663</v>
      </c>
      <c r="AF129">
        <f t="shared" si="39"/>
        <v>11.966666666666667</v>
      </c>
      <c r="AG129">
        <f t="shared" si="40"/>
        <v>11.966666666666667</v>
      </c>
      <c r="AH129">
        <f t="shared" si="29"/>
        <v>5.838709677419355</v>
      </c>
      <c r="AI129">
        <f t="shared" si="30"/>
        <v>5.838709677419355</v>
      </c>
      <c r="AJ129">
        <f t="shared" si="31"/>
        <v>10.419354838709678</v>
      </c>
      <c r="AK129">
        <f t="shared" si="32"/>
        <v>10.419354838709678</v>
      </c>
      <c r="AL129">
        <f t="shared" si="34"/>
        <v>1</v>
      </c>
      <c r="AM129" t="str">
        <f t="shared" si="38"/>
        <v>University of Cincinnati</v>
      </c>
      <c r="AN129">
        <v>0</v>
      </c>
      <c r="AO129">
        <v>48</v>
      </c>
      <c r="AP129">
        <f>VLOOKUP(D129, METADATALOOKUP!$A:$AI, 7, FALSE)</f>
        <v>47</v>
      </c>
      <c r="AQ129" t="str">
        <f>VLOOKUP(D129, METADATALOOKUP!$A:$AI, 8, FALSE)</f>
        <v>Female</v>
      </c>
      <c r="AR129" t="str">
        <f>VLOOKUP(D129, METADATALOOKUP!$A:$AI, 9, FALSE)</f>
        <v>White</v>
      </c>
      <c r="AS129" t="str">
        <f>VLOOKUP(D129, METADATALOOKUP!$A:$AI, 11, FALSE)</f>
        <v>Yes</v>
      </c>
      <c r="AT129" t="str">
        <f>VLOOKUP(D129, METADATALOOKUP!$A:$AI, 10, FALSE)</f>
        <v>Non-Hispanic</v>
      </c>
      <c r="AU129" t="str">
        <f>VLOOKUP(D129, METADATALOOKUP!$A:$AI, 12, FALSE)</f>
        <v>Yes</v>
      </c>
      <c r="AV129" t="str">
        <f>VLOOKUP(D129, METADATALOOKUP!$A:$AI, 14, FALSE)</f>
        <v>T2N2bM0</v>
      </c>
      <c r="AW129" t="str">
        <f>VLOOKUP(D129, METADATALOOKUP!$A:$AI, 6, FALSE)</f>
        <v>High</v>
      </c>
      <c r="AX129" t="str">
        <f>VLOOKUP(D129, METADATALOOKUP!$A:$AI, 19, FALSE)</f>
        <v>No</v>
      </c>
      <c r="AY129">
        <f>LOOKUP(D129, SURVLOOKUP!$A:$A, SURVLOOKUP!$P:$P)</f>
        <v>1</v>
      </c>
      <c r="AZ129" s="46">
        <v>0</v>
      </c>
      <c r="BA129" t="str">
        <f>TEXT(VLOOKUP(D129, METADATALOOKUP!$A:$AI, 34, FALSE), "@")</f>
        <v>&lt; 10%</v>
      </c>
      <c r="BB129" s="47" t="str">
        <f t="shared" si="33"/>
        <v>Non-Responder</v>
      </c>
      <c r="BC129">
        <v>0.26800000000000002</v>
      </c>
      <c r="BD129" s="1">
        <v>42993</v>
      </c>
    </row>
    <row r="130" spans="1:56" x14ac:dyDescent="0.2">
      <c r="A130" s="3" t="s">
        <v>423</v>
      </c>
      <c r="B130" t="str">
        <f>VLOOKUP(A130, IDSLOOKUP!C:E, 2, FALSE)</f>
        <v>Adj Wk 1</v>
      </c>
      <c r="C130" t="str">
        <f>VLOOKUP(D130, METADATALOOKUP!$A:$AI, 13, FALSE)</f>
        <v>Oral Cavity</v>
      </c>
      <c r="D130" t="str">
        <f>VLOOKUP(A130, IDSLOOKUP!C:E, 3, FALSE)</f>
        <v>HN01-13</v>
      </c>
      <c r="E130" s="48">
        <f>VLOOKUP(A130,CFDNALOOKUP!AG:AI,2,FALSE)</f>
        <v>43830</v>
      </c>
      <c r="F130" s="48">
        <f>VLOOKUP(A130,CFDNALOOKUP!AG:AI,3,FALSE)</f>
        <v>43887</v>
      </c>
      <c r="G130" s="1">
        <f>VLOOKUP(D130, SURVLOOKUP!$A:$Q, 2, FALSE)</f>
        <v>42955</v>
      </c>
      <c r="H130" s="1">
        <f>VLOOKUP(D130, SURVLOOKUP!$A:$Q, 3, FALSE)</f>
        <v>42977</v>
      </c>
      <c r="I130" s="1">
        <f>VLOOKUP(D130, SURVLOOKUP!$A:$Q, 4, FALSE)</f>
        <v>42984</v>
      </c>
      <c r="J130" s="1">
        <f>VLOOKUP(D130, SURVLOOKUP!$A:$Q, 5, FALSE)</f>
        <v>42993</v>
      </c>
      <c r="K130" s="1">
        <f>VLOOKUP(D130, SURVLOOKUP!$A:$Q, 6, FALSE)</f>
        <v>43046</v>
      </c>
      <c r="L130" s="1">
        <f>VLOOKUP(D130, SURVLOOKUP!$A:$Q, 7, FALSE)</f>
        <v>43089</v>
      </c>
      <c r="M130" s="1">
        <f>VLOOKUP(D130, SURVLOOKUP!$A:$Q, 8, FALSE)</f>
        <v>43039</v>
      </c>
      <c r="N130" s="1">
        <f>VLOOKUP(D130, SURVLOOKUP!$A:$Q, 9, FALSE)</f>
        <v>43144</v>
      </c>
      <c r="O130" s="1" t="str">
        <f>VLOOKUP(D130, SURVLOOKUP!$A:$Q, 10, FALSE)</f>
        <v>NA</v>
      </c>
      <c r="P130" s="1">
        <f>VLOOKUP(D130, OLDSURVLOOKUP!$A:$AA, 19, FALSE)</f>
        <v>43355</v>
      </c>
      <c r="Q130" s="1">
        <f>VLOOKUP(D130, SURVLOOKUP!$A:$Q, 11, FALSE)</f>
        <v>43355</v>
      </c>
      <c r="R130" s="1">
        <f>VLOOKUP(D130, OLDSURVLOOKUP!$A:$AA, 20, FALSE)</f>
        <v>43216</v>
      </c>
      <c r="S130" s="1">
        <f>VLOOKUP(D130, SURVLOOKUP!$A:$Q, 12, FALSE)</f>
        <v>43216</v>
      </c>
      <c r="T130" s="1">
        <f>VLOOKUP(D130, OLDSURVLOOKUP!$A:$AA, 21, FALSE)</f>
        <v>43356</v>
      </c>
      <c r="U130" s="1">
        <f>VLOOKUP(D130, SURVLOOKUP!$A:$Q, 13, FALSE)</f>
        <v>43356</v>
      </c>
      <c r="V130">
        <f>_xlfn.XLOOKUP(D130, OLDSURVLOOKUP!$A:$A, OLDSURVLOOKUP!V:V)</f>
        <v>1</v>
      </c>
      <c r="W130">
        <f>VLOOKUP(D130, SURVLOOKUP!$A:$Q, 14, FALSE)</f>
        <v>1</v>
      </c>
      <c r="X130">
        <f>_xlfn.XLOOKUP(D130, OLDSURVLOOKUP!$A:$A, OLDSURVLOOKUP!X:X)</f>
        <v>1</v>
      </c>
      <c r="Y130">
        <f>VLOOKUP(D130, SURVLOOKUP!$A:$Q, 15, FALSE)</f>
        <v>1</v>
      </c>
      <c r="Z130">
        <f t="shared" si="24"/>
        <v>7.666666666666667</v>
      </c>
      <c r="AA130">
        <f t="shared" si="25"/>
        <v>7.666666666666667</v>
      </c>
      <c r="AB130">
        <f t="shared" si="26"/>
        <v>12.233333333333333</v>
      </c>
      <c r="AC130">
        <f t="shared" si="27"/>
        <v>12.233333333333333</v>
      </c>
      <c r="AD130">
        <f t="shared" si="28"/>
        <v>7.3666666666666663</v>
      </c>
      <c r="AE130">
        <f t="shared" si="41"/>
        <v>7.3666666666666663</v>
      </c>
      <c r="AF130">
        <f t="shared" si="39"/>
        <v>11.966666666666667</v>
      </c>
      <c r="AG130">
        <f t="shared" si="40"/>
        <v>11.966666666666667</v>
      </c>
      <c r="AH130">
        <f t="shared" si="29"/>
        <v>5.838709677419355</v>
      </c>
      <c r="AI130">
        <f t="shared" si="30"/>
        <v>5.838709677419355</v>
      </c>
      <c r="AJ130">
        <f t="shared" si="31"/>
        <v>10.419354838709678</v>
      </c>
      <c r="AK130">
        <f t="shared" si="32"/>
        <v>10.419354838709678</v>
      </c>
      <c r="AL130">
        <f t="shared" si="34"/>
        <v>1</v>
      </c>
      <c r="AM130" t="str">
        <f t="shared" ref="AM130:AM161" si="42">IFERROR(
  CHOOSE(
    VALUE(MID(D130, FIND("-", D130) - 1, 1)),
    "University of Cincinnati",
    "Ohio State University",
    "Medical University of South Carolina",
    "University of Michigan",
    "University of Louisville",
    "MD Anderson"
  ),
  "Unknown"
)</f>
        <v>University of Cincinnati</v>
      </c>
      <c r="AN130">
        <v>0</v>
      </c>
      <c r="AO130">
        <v>48</v>
      </c>
      <c r="AP130">
        <f>VLOOKUP(D130, METADATALOOKUP!$A:$AI, 7, FALSE)</f>
        <v>47</v>
      </c>
      <c r="AQ130" t="str">
        <f>VLOOKUP(D130, METADATALOOKUP!$A:$AI, 8, FALSE)</f>
        <v>Female</v>
      </c>
      <c r="AR130" t="str">
        <f>VLOOKUP(D130, METADATALOOKUP!$A:$AI, 9, FALSE)</f>
        <v>White</v>
      </c>
      <c r="AS130" t="str">
        <f>VLOOKUP(D130, METADATALOOKUP!$A:$AI, 11, FALSE)</f>
        <v>Yes</v>
      </c>
      <c r="AT130" t="str">
        <f>VLOOKUP(D130, METADATALOOKUP!$A:$AI, 10, FALSE)</f>
        <v>Non-Hispanic</v>
      </c>
      <c r="AU130" t="str">
        <f>VLOOKUP(D130, METADATALOOKUP!$A:$AI, 12, FALSE)</f>
        <v>Yes</v>
      </c>
      <c r="AV130" t="str">
        <f>VLOOKUP(D130, METADATALOOKUP!$A:$AI, 14, FALSE)</f>
        <v>T2N2bM0</v>
      </c>
      <c r="AW130" t="str">
        <f>VLOOKUP(D130, METADATALOOKUP!$A:$AI, 6, FALSE)</f>
        <v>High</v>
      </c>
      <c r="AX130" t="str">
        <f>VLOOKUP(D130, METADATALOOKUP!$A:$AI, 19, FALSE)</f>
        <v>No</v>
      </c>
      <c r="AY130">
        <f>LOOKUP(D130, SURVLOOKUP!$A:$A, SURVLOOKUP!$P:$P)</f>
        <v>1</v>
      </c>
      <c r="AZ130" s="46">
        <v>0</v>
      </c>
      <c r="BA130" t="str">
        <f>TEXT(VLOOKUP(D130, METADATALOOKUP!$A:$AI, 34, FALSE), "@")</f>
        <v>&lt; 10%</v>
      </c>
      <c r="BB130" s="47" t="str">
        <f t="shared" si="33"/>
        <v>Non-Responder</v>
      </c>
      <c r="BC130">
        <v>0.34</v>
      </c>
      <c r="BD130" s="1">
        <v>43040</v>
      </c>
    </row>
    <row r="131" spans="1:56" x14ac:dyDescent="0.2">
      <c r="A131" s="3" t="s">
        <v>424</v>
      </c>
      <c r="B131" t="str">
        <f>VLOOKUP(A131, IDSLOOKUP!C:E, 2, FALSE)</f>
        <v>Screen</v>
      </c>
      <c r="C131" t="str">
        <f>VLOOKUP(D131, METADATALOOKUP!$A:$AI, 13, FALSE)</f>
        <v>Oral Cavity</v>
      </c>
      <c r="D131" t="str">
        <f>VLOOKUP(A131, IDSLOOKUP!C:E, 3, FALSE)</f>
        <v>HN01-16</v>
      </c>
      <c r="E131" s="48">
        <f>VLOOKUP(A131,CFDNALOOKUP!AG:AI,2,FALSE)</f>
        <v>43832</v>
      </c>
      <c r="F131" s="48">
        <f>VLOOKUP(A131,CFDNALOOKUP!AG:AI,3,FALSE)</f>
        <v>43888</v>
      </c>
      <c r="G131" s="1">
        <f>VLOOKUP(D131, SURVLOOKUP!$A:$Q, 2, FALSE)</f>
        <v>43077</v>
      </c>
      <c r="H131" s="1">
        <f>VLOOKUP(D131, SURVLOOKUP!$A:$Q, 3, FALSE)</f>
        <v>43081</v>
      </c>
      <c r="I131" s="1">
        <f>VLOOKUP(D131, SURVLOOKUP!$A:$Q, 4, FALSE)</f>
        <v>43087</v>
      </c>
      <c r="J131" s="1">
        <f>VLOOKUP(D131, SURVLOOKUP!$A:$Q, 5, FALSE)</f>
        <v>43108</v>
      </c>
      <c r="K131" s="1">
        <f>VLOOKUP(D131, SURVLOOKUP!$A:$Q, 6, FALSE)</f>
        <v>43173</v>
      </c>
      <c r="L131" s="1">
        <f>VLOOKUP(D131, SURVLOOKUP!$A:$Q, 7, FALSE)</f>
        <v>43214</v>
      </c>
      <c r="M131" s="1">
        <f>VLOOKUP(D131, SURVLOOKUP!$A:$Q, 8, FALSE)</f>
        <v>43166</v>
      </c>
      <c r="N131" s="1">
        <f>VLOOKUP(D131, SURVLOOKUP!$A:$Q, 9, FALSE)</f>
        <v>43272</v>
      </c>
      <c r="O131" s="1" t="str">
        <f>VLOOKUP(D131, SURVLOOKUP!$A:$Q, 10, FALSE)</f>
        <v>NA</v>
      </c>
      <c r="P131" s="1">
        <f>VLOOKUP(D131, OLDSURVLOOKUP!$A:$AA, 19, FALSE)</f>
        <v>43410</v>
      </c>
      <c r="Q131" s="1">
        <f>VLOOKUP(D131, SURVLOOKUP!$A:$Q, 11, FALSE)</f>
        <v>43410</v>
      </c>
      <c r="R131" s="1">
        <f>VLOOKUP(D131, OLDSURVLOOKUP!$A:$AA, 20, FALSE)</f>
        <v>43308</v>
      </c>
      <c r="S131" s="1">
        <f>VLOOKUP(D131, SURVLOOKUP!$A:$Q, 12, FALSE)</f>
        <v>43308</v>
      </c>
      <c r="T131" s="1">
        <f>VLOOKUP(D131, OLDSURVLOOKUP!$A:$AA, 21, FALSE)</f>
        <v>43411</v>
      </c>
      <c r="U131" s="1">
        <f>VLOOKUP(D131, SURVLOOKUP!$A:$Q, 13, FALSE)</f>
        <v>43411</v>
      </c>
      <c r="V131">
        <f>_xlfn.XLOOKUP(D131, OLDSURVLOOKUP!$A:$A, OLDSURVLOOKUP!V:V)</f>
        <v>1</v>
      </c>
      <c r="W131">
        <f>VLOOKUP(D131, SURVLOOKUP!$A:$Q, 14, FALSE)</f>
        <v>1</v>
      </c>
      <c r="X131">
        <f>_xlfn.XLOOKUP(D131, OLDSURVLOOKUP!$A:$A, OLDSURVLOOKUP!X:X)</f>
        <v>1</v>
      </c>
      <c r="Y131">
        <f>VLOOKUP(D131, SURVLOOKUP!$A:$Q, 15, FALSE)</f>
        <v>1</v>
      </c>
      <c r="Z131">
        <f t="shared" ref="Z131:Z186" si="43">IF(V131=0, DATEDIF(I131,P131,"M")+DATEDIF(I131,P131,"MD")/DAY(EOMONTH(I131,0)), DATEDIF(I131,R131,"M")+DATEDIF(I131,R131,"MD")/DAY(EOMONTH(I131,0)))</f>
        <v>7.290322580645161</v>
      </c>
      <c r="AA131">
        <f t="shared" ref="AA131:AA186" si="44">IF(W131=0, DATEDIF(I131,Q131,"M")+DATEDIF(I131,Q131,"MD")/DAY(EOMONTH(I131,0)), DATEDIF(I131,S131,"M")+DATEDIF(I131,S131,"MD")/DAY(EOMONTH(I131,0)))</f>
        <v>7.290322580645161</v>
      </c>
      <c r="AB131">
        <f t="shared" ref="AB131:AB186" si="45">IF(X131=0, DATEDIF(I131,P131,"M")+DATEDIF(I131,P131,"MD")/DAY(EOMONTH(I131,0)), DATEDIF(I131,T131,"M")+DATEDIF(I131,T131,"MD")/DAY(EOMONTH(I131,0)))</f>
        <v>10.64516129032258</v>
      </c>
      <c r="AC131">
        <f t="shared" ref="AC131:AC186" si="46">IF(Y131=0, DATEDIF(I131,Q131,"M")+DATEDIF(I131,Q131,"MD")/DAY(EOMONTH(I131,0)), DATEDIF(I131,U131,"M")+DATEDIF(I131,U131,"MD")/DAY(EOMONTH(I131,0)))</f>
        <v>10.64516129032258</v>
      </c>
      <c r="AD131">
        <f t="shared" ref="AD131:AD184" si="47">IF(V131=0, DATEDIF(J131,P131,"M")+DATEDIF(J131,P131,"MD")/DAY(EOMONTH(J131,0)), DATEDIF(J131,R131,"M")+DATEDIF(J131,R131,"MD")/DAY(EOMONTH(J131,0)))</f>
        <v>6.612903225806452</v>
      </c>
      <c r="AE131">
        <f t="shared" si="41"/>
        <v>6.612903225806452</v>
      </c>
      <c r="AF131">
        <f t="shared" si="39"/>
        <v>9.9677419354838719</v>
      </c>
      <c r="AG131">
        <f t="shared" si="40"/>
        <v>9.9677419354838719</v>
      </c>
      <c r="AH131">
        <f t="shared" ref="AH131:AH184" si="48">IF(V131=0, DATEDIF(M131,P131,"M")+DATEDIF(M131,P131,"MD")/DAY(EOMONTH(M131,0)), DATEDIF(M131,R131,"M")+DATEDIF(M131,R131,"MD")/DAY(EOMONTH(M131,0)))</f>
        <v>4.645161290322581</v>
      </c>
      <c r="AI131">
        <f t="shared" ref="AI131:AI179" si="49">IF(W131=0, DATEDIF(M131,Q131,"M")+DATEDIF(M131,Q131,"MD")/DAY(EOMONTH(M131,0)), DATEDIF(M131,S131,"M")+DATEDIF(M131,S131,"MD")/DAY(EOMONTH(M131,0)))</f>
        <v>4.645161290322581</v>
      </c>
      <c r="AJ131">
        <f t="shared" ref="AJ131:AJ184" si="50">IF(X131=0, DATEDIF(M131,P131,"M")+DATEDIF(M131,P131,"MD")/DAY(EOMONTH(M131,0)), DATEDIF(M131,T131,"M")+DATEDIF(M131,T131,"MD")/DAY(EOMONTH(M131,0)))</f>
        <v>8</v>
      </c>
      <c r="AK131">
        <f t="shared" ref="AK131:AK184" si="51">IF(Y131=0, DATEDIF(M131,Q131,"M")+DATEDIF(M131,Q131,"MD")/DAY(EOMONTH(M131,0)), DATEDIF(M131,U131,"M")+DATEDIF(M131,U131,"MD")/DAY(EOMONTH(M131,0)))</f>
        <v>8</v>
      </c>
      <c r="AL131">
        <f t="shared" si="34"/>
        <v>1</v>
      </c>
      <c r="AM131" t="str">
        <f t="shared" si="42"/>
        <v>University of Cincinnati</v>
      </c>
      <c r="AN131">
        <v>0</v>
      </c>
      <c r="AO131">
        <v>49</v>
      </c>
      <c r="AP131">
        <f>VLOOKUP(D131, METADATALOOKUP!$A:$AI, 7, FALSE)</f>
        <v>27</v>
      </c>
      <c r="AQ131" t="str">
        <f>VLOOKUP(D131, METADATALOOKUP!$A:$AI, 8, FALSE)</f>
        <v>Male</v>
      </c>
      <c r="AR131" t="str">
        <f>VLOOKUP(D131, METADATALOOKUP!$A:$AI, 9, FALSE)</f>
        <v>White</v>
      </c>
      <c r="AS131" t="str">
        <f>VLOOKUP(D131, METADATALOOKUP!$A:$AI, 11, FALSE)</f>
        <v>No</v>
      </c>
      <c r="AT131" t="str">
        <f>VLOOKUP(D131, METADATALOOKUP!$A:$AI, 10, FALSE)</f>
        <v>Non-Hispanic</v>
      </c>
      <c r="AU131" t="str">
        <f>VLOOKUP(D131, METADATALOOKUP!$A:$AI, 12, FALSE)</f>
        <v>No</v>
      </c>
      <c r="AV131" t="str">
        <f>VLOOKUP(D131, METADATALOOKUP!$A:$AI, 14, FALSE)</f>
        <v>T3N2cM0</v>
      </c>
      <c r="AW131" t="str">
        <f>VLOOKUP(D131, METADATALOOKUP!$A:$AI, 6, FALSE)</f>
        <v>High</v>
      </c>
      <c r="AX131" t="str">
        <f>VLOOKUP(D131, METADATALOOKUP!$A:$AI, 19, FALSE)</f>
        <v>No</v>
      </c>
      <c r="AY131">
        <f>LOOKUP(D131, SURVLOOKUP!$A:$A, SURVLOOKUP!$P:$P)</f>
        <v>1</v>
      </c>
      <c r="AZ131" s="46">
        <v>0</v>
      </c>
      <c r="BA131" t="str">
        <f>TEXT(VLOOKUP(D131, METADATALOOKUP!$A:$AI, 34, FALSE), "@")</f>
        <v>&lt; 10%</v>
      </c>
      <c r="BB131" s="47" t="str">
        <f t="shared" ref="BB131:BB186" si="52">IF(AZ131=0, "Non-Responder", "Responder")</f>
        <v>Non-Responder</v>
      </c>
      <c r="BC131">
        <v>0.11</v>
      </c>
      <c r="BD131" s="1">
        <v>43083</v>
      </c>
    </row>
    <row r="132" spans="1:56" x14ac:dyDescent="0.2">
      <c r="A132" s="3" t="s">
        <v>426</v>
      </c>
      <c r="B132" t="str">
        <f>VLOOKUP(A132, IDSLOOKUP!C:E, 2, FALSE)</f>
        <v>Day 0</v>
      </c>
      <c r="C132" t="str">
        <f>VLOOKUP(D132, METADATALOOKUP!$A:$AI, 13, FALSE)</f>
        <v>Oral Cavity</v>
      </c>
      <c r="D132" t="str">
        <f>VLOOKUP(A132, IDSLOOKUP!C:E, 3, FALSE)</f>
        <v>HN01-16</v>
      </c>
      <c r="E132" s="48">
        <f>VLOOKUP(A132,CFDNALOOKUP!AG:AI,2,FALSE)</f>
        <v>43832</v>
      </c>
      <c r="F132" s="48">
        <f>VLOOKUP(A132,CFDNALOOKUP!AG:AI,3,FALSE)</f>
        <v>43889</v>
      </c>
      <c r="G132" s="1">
        <f>VLOOKUP(D132, SURVLOOKUP!$A:$Q, 2, FALSE)</f>
        <v>43077</v>
      </c>
      <c r="H132" s="1">
        <f>VLOOKUP(D132, SURVLOOKUP!$A:$Q, 3, FALSE)</f>
        <v>43081</v>
      </c>
      <c r="I132" s="1">
        <f>VLOOKUP(D132, SURVLOOKUP!$A:$Q, 4, FALSE)</f>
        <v>43087</v>
      </c>
      <c r="J132" s="1">
        <f>VLOOKUP(D132, SURVLOOKUP!$A:$Q, 5, FALSE)</f>
        <v>43108</v>
      </c>
      <c r="K132" s="1">
        <f>VLOOKUP(D132, SURVLOOKUP!$A:$Q, 6, FALSE)</f>
        <v>43173</v>
      </c>
      <c r="L132" s="1">
        <f>VLOOKUP(D132, SURVLOOKUP!$A:$Q, 7, FALSE)</f>
        <v>43214</v>
      </c>
      <c r="M132" s="1">
        <f>VLOOKUP(D132, SURVLOOKUP!$A:$Q, 8, FALSE)</f>
        <v>43166</v>
      </c>
      <c r="N132" s="1">
        <f>VLOOKUP(D132, SURVLOOKUP!$A:$Q, 9, FALSE)</f>
        <v>43272</v>
      </c>
      <c r="O132" s="1" t="str">
        <f>VLOOKUP(D132, SURVLOOKUP!$A:$Q, 10, FALSE)</f>
        <v>NA</v>
      </c>
      <c r="P132" s="1">
        <f>VLOOKUP(D132, OLDSURVLOOKUP!$A:$AA, 19, FALSE)</f>
        <v>43410</v>
      </c>
      <c r="Q132" s="1">
        <f>VLOOKUP(D132, SURVLOOKUP!$A:$Q, 11, FALSE)</f>
        <v>43410</v>
      </c>
      <c r="R132" s="1">
        <f>VLOOKUP(D132, OLDSURVLOOKUP!$A:$AA, 20, FALSE)</f>
        <v>43308</v>
      </c>
      <c r="S132" s="1">
        <f>VLOOKUP(D132, SURVLOOKUP!$A:$Q, 12, FALSE)</f>
        <v>43308</v>
      </c>
      <c r="T132" s="1">
        <f>VLOOKUP(D132, OLDSURVLOOKUP!$A:$AA, 21, FALSE)</f>
        <v>43411</v>
      </c>
      <c r="U132" s="1">
        <f>VLOOKUP(D132, SURVLOOKUP!$A:$Q, 13, FALSE)</f>
        <v>43411</v>
      </c>
      <c r="V132">
        <f>_xlfn.XLOOKUP(D132, OLDSURVLOOKUP!$A:$A, OLDSURVLOOKUP!V:V)</f>
        <v>1</v>
      </c>
      <c r="W132">
        <f>VLOOKUP(D132, SURVLOOKUP!$A:$Q, 14, FALSE)</f>
        <v>1</v>
      </c>
      <c r="X132">
        <f>_xlfn.XLOOKUP(D132, OLDSURVLOOKUP!$A:$A, OLDSURVLOOKUP!X:X)</f>
        <v>1</v>
      </c>
      <c r="Y132">
        <f>VLOOKUP(D132, SURVLOOKUP!$A:$Q, 15, FALSE)</f>
        <v>1</v>
      </c>
      <c r="Z132">
        <f t="shared" si="43"/>
        <v>7.290322580645161</v>
      </c>
      <c r="AA132">
        <f t="shared" si="44"/>
        <v>7.290322580645161</v>
      </c>
      <c r="AB132">
        <f t="shared" si="45"/>
        <v>10.64516129032258</v>
      </c>
      <c r="AC132">
        <f t="shared" si="46"/>
        <v>10.64516129032258</v>
      </c>
      <c r="AD132">
        <f t="shared" si="47"/>
        <v>6.612903225806452</v>
      </c>
      <c r="AE132">
        <f t="shared" si="41"/>
        <v>6.612903225806452</v>
      </c>
      <c r="AF132">
        <f t="shared" si="39"/>
        <v>9.9677419354838719</v>
      </c>
      <c r="AG132">
        <f t="shared" si="40"/>
        <v>9.9677419354838719</v>
      </c>
      <c r="AH132">
        <f t="shared" si="48"/>
        <v>4.645161290322581</v>
      </c>
      <c r="AI132">
        <f t="shared" si="49"/>
        <v>4.645161290322581</v>
      </c>
      <c r="AJ132">
        <f t="shared" si="50"/>
        <v>8</v>
      </c>
      <c r="AK132">
        <f t="shared" si="51"/>
        <v>8</v>
      </c>
      <c r="AL132">
        <f t="shared" ref="AL132:AL186" si="53">IF(MID(A132,FIND("_",A132)-1,1)="2", 2, 1)</f>
        <v>1</v>
      </c>
      <c r="AM132" t="str">
        <f t="shared" si="42"/>
        <v>University of Cincinnati</v>
      </c>
      <c r="AN132">
        <v>0</v>
      </c>
      <c r="AO132">
        <v>49</v>
      </c>
      <c r="AP132">
        <f>VLOOKUP(D132, METADATALOOKUP!$A:$AI, 7, FALSE)</f>
        <v>27</v>
      </c>
      <c r="AQ132" t="str">
        <f>VLOOKUP(D132, METADATALOOKUP!$A:$AI, 8, FALSE)</f>
        <v>Male</v>
      </c>
      <c r="AR132" t="str">
        <f>VLOOKUP(D132, METADATALOOKUP!$A:$AI, 9, FALSE)</f>
        <v>White</v>
      </c>
      <c r="AS132" t="str">
        <f>VLOOKUP(D132, METADATALOOKUP!$A:$AI, 11, FALSE)</f>
        <v>No</v>
      </c>
      <c r="AT132" t="str">
        <f>VLOOKUP(D132, METADATALOOKUP!$A:$AI, 10, FALSE)</f>
        <v>Non-Hispanic</v>
      </c>
      <c r="AU132" t="str">
        <f>VLOOKUP(D132, METADATALOOKUP!$A:$AI, 12, FALSE)</f>
        <v>No</v>
      </c>
      <c r="AV132" t="str">
        <f>VLOOKUP(D132, METADATALOOKUP!$A:$AI, 14, FALSE)</f>
        <v>T3N2cM0</v>
      </c>
      <c r="AW132" t="str">
        <f>VLOOKUP(D132, METADATALOOKUP!$A:$AI, 6, FALSE)</f>
        <v>High</v>
      </c>
      <c r="AX132" t="str">
        <f>VLOOKUP(D132, METADATALOOKUP!$A:$AI, 19, FALSE)</f>
        <v>No</v>
      </c>
      <c r="AY132">
        <f>LOOKUP(D132, SURVLOOKUP!$A:$A, SURVLOOKUP!$P:$P)</f>
        <v>1</v>
      </c>
      <c r="AZ132" s="46">
        <v>0</v>
      </c>
      <c r="BA132" t="str">
        <f>TEXT(VLOOKUP(D132, METADATALOOKUP!$A:$AI, 34, FALSE), "@")</f>
        <v>&lt; 10%</v>
      </c>
      <c r="BB132" s="47" t="str">
        <f t="shared" si="52"/>
        <v>Non-Responder</v>
      </c>
      <c r="BC132">
        <v>0.14599999999999999</v>
      </c>
      <c r="BD132" s="1">
        <v>43105</v>
      </c>
    </row>
    <row r="133" spans="1:56" x14ac:dyDescent="0.2">
      <c r="A133" s="3" t="s">
        <v>427</v>
      </c>
      <c r="B133" t="str">
        <f>VLOOKUP(A133, IDSLOOKUP!C:E, 2, FALSE)</f>
        <v>Adj Wk 1</v>
      </c>
      <c r="C133" t="str">
        <f>VLOOKUP(D133, METADATALOOKUP!$A:$AI, 13, FALSE)</f>
        <v>Oral Cavity</v>
      </c>
      <c r="D133" t="str">
        <f>VLOOKUP(A133, IDSLOOKUP!C:E, 3, FALSE)</f>
        <v>HN01-16</v>
      </c>
      <c r="E133" s="48">
        <f>VLOOKUP(A133,CFDNALOOKUP!AG:AI,2,FALSE)</f>
        <v>43832</v>
      </c>
      <c r="F133" s="48">
        <f>VLOOKUP(A133,CFDNALOOKUP!AG:AI,3,FALSE)</f>
        <v>43889</v>
      </c>
      <c r="G133" s="1">
        <f>VLOOKUP(D133, SURVLOOKUP!$A:$Q, 2, FALSE)</f>
        <v>43077</v>
      </c>
      <c r="H133" s="1">
        <f>VLOOKUP(D133, SURVLOOKUP!$A:$Q, 3, FALSE)</f>
        <v>43081</v>
      </c>
      <c r="I133" s="1">
        <f>VLOOKUP(D133, SURVLOOKUP!$A:$Q, 4, FALSE)</f>
        <v>43087</v>
      </c>
      <c r="J133" s="1">
        <f>VLOOKUP(D133, SURVLOOKUP!$A:$Q, 5, FALSE)</f>
        <v>43108</v>
      </c>
      <c r="K133" s="1">
        <f>VLOOKUP(D133, SURVLOOKUP!$A:$Q, 6, FALSE)</f>
        <v>43173</v>
      </c>
      <c r="L133" s="1">
        <f>VLOOKUP(D133, SURVLOOKUP!$A:$Q, 7, FALSE)</f>
        <v>43214</v>
      </c>
      <c r="M133" s="1">
        <f>VLOOKUP(D133, SURVLOOKUP!$A:$Q, 8, FALSE)</f>
        <v>43166</v>
      </c>
      <c r="N133" s="1">
        <f>VLOOKUP(D133, SURVLOOKUP!$A:$Q, 9, FALSE)</f>
        <v>43272</v>
      </c>
      <c r="O133" s="1" t="str">
        <f>VLOOKUP(D133, SURVLOOKUP!$A:$Q, 10, FALSE)</f>
        <v>NA</v>
      </c>
      <c r="P133" s="1">
        <f>VLOOKUP(D133, OLDSURVLOOKUP!$A:$AA, 19, FALSE)</f>
        <v>43410</v>
      </c>
      <c r="Q133" s="1">
        <f>VLOOKUP(D133, SURVLOOKUP!$A:$Q, 11, FALSE)</f>
        <v>43410</v>
      </c>
      <c r="R133" s="1">
        <f>VLOOKUP(D133, OLDSURVLOOKUP!$A:$AA, 20, FALSE)</f>
        <v>43308</v>
      </c>
      <c r="S133" s="1">
        <f>VLOOKUP(D133, SURVLOOKUP!$A:$Q, 12, FALSE)</f>
        <v>43308</v>
      </c>
      <c r="T133" s="1">
        <f>VLOOKUP(D133, OLDSURVLOOKUP!$A:$AA, 21, FALSE)</f>
        <v>43411</v>
      </c>
      <c r="U133" s="1">
        <f>VLOOKUP(D133, SURVLOOKUP!$A:$Q, 13, FALSE)</f>
        <v>43411</v>
      </c>
      <c r="V133">
        <f>_xlfn.XLOOKUP(D133, OLDSURVLOOKUP!$A:$A, OLDSURVLOOKUP!V:V)</f>
        <v>1</v>
      </c>
      <c r="W133">
        <f>VLOOKUP(D133, SURVLOOKUP!$A:$Q, 14, FALSE)</f>
        <v>1</v>
      </c>
      <c r="X133">
        <f>_xlfn.XLOOKUP(D133, OLDSURVLOOKUP!$A:$A, OLDSURVLOOKUP!X:X)</f>
        <v>1</v>
      </c>
      <c r="Y133">
        <f>VLOOKUP(D133, SURVLOOKUP!$A:$Q, 15, FALSE)</f>
        <v>1</v>
      </c>
      <c r="Z133">
        <f t="shared" si="43"/>
        <v>7.290322580645161</v>
      </c>
      <c r="AA133">
        <f t="shared" si="44"/>
        <v>7.290322580645161</v>
      </c>
      <c r="AB133">
        <f t="shared" si="45"/>
        <v>10.64516129032258</v>
      </c>
      <c r="AC133">
        <f t="shared" si="46"/>
        <v>10.64516129032258</v>
      </c>
      <c r="AD133">
        <f t="shared" si="47"/>
        <v>6.612903225806452</v>
      </c>
      <c r="AE133">
        <f t="shared" si="41"/>
        <v>6.612903225806452</v>
      </c>
      <c r="AF133">
        <f t="shared" si="39"/>
        <v>9.9677419354838719</v>
      </c>
      <c r="AG133">
        <f t="shared" si="40"/>
        <v>9.9677419354838719</v>
      </c>
      <c r="AH133">
        <f t="shared" si="48"/>
        <v>4.645161290322581</v>
      </c>
      <c r="AI133">
        <f t="shared" si="49"/>
        <v>4.645161290322581</v>
      </c>
      <c r="AJ133">
        <f t="shared" si="50"/>
        <v>8</v>
      </c>
      <c r="AK133">
        <f t="shared" si="51"/>
        <v>8</v>
      </c>
      <c r="AL133">
        <f t="shared" si="53"/>
        <v>1</v>
      </c>
      <c r="AM133" t="str">
        <f t="shared" si="42"/>
        <v>University of Cincinnati</v>
      </c>
      <c r="AN133">
        <v>0</v>
      </c>
      <c r="AO133">
        <v>49</v>
      </c>
      <c r="AP133">
        <f>VLOOKUP(D133, METADATALOOKUP!$A:$AI, 7, FALSE)</f>
        <v>27</v>
      </c>
      <c r="AQ133" t="str">
        <f>VLOOKUP(D133, METADATALOOKUP!$A:$AI, 8, FALSE)</f>
        <v>Male</v>
      </c>
      <c r="AR133" t="str">
        <f>VLOOKUP(D133, METADATALOOKUP!$A:$AI, 9, FALSE)</f>
        <v>White</v>
      </c>
      <c r="AS133" t="str">
        <f>VLOOKUP(D133, METADATALOOKUP!$A:$AI, 11, FALSE)</f>
        <v>No</v>
      </c>
      <c r="AT133" t="str">
        <f>VLOOKUP(D133, METADATALOOKUP!$A:$AI, 10, FALSE)</f>
        <v>Non-Hispanic</v>
      </c>
      <c r="AU133" t="str">
        <f>VLOOKUP(D133, METADATALOOKUP!$A:$AI, 12, FALSE)</f>
        <v>No</v>
      </c>
      <c r="AV133" t="str">
        <f>VLOOKUP(D133, METADATALOOKUP!$A:$AI, 14, FALSE)</f>
        <v>T3N2cM0</v>
      </c>
      <c r="AW133" t="str">
        <f>VLOOKUP(D133, METADATALOOKUP!$A:$AI, 6, FALSE)</f>
        <v>High</v>
      </c>
      <c r="AX133" t="str">
        <f>VLOOKUP(D133, METADATALOOKUP!$A:$AI, 19, FALSE)</f>
        <v>No</v>
      </c>
      <c r="AY133">
        <f>LOOKUP(D133, SURVLOOKUP!$A:$A, SURVLOOKUP!$P:$P)</f>
        <v>1</v>
      </c>
      <c r="AZ133" s="46">
        <v>0</v>
      </c>
      <c r="BA133" t="str">
        <f>TEXT(VLOOKUP(D133, METADATALOOKUP!$A:$AI, 34, FALSE), "@")</f>
        <v>&lt; 10%</v>
      </c>
      <c r="BB133" s="47" t="str">
        <f t="shared" si="52"/>
        <v>Non-Responder</v>
      </c>
      <c r="BC133">
        <v>0.108</v>
      </c>
      <c r="BD133" s="1">
        <v>43166</v>
      </c>
    </row>
    <row r="134" spans="1:56" x14ac:dyDescent="0.2">
      <c r="A134" s="3" t="s">
        <v>428</v>
      </c>
      <c r="B134" t="str">
        <f>VLOOKUP(A134, IDSLOOKUP!C:E, 2, FALSE)</f>
        <v>Screen</v>
      </c>
      <c r="C134" t="str">
        <f>VLOOKUP(D134, METADATALOOKUP!$A:$AI, 13, FALSE)</f>
        <v>Oral Cavity</v>
      </c>
      <c r="D134" t="str">
        <f>VLOOKUP(A134, IDSLOOKUP!C:E, 3, FALSE)</f>
        <v>HN01-18</v>
      </c>
      <c r="E134" s="48">
        <f>VLOOKUP(A134,CFDNALOOKUP!AG:AI,2,FALSE)</f>
        <v>43832</v>
      </c>
      <c r="F134" s="48">
        <f>VLOOKUP(A134,CFDNALOOKUP!AG:AI,3,FALSE)</f>
        <v>43891</v>
      </c>
      <c r="G134" s="1">
        <f>VLOOKUP(D134, SURVLOOKUP!$A:$Q, 2, FALSE)</f>
        <v>43081</v>
      </c>
      <c r="H134" s="1">
        <f>VLOOKUP(D134, SURVLOOKUP!$A:$Q, 3, FALSE)</f>
        <v>43090</v>
      </c>
      <c r="I134" s="1">
        <f>VLOOKUP(D134, SURVLOOKUP!$A:$Q, 4, FALSE)</f>
        <v>43109</v>
      </c>
      <c r="J134" s="1">
        <f>VLOOKUP(D134, SURVLOOKUP!$A:$Q, 5, FALSE)</f>
        <v>43130</v>
      </c>
      <c r="K134" s="1">
        <f>VLOOKUP(D134, SURVLOOKUP!$A:$Q, 6, FALSE)</f>
        <v>43186</v>
      </c>
      <c r="L134" s="1">
        <f>VLOOKUP(D134, SURVLOOKUP!$A:$Q, 7, FALSE)</f>
        <v>43237</v>
      </c>
      <c r="M134" s="1">
        <f>VLOOKUP(D134, SURVLOOKUP!$A:$Q, 8, FALSE)</f>
        <v>43179</v>
      </c>
      <c r="N134" s="1">
        <f>VLOOKUP(D134, SURVLOOKUP!$A:$Q, 9, FALSE)</f>
        <v>43237</v>
      </c>
      <c r="O134" s="1">
        <f>VLOOKUP(D134, SURVLOOKUP!$A:$Q, 10, FALSE)</f>
        <v>43228</v>
      </c>
      <c r="P134" s="1">
        <f>VLOOKUP(D134, OLDSURVLOOKUP!$A:$AA, 19, FALSE)</f>
        <v>44326</v>
      </c>
      <c r="Q134" s="1">
        <f>VLOOKUP(D134, SURVLOOKUP!$A:$Q, 11, FALSE)</f>
        <v>44848</v>
      </c>
      <c r="R134" s="1"/>
      <c r="S134" s="1"/>
      <c r="T134" s="1"/>
      <c r="U134" s="1"/>
      <c r="V134">
        <f>_xlfn.XLOOKUP(D134, OLDSURVLOOKUP!$A:$A, OLDSURVLOOKUP!V:V)</f>
        <v>0</v>
      </c>
      <c r="W134">
        <f>VLOOKUP(D134, SURVLOOKUP!$A:$Q, 14, FALSE)</f>
        <v>0</v>
      </c>
      <c r="X134">
        <f>_xlfn.XLOOKUP(D134, OLDSURVLOOKUP!$A:$A, OLDSURVLOOKUP!X:X)</f>
        <v>0</v>
      </c>
      <c r="Y134">
        <f>VLOOKUP(D134, SURVLOOKUP!$A:$Q, 15, FALSE)</f>
        <v>0</v>
      </c>
      <c r="Z134">
        <f t="shared" si="43"/>
        <v>40.032258064516128</v>
      </c>
      <c r="AA134">
        <f t="shared" si="44"/>
        <v>57.161290322580648</v>
      </c>
      <c r="AB134">
        <f t="shared" si="45"/>
        <v>40.032258064516128</v>
      </c>
      <c r="AC134">
        <f t="shared" si="46"/>
        <v>57.161290322580648</v>
      </c>
      <c r="AD134">
        <f t="shared" si="47"/>
        <v>39.322580645161288</v>
      </c>
      <c r="AE134">
        <f t="shared" si="41"/>
        <v>56.451612903225808</v>
      </c>
      <c r="AF134">
        <f t="shared" si="39"/>
        <v>39.322580645161288</v>
      </c>
      <c r="AG134">
        <f t="shared" si="40"/>
        <v>56.451612903225808</v>
      </c>
      <c r="AH134">
        <f t="shared" si="48"/>
        <v>37.645161290322584</v>
      </c>
      <c r="AI134">
        <f t="shared" si="49"/>
        <v>54.774193548387096</v>
      </c>
      <c r="AJ134">
        <f t="shared" si="50"/>
        <v>37.645161290322584</v>
      </c>
      <c r="AK134">
        <f t="shared" si="51"/>
        <v>54.774193548387096</v>
      </c>
      <c r="AL134">
        <f t="shared" si="53"/>
        <v>1</v>
      </c>
      <c r="AM134" t="str">
        <f t="shared" si="42"/>
        <v>University of Cincinnati</v>
      </c>
      <c r="AN134">
        <v>0</v>
      </c>
      <c r="AO134">
        <v>50</v>
      </c>
      <c r="AP134">
        <f>VLOOKUP(D134, METADATALOOKUP!$A:$AI, 7, FALSE)</f>
        <v>48</v>
      </c>
      <c r="AQ134" t="str">
        <f>VLOOKUP(D134, METADATALOOKUP!$A:$AI, 8, FALSE)</f>
        <v>Male</v>
      </c>
      <c r="AR134" t="str">
        <f>VLOOKUP(D134, METADATALOOKUP!$A:$AI, 9, FALSE)</f>
        <v>White</v>
      </c>
      <c r="AS134" t="str">
        <f>VLOOKUP(D134, METADATALOOKUP!$A:$AI, 11, FALSE)</f>
        <v>No</v>
      </c>
      <c r="AT134" t="str">
        <f>VLOOKUP(D134, METADATALOOKUP!$A:$AI, 10, FALSE)</f>
        <v>Non-Hispanic</v>
      </c>
      <c r="AU134" t="str">
        <f>VLOOKUP(D134, METADATALOOKUP!$A:$AI, 12, FALSE)</f>
        <v>No</v>
      </c>
      <c r="AV134" t="str">
        <f>VLOOKUP(D134, METADATALOOKUP!$A:$AI, 14, FALSE)</f>
        <v>T4N0M0</v>
      </c>
      <c r="AW134" t="str">
        <f>VLOOKUP(D134, METADATALOOKUP!$A:$AI, 6, FALSE)</f>
        <v>High</v>
      </c>
      <c r="AX134" t="str">
        <f>VLOOKUP(D134, METADATALOOKUP!$A:$AI, 19, FALSE)</f>
        <v>Unknown</v>
      </c>
      <c r="AY134">
        <f>LOOKUP(D134, SURVLOOKUP!$A:$A, SURVLOOKUP!$P:$P)</f>
        <v>1</v>
      </c>
      <c r="AZ134" s="46">
        <v>0</v>
      </c>
      <c r="BA134" t="str">
        <f>TEXT(VLOOKUP(D134, METADATALOOKUP!$A:$AI, 34, FALSE), "@")</f>
        <v>&lt; 10%</v>
      </c>
      <c r="BB134" s="47" t="str">
        <f t="shared" si="52"/>
        <v>Non-Responder</v>
      </c>
      <c r="BC134">
        <v>0.05</v>
      </c>
      <c r="BD134" s="1">
        <v>43090</v>
      </c>
    </row>
    <row r="135" spans="1:56" x14ac:dyDescent="0.2">
      <c r="A135" s="3" t="s">
        <v>430</v>
      </c>
      <c r="B135" t="str">
        <f>VLOOKUP(A135, IDSLOOKUP!C:E, 2, FALSE)</f>
        <v>Day 0</v>
      </c>
      <c r="C135" t="str">
        <f>VLOOKUP(D135, METADATALOOKUP!$A:$AI, 13, FALSE)</f>
        <v>Oral Cavity</v>
      </c>
      <c r="D135" t="str">
        <f>VLOOKUP(A135, IDSLOOKUP!C:E, 3, FALSE)</f>
        <v>HN01-18</v>
      </c>
      <c r="E135" s="48">
        <f>VLOOKUP(A135,CFDNALOOKUP!AG:AI,2,FALSE)</f>
        <v>43832</v>
      </c>
      <c r="F135" s="48">
        <f>VLOOKUP(A135,CFDNALOOKUP!AG:AI,3,FALSE)</f>
        <v>43887</v>
      </c>
      <c r="G135" s="1">
        <f>VLOOKUP(D135, SURVLOOKUP!$A:$Q, 2, FALSE)</f>
        <v>43081</v>
      </c>
      <c r="H135" s="1">
        <f>VLOOKUP(D135, SURVLOOKUP!$A:$Q, 3, FALSE)</f>
        <v>43090</v>
      </c>
      <c r="I135" s="1">
        <f>VLOOKUP(D135, SURVLOOKUP!$A:$Q, 4, FALSE)</f>
        <v>43109</v>
      </c>
      <c r="J135" s="1">
        <f>VLOOKUP(D135, SURVLOOKUP!$A:$Q, 5, FALSE)</f>
        <v>43130</v>
      </c>
      <c r="K135" s="1">
        <f>VLOOKUP(D135, SURVLOOKUP!$A:$Q, 6, FALSE)</f>
        <v>43186</v>
      </c>
      <c r="L135" s="1">
        <f>VLOOKUP(D135, SURVLOOKUP!$A:$Q, 7, FALSE)</f>
        <v>43237</v>
      </c>
      <c r="M135" s="1">
        <f>VLOOKUP(D135, SURVLOOKUP!$A:$Q, 8, FALSE)</f>
        <v>43179</v>
      </c>
      <c r="N135" s="1">
        <f>VLOOKUP(D135, SURVLOOKUP!$A:$Q, 9, FALSE)</f>
        <v>43237</v>
      </c>
      <c r="O135" s="1">
        <f>VLOOKUP(D135, SURVLOOKUP!$A:$Q, 10, FALSE)</f>
        <v>43228</v>
      </c>
      <c r="P135" s="1">
        <f>VLOOKUP(D135, OLDSURVLOOKUP!$A:$AA, 19, FALSE)</f>
        <v>44326</v>
      </c>
      <c r="Q135" s="1">
        <f>VLOOKUP(D135, SURVLOOKUP!$A:$Q, 11, FALSE)</f>
        <v>44848</v>
      </c>
      <c r="R135" s="1"/>
      <c r="S135" s="1"/>
      <c r="T135" s="1"/>
      <c r="U135" s="1"/>
      <c r="V135">
        <f>_xlfn.XLOOKUP(D135, OLDSURVLOOKUP!$A:$A, OLDSURVLOOKUP!V:V)</f>
        <v>0</v>
      </c>
      <c r="W135">
        <f>VLOOKUP(D135, SURVLOOKUP!$A:$Q, 14, FALSE)</f>
        <v>0</v>
      </c>
      <c r="X135">
        <f>_xlfn.XLOOKUP(D135, OLDSURVLOOKUP!$A:$A, OLDSURVLOOKUP!X:X)</f>
        <v>0</v>
      </c>
      <c r="Y135">
        <f>VLOOKUP(D135, SURVLOOKUP!$A:$Q, 15, FALSE)</f>
        <v>0</v>
      </c>
      <c r="Z135">
        <f t="shared" si="43"/>
        <v>40.032258064516128</v>
      </c>
      <c r="AA135">
        <f t="shared" si="44"/>
        <v>57.161290322580648</v>
      </c>
      <c r="AB135">
        <f t="shared" si="45"/>
        <v>40.032258064516128</v>
      </c>
      <c r="AC135">
        <f t="shared" si="46"/>
        <v>57.161290322580648</v>
      </c>
      <c r="AD135">
        <f t="shared" si="47"/>
        <v>39.322580645161288</v>
      </c>
      <c r="AE135">
        <f t="shared" si="41"/>
        <v>56.451612903225808</v>
      </c>
      <c r="AF135">
        <f t="shared" si="39"/>
        <v>39.322580645161288</v>
      </c>
      <c r="AG135">
        <f t="shared" si="40"/>
        <v>56.451612903225808</v>
      </c>
      <c r="AH135">
        <f t="shared" si="48"/>
        <v>37.645161290322584</v>
      </c>
      <c r="AI135">
        <f t="shared" si="49"/>
        <v>54.774193548387096</v>
      </c>
      <c r="AJ135">
        <f t="shared" si="50"/>
        <v>37.645161290322584</v>
      </c>
      <c r="AK135">
        <f t="shared" si="51"/>
        <v>54.774193548387096</v>
      </c>
      <c r="AL135">
        <f t="shared" si="53"/>
        <v>1</v>
      </c>
      <c r="AM135" t="str">
        <f t="shared" si="42"/>
        <v>University of Cincinnati</v>
      </c>
      <c r="AN135">
        <v>0</v>
      </c>
      <c r="AO135">
        <v>50</v>
      </c>
      <c r="AP135">
        <f>VLOOKUP(D135, METADATALOOKUP!$A:$AI, 7, FALSE)</f>
        <v>48</v>
      </c>
      <c r="AQ135" t="str">
        <f>VLOOKUP(D135, METADATALOOKUP!$A:$AI, 8, FALSE)</f>
        <v>Male</v>
      </c>
      <c r="AR135" t="str">
        <f>VLOOKUP(D135, METADATALOOKUP!$A:$AI, 9, FALSE)</f>
        <v>White</v>
      </c>
      <c r="AS135" t="str">
        <f>VLOOKUP(D135, METADATALOOKUP!$A:$AI, 11, FALSE)</f>
        <v>No</v>
      </c>
      <c r="AT135" t="str">
        <f>VLOOKUP(D135, METADATALOOKUP!$A:$AI, 10, FALSE)</f>
        <v>Non-Hispanic</v>
      </c>
      <c r="AU135" t="str">
        <f>VLOOKUP(D135, METADATALOOKUP!$A:$AI, 12, FALSE)</f>
        <v>No</v>
      </c>
      <c r="AV135" t="str">
        <f>VLOOKUP(D135, METADATALOOKUP!$A:$AI, 14, FALSE)</f>
        <v>T4N0M0</v>
      </c>
      <c r="AW135" t="str">
        <f>VLOOKUP(D135, METADATALOOKUP!$A:$AI, 6, FALSE)</f>
        <v>High</v>
      </c>
      <c r="AX135" t="str">
        <f>VLOOKUP(D135, METADATALOOKUP!$A:$AI, 19, FALSE)</f>
        <v>Unknown</v>
      </c>
      <c r="AY135">
        <f>LOOKUP(D135, SURVLOOKUP!$A:$A, SURVLOOKUP!$P:$P)</f>
        <v>1</v>
      </c>
      <c r="AZ135" s="46">
        <v>0</v>
      </c>
      <c r="BA135" t="str">
        <f>TEXT(VLOOKUP(D135, METADATALOOKUP!$A:$AI, 34, FALSE), "@")</f>
        <v>&lt; 10%</v>
      </c>
      <c r="BB135" s="47" t="str">
        <f t="shared" si="52"/>
        <v>Non-Responder</v>
      </c>
      <c r="BC135">
        <v>0.254</v>
      </c>
      <c r="BD135" s="1">
        <v>43130</v>
      </c>
    </row>
    <row r="136" spans="1:56" x14ac:dyDescent="0.2">
      <c r="A136" s="3" t="s">
        <v>431</v>
      </c>
      <c r="B136" t="str">
        <f>VLOOKUP(A136, IDSLOOKUP!C:E, 2, FALSE)</f>
        <v>Adj Wk 1</v>
      </c>
      <c r="C136" t="str">
        <f>VLOOKUP(D136, METADATALOOKUP!$A:$AI, 13, FALSE)</f>
        <v>Oral Cavity</v>
      </c>
      <c r="D136" t="str">
        <f>VLOOKUP(A136, IDSLOOKUP!C:E, 3, FALSE)</f>
        <v>HN01-18</v>
      </c>
      <c r="E136" s="48">
        <f>VLOOKUP(A136,CFDNALOOKUP!AG:AI,2,FALSE)</f>
        <v>43832</v>
      </c>
      <c r="F136" s="48">
        <f>VLOOKUP(A136,CFDNALOOKUP!AG:AI,3,FALSE)</f>
        <v>43889</v>
      </c>
      <c r="G136" s="1">
        <f>VLOOKUP(D136, SURVLOOKUP!$A:$Q, 2, FALSE)</f>
        <v>43081</v>
      </c>
      <c r="H136" s="1">
        <f>VLOOKUP(D136, SURVLOOKUP!$A:$Q, 3, FALSE)</f>
        <v>43090</v>
      </c>
      <c r="I136" s="1">
        <f>VLOOKUP(D136, SURVLOOKUP!$A:$Q, 4, FALSE)</f>
        <v>43109</v>
      </c>
      <c r="J136" s="1">
        <f>VLOOKUP(D136, SURVLOOKUP!$A:$Q, 5, FALSE)</f>
        <v>43130</v>
      </c>
      <c r="K136" s="1">
        <f>VLOOKUP(D136, SURVLOOKUP!$A:$Q, 6, FALSE)</f>
        <v>43186</v>
      </c>
      <c r="L136" s="1">
        <f>VLOOKUP(D136, SURVLOOKUP!$A:$Q, 7, FALSE)</f>
        <v>43237</v>
      </c>
      <c r="M136" s="1">
        <f>VLOOKUP(D136, SURVLOOKUP!$A:$Q, 8, FALSE)</f>
        <v>43179</v>
      </c>
      <c r="N136" s="1">
        <f>VLOOKUP(D136, SURVLOOKUP!$A:$Q, 9, FALSE)</f>
        <v>43237</v>
      </c>
      <c r="O136" s="1">
        <f>VLOOKUP(D136, SURVLOOKUP!$A:$Q, 10, FALSE)</f>
        <v>43228</v>
      </c>
      <c r="P136" s="1">
        <f>VLOOKUP(D136, OLDSURVLOOKUP!$A:$AA, 19, FALSE)</f>
        <v>44326</v>
      </c>
      <c r="Q136" s="1">
        <f>VLOOKUP(D136, SURVLOOKUP!$A:$Q, 11, FALSE)</f>
        <v>44848</v>
      </c>
      <c r="R136" s="1"/>
      <c r="S136" s="1"/>
      <c r="T136" s="1"/>
      <c r="U136" s="1"/>
      <c r="V136">
        <f>_xlfn.XLOOKUP(D136, OLDSURVLOOKUP!$A:$A, OLDSURVLOOKUP!V:V)</f>
        <v>0</v>
      </c>
      <c r="W136">
        <f>VLOOKUP(D136, SURVLOOKUP!$A:$Q, 14, FALSE)</f>
        <v>0</v>
      </c>
      <c r="X136">
        <f>_xlfn.XLOOKUP(D136, OLDSURVLOOKUP!$A:$A, OLDSURVLOOKUP!X:X)</f>
        <v>0</v>
      </c>
      <c r="Y136">
        <f>VLOOKUP(D136, SURVLOOKUP!$A:$Q, 15, FALSE)</f>
        <v>0</v>
      </c>
      <c r="Z136">
        <f t="shared" si="43"/>
        <v>40.032258064516128</v>
      </c>
      <c r="AA136">
        <f t="shared" si="44"/>
        <v>57.161290322580648</v>
      </c>
      <c r="AB136">
        <f t="shared" si="45"/>
        <v>40.032258064516128</v>
      </c>
      <c r="AC136">
        <f t="shared" si="46"/>
        <v>57.161290322580648</v>
      </c>
      <c r="AD136">
        <f t="shared" si="47"/>
        <v>39.322580645161288</v>
      </c>
      <c r="AE136">
        <f t="shared" si="41"/>
        <v>56.451612903225808</v>
      </c>
      <c r="AF136">
        <f t="shared" si="39"/>
        <v>39.322580645161288</v>
      </c>
      <c r="AG136">
        <f t="shared" si="40"/>
        <v>56.451612903225808</v>
      </c>
      <c r="AH136">
        <f t="shared" si="48"/>
        <v>37.645161290322584</v>
      </c>
      <c r="AI136">
        <f t="shared" si="49"/>
        <v>54.774193548387096</v>
      </c>
      <c r="AJ136">
        <f t="shared" si="50"/>
        <v>37.645161290322584</v>
      </c>
      <c r="AK136">
        <f t="shared" si="51"/>
        <v>54.774193548387096</v>
      </c>
      <c r="AL136">
        <f t="shared" si="53"/>
        <v>1</v>
      </c>
      <c r="AM136" t="str">
        <f t="shared" si="42"/>
        <v>University of Cincinnati</v>
      </c>
      <c r="AN136">
        <v>0</v>
      </c>
      <c r="AO136">
        <v>50</v>
      </c>
      <c r="AP136">
        <f>VLOOKUP(D136, METADATALOOKUP!$A:$AI, 7, FALSE)</f>
        <v>48</v>
      </c>
      <c r="AQ136" t="str">
        <f>VLOOKUP(D136, METADATALOOKUP!$A:$AI, 8, FALSE)</f>
        <v>Male</v>
      </c>
      <c r="AR136" t="str">
        <f>VLOOKUP(D136, METADATALOOKUP!$A:$AI, 9, FALSE)</f>
        <v>White</v>
      </c>
      <c r="AS136" t="str">
        <f>VLOOKUP(D136, METADATALOOKUP!$A:$AI, 11, FALSE)</f>
        <v>No</v>
      </c>
      <c r="AT136" t="str">
        <f>VLOOKUP(D136, METADATALOOKUP!$A:$AI, 10, FALSE)</f>
        <v>Non-Hispanic</v>
      </c>
      <c r="AU136" t="str">
        <f>VLOOKUP(D136, METADATALOOKUP!$A:$AI, 12, FALSE)</f>
        <v>No</v>
      </c>
      <c r="AV136" t="str">
        <f>VLOOKUP(D136, METADATALOOKUP!$A:$AI, 14, FALSE)</f>
        <v>T4N0M0</v>
      </c>
      <c r="AW136" t="str">
        <f>VLOOKUP(D136, METADATALOOKUP!$A:$AI, 6, FALSE)</f>
        <v>High</v>
      </c>
      <c r="AX136" t="str">
        <f>VLOOKUP(D136, METADATALOOKUP!$A:$AI, 19, FALSE)</f>
        <v>Unknown</v>
      </c>
      <c r="AY136">
        <f>LOOKUP(D136, SURVLOOKUP!$A:$A, SURVLOOKUP!$P:$P)</f>
        <v>1</v>
      </c>
      <c r="AZ136" s="46">
        <v>0</v>
      </c>
      <c r="BA136" t="str">
        <f>TEXT(VLOOKUP(D136, METADATALOOKUP!$A:$AI, 34, FALSE), "@")</f>
        <v>&lt; 10%</v>
      </c>
      <c r="BB136" s="47" t="str">
        <f t="shared" si="52"/>
        <v>Non-Responder</v>
      </c>
      <c r="BC136">
        <v>0.11600000000000001</v>
      </c>
      <c r="BD136" s="1">
        <v>43179</v>
      </c>
    </row>
    <row r="137" spans="1:56" x14ac:dyDescent="0.2">
      <c r="A137" s="3" t="s">
        <v>432</v>
      </c>
      <c r="B137" t="str">
        <f>VLOOKUP(A137, IDSLOOKUP!C:E, 2, FALSE)</f>
        <v>Screen</v>
      </c>
      <c r="C137" t="str">
        <f>VLOOKUP(D137, METADATALOOKUP!$A:$AI, 13, FALSE)</f>
        <v>Oral Cavity</v>
      </c>
      <c r="D137" t="str">
        <f>VLOOKUP(A137, IDSLOOKUP!C:E, 3, FALSE)</f>
        <v>HN01-21</v>
      </c>
      <c r="E137" s="48">
        <f>VLOOKUP(A137,CFDNALOOKUP!AG:AI,2,FALSE)</f>
        <v>43832</v>
      </c>
      <c r="F137" s="48">
        <f>VLOOKUP(A137,CFDNALOOKUP!AG:AI,3,FALSE)</f>
        <v>43888</v>
      </c>
      <c r="G137" s="1">
        <f>VLOOKUP(D137, SURVLOOKUP!$A:$Q, 2, FALSE)</f>
        <v>43117</v>
      </c>
      <c r="H137" s="1">
        <f>VLOOKUP(D137, SURVLOOKUP!$A:$Q, 3, FALSE)</f>
        <v>43150</v>
      </c>
      <c r="I137" s="1">
        <f>VLOOKUP(D137, SURVLOOKUP!$A:$Q, 4, FALSE)</f>
        <v>43150</v>
      </c>
      <c r="J137" s="1">
        <f>VLOOKUP(D137, SURVLOOKUP!$A:$Q, 5, FALSE)</f>
        <v>43168</v>
      </c>
      <c r="K137" s="1">
        <f>VLOOKUP(D137, SURVLOOKUP!$A:$Q, 6, FALSE)</f>
        <v>43208</v>
      </c>
      <c r="L137" s="1">
        <f>VLOOKUP(D137, SURVLOOKUP!$A:$Q, 7, FALSE)</f>
        <v>43250</v>
      </c>
      <c r="M137" s="1">
        <f>VLOOKUP(D137, SURVLOOKUP!$A:$Q, 8, FALSE)</f>
        <v>43201</v>
      </c>
      <c r="N137" s="1">
        <f>VLOOKUP(D137, SURVLOOKUP!$A:$Q, 9, FALSE)</f>
        <v>43306</v>
      </c>
      <c r="O137" s="1" t="str">
        <f>VLOOKUP(D137, SURVLOOKUP!$A:$Q, 10, FALSE)</f>
        <v>NA</v>
      </c>
      <c r="P137" s="1">
        <f>VLOOKUP(D137, OLDSURVLOOKUP!$A:$AA, 19, FALSE)</f>
        <v>44373</v>
      </c>
      <c r="Q137" s="1">
        <f>VLOOKUP(D137, SURVLOOKUP!$A:$Q, 11, FALSE)</f>
        <v>44373</v>
      </c>
      <c r="R137" s="1"/>
      <c r="S137" s="1"/>
      <c r="T137" s="1">
        <f>VLOOKUP(D137, OLDSURVLOOKUP!$A:$AA, 21, FALSE)</f>
        <v>44374</v>
      </c>
      <c r="U137" s="1">
        <f>VLOOKUP(D137, SURVLOOKUP!$A:$Q, 13, FALSE)</f>
        <v>44374</v>
      </c>
      <c r="V137">
        <f>_xlfn.XLOOKUP(D137, OLDSURVLOOKUP!$A:$A, OLDSURVLOOKUP!V:V)</f>
        <v>1</v>
      </c>
      <c r="W137">
        <f>VLOOKUP(D137, SURVLOOKUP!$A:$Q, 14, FALSE)</f>
        <v>1</v>
      </c>
      <c r="X137">
        <f>_xlfn.XLOOKUP(D137, OLDSURVLOOKUP!$A:$A, OLDSURVLOOKUP!X:X)</f>
        <v>1</v>
      </c>
      <c r="Y137">
        <f>VLOOKUP(D137, SURVLOOKUP!$A:$Q, 15, FALSE)</f>
        <v>1</v>
      </c>
      <c r="Z137" s="2">
        <v>40.285714290000001</v>
      </c>
      <c r="AA137" s="2">
        <v>40.285714290000001</v>
      </c>
      <c r="AB137">
        <f t="shared" si="45"/>
        <v>40.285714285714285</v>
      </c>
      <c r="AC137">
        <f t="shared" si="46"/>
        <v>40.285714285714285</v>
      </c>
      <c r="AD137" s="2">
        <v>39.580645160000003</v>
      </c>
      <c r="AE137" s="2">
        <v>39.580645160000003</v>
      </c>
      <c r="AF137">
        <f t="shared" si="39"/>
        <v>39.58064516129032</v>
      </c>
      <c r="AG137">
        <f t="shared" si="40"/>
        <v>39.58064516129032</v>
      </c>
      <c r="AH137" s="2">
        <v>38.533333329999998</v>
      </c>
      <c r="AI137" s="2">
        <v>38.533333329999998</v>
      </c>
      <c r="AJ137">
        <f t="shared" si="50"/>
        <v>38.533333333333331</v>
      </c>
      <c r="AK137">
        <f t="shared" si="51"/>
        <v>38.533333333333331</v>
      </c>
      <c r="AL137">
        <f t="shared" si="53"/>
        <v>1</v>
      </c>
      <c r="AM137" t="str">
        <f t="shared" si="42"/>
        <v>University of Cincinnati</v>
      </c>
      <c r="AN137">
        <v>0</v>
      </c>
      <c r="AO137">
        <v>51</v>
      </c>
      <c r="AP137">
        <f>VLOOKUP(D137, METADATALOOKUP!$A:$AI, 7, FALSE)</f>
        <v>64</v>
      </c>
      <c r="AQ137" t="str">
        <f>VLOOKUP(D137, METADATALOOKUP!$A:$AI, 8, FALSE)</f>
        <v>Male</v>
      </c>
      <c r="AR137" t="str">
        <f>VLOOKUP(D137, METADATALOOKUP!$A:$AI, 9, FALSE)</f>
        <v>White</v>
      </c>
      <c r="AS137" t="str">
        <f>VLOOKUP(D137, METADATALOOKUP!$A:$AI, 11, FALSE)</f>
        <v>Yes</v>
      </c>
      <c r="AT137" t="str">
        <f>VLOOKUP(D137, METADATALOOKUP!$A:$AI, 10, FALSE)</f>
        <v>Non-Hispanic</v>
      </c>
      <c r="AU137" t="str">
        <f>VLOOKUP(D137, METADATALOOKUP!$A:$AI, 12, FALSE)</f>
        <v>Yes</v>
      </c>
      <c r="AV137" t="str">
        <f>VLOOKUP(D137, METADATALOOKUP!$A:$AI, 14, FALSE)</f>
        <v>T2N2bM0</v>
      </c>
      <c r="AW137" t="str">
        <f>VLOOKUP(D137, METADATALOOKUP!$A:$AI, 6, FALSE)</f>
        <v>Intermediate</v>
      </c>
      <c r="AX137" t="str">
        <f>VLOOKUP(D137, METADATALOOKUP!$A:$AI, 19, FALSE)</f>
        <v>Unknown</v>
      </c>
      <c r="AY137">
        <f>LOOKUP(D137, SURVLOOKUP!$A:$A, SURVLOOKUP!$P:$P)</f>
        <v>0</v>
      </c>
      <c r="AZ137" s="46">
        <v>0</v>
      </c>
      <c r="BA137" t="str">
        <f>TEXT(VLOOKUP(D137, METADATALOOKUP!$A:$AI, 34, FALSE), "@")</f>
        <v>&lt; 10%</v>
      </c>
      <c r="BB137" s="47" t="str">
        <f t="shared" si="52"/>
        <v>Non-Responder</v>
      </c>
      <c r="BC137">
        <v>0.05</v>
      </c>
      <c r="BD137" s="1">
        <v>43150</v>
      </c>
    </row>
    <row r="138" spans="1:56" x14ac:dyDescent="0.2">
      <c r="A138" s="3" t="s">
        <v>434</v>
      </c>
      <c r="B138" t="str">
        <f>VLOOKUP(A138, IDSLOOKUP!C:E, 2, FALSE)</f>
        <v>Day 0</v>
      </c>
      <c r="C138" t="str">
        <f>VLOOKUP(D138, METADATALOOKUP!$A:$AI, 13, FALSE)</f>
        <v>Oral Cavity</v>
      </c>
      <c r="D138" t="str">
        <f>VLOOKUP(A138, IDSLOOKUP!C:E, 3, FALSE)</f>
        <v>HN01-21</v>
      </c>
      <c r="E138" s="48">
        <f>VLOOKUP(A138,CFDNALOOKUP!AG:AI,2,FALSE)</f>
        <v>43832</v>
      </c>
      <c r="F138" s="48">
        <f>VLOOKUP(A138,CFDNALOOKUP!AG:AI,3,FALSE)</f>
        <v>43901</v>
      </c>
      <c r="G138" s="1">
        <f>VLOOKUP(D138, SURVLOOKUP!$A:$Q, 2, FALSE)</f>
        <v>43117</v>
      </c>
      <c r="H138" s="1">
        <f>VLOOKUP(D138, SURVLOOKUP!$A:$Q, 3, FALSE)</f>
        <v>43150</v>
      </c>
      <c r="I138" s="1">
        <f>VLOOKUP(D138, SURVLOOKUP!$A:$Q, 4, FALSE)</f>
        <v>43150</v>
      </c>
      <c r="J138" s="1">
        <f>VLOOKUP(D138, SURVLOOKUP!$A:$Q, 5, FALSE)</f>
        <v>43168</v>
      </c>
      <c r="K138" s="1">
        <f>VLOOKUP(D138, SURVLOOKUP!$A:$Q, 6, FALSE)</f>
        <v>43208</v>
      </c>
      <c r="L138" s="1">
        <f>VLOOKUP(D138, SURVLOOKUP!$A:$Q, 7, FALSE)</f>
        <v>43250</v>
      </c>
      <c r="M138" s="1">
        <f>VLOOKUP(D138, SURVLOOKUP!$A:$Q, 8, FALSE)</f>
        <v>43201</v>
      </c>
      <c r="N138" s="1">
        <f>VLOOKUP(D138, SURVLOOKUP!$A:$Q, 9, FALSE)</f>
        <v>43306</v>
      </c>
      <c r="O138" s="1" t="str">
        <f>VLOOKUP(D138, SURVLOOKUP!$A:$Q, 10, FALSE)</f>
        <v>NA</v>
      </c>
      <c r="P138" s="1">
        <f>VLOOKUP(D138, OLDSURVLOOKUP!$A:$AA, 19, FALSE)</f>
        <v>44373</v>
      </c>
      <c r="Q138" s="1">
        <f>VLOOKUP(D138, SURVLOOKUP!$A:$Q, 11, FALSE)</f>
        <v>44373</v>
      </c>
      <c r="R138" s="1"/>
      <c r="S138" s="1"/>
      <c r="T138" s="1">
        <f>VLOOKUP(D138, OLDSURVLOOKUP!$A:$AA, 21, FALSE)</f>
        <v>44374</v>
      </c>
      <c r="U138" s="1">
        <f>VLOOKUP(D138, SURVLOOKUP!$A:$Q, 13, FALSE)</f>
        <v>44374</v>
      </c>
      <c r="V138">
        <f>_xlfn.XLOOKUP(D138, OLDSURVLOOKUP!$A:$A, OLDSURVLOOKUP!V:V)</f>
        <v>1</v>
      </c>
      <c r="W138">
        <f>VLOOKUP(D138, SURVLOOKUP!$A:$Q, 14, FALSE)</f>
        <v>1</v>
      </c>
      <c r="X138">
        <f>_xlfn.XLOOKUP(D138, OLDSURVLOOKUP!$A:$A, OLDSURVLOOKUP!X:X)</f>
        <v>1</v>
      </c>
      <c r="Y138">
        <f>VLOOKUP(D138, SURVLOOKUP!$A:$Q, 15, FALSE)</f>
        <v>1</v>
      </c>
      <c r="Z138" s="2">
        <v>40.285714290000001</v>
      </c>
      <c r="AA138" s="2">
        <v>40.285714290000001</v>
      </c>
      <c r="AB138">
        <f t="shared" si="45"/>
        <v>40.285714285714285</v>
      </c>
      <c r="AC138">
        <f t="shared" si="46"/>
        <v>40.285714285714285</v>
      </c>
      <c r="AD138" s="2">
        <v>39.580645160000003</v>
      </c>
      <c r="AE138" s="2">
        <v>39.580645160000003</v>
      </c>
      <c r="AF138">
        <f t="shared" si="39"/>
        <v>39.58064516129032</v>
      </c>
      <c r="AG138">
        <f t="shared" si="40"/>
        <v>39.58064516129032</v>
      </c>
      <c r="AH138" s="2">
        <v>38.533333329999998</v>
      </c>
      <c r="AI138" s="2">
        <v>38.533333329999998</v>
      </c>
      <c r="AJ138">
        <f t="shared" si="50"/>
        <v>38.533333333333331</v>
      </c>
      <c r="AK138">
        <f t="shared" si="51"/>
        <v>38.533333333333331</v>
      </c>
      <c r="AL138">
        <f t="shared" si="53"/>
        <v>1</v>
      </c>
      <c r="AM138" t="str">
        <f t="shared" si="42"/>
        <v>University of Cincinnati</v>
      </c>
      <c r="AN138">
        <v>0</v>
      </c>
      <c r="AO138">
        <v>51</v>
      </c>
      <c r="AP138">
        <f>VLOOKUP(D138, METADATALOOKUP!$A:$AI, 7, FALSE)</f>
        <v>64</v>
      </c>
      <c r="AQ138" t="str">
        <f>VLOOKUP(D138, METADATALOOKUP!$A:$AI, 8, FALSE)</f>
        <v>Male</v>
      </c>
      <c r="AR138" t="str">
        <f>VLOOKUP(D138, METADATALOOKUP!$A:$AI, 9, FALSE)</f>
        <v>White</v>
      </c>
      <c r="AS138" t="str">
        <f>VLOOKUP(D138, METADATALOOKUP!$A:$AI, 11, FALSE)</f>
        <v>Yes</v>
      </c>
      <c r="AT138" t="str">
        <f>VLOOKUP(D138, METADATALOOKUP!$A:$AI, 10, FALSE)</f>
        <v>Non-Hispanic</v>
      </c>
      <c r="AU138" t="str">
        <f>VLOOKUP(D138, METADATALOOKUP!$A:$AI, 12, FALSE)</f>
        <v>Yes</v>
      </c>
      <c r="AV138" t="str">
        <f>VLOOKUP(D138, METADATALOOKUP!$A:$AI, 14, FALSE)</f>
        <v>T2N2bM0</v>
      </c>
      <c r="AW138" t="str">
        <f>VLOOKUP(D138, METADATALOOKUP!$A:$AI, 6, FALSE)</f>
        <v>Intermediate</v>
      </c>
      <c r="AX138" t="str">
        <f>VLOOKUP(D138, METADATALOOKUP!$A:$AI, 19, FALSE)</f>
        <v>Unknown</v>
      </c>
      <c r="AY138">
        <f>LOOKUP(D138, SURVLOOKUP!$A:$A, SURVLOOKUP!$P:$P)</f>
        <v>0</v>
      </c>
      <c r="AZ138" s="46">
        <v>0</v>
      </c>
      <c r="BA138" t="str">
        <f>TEXT(VLOOKUP(D138, METADATALOOKUP!$A:$AI, 34, FALSE), "@")</f>
        <v>&lt; 10%</v>
      </c>
      <c r="BB138" s="47" t="str">
        <f t="shared" si="52"/>
        <v>Non-Responder</v>
      </c>
      <c r="BC138">
        <v>0.05</v>
      </c>
      <c r="BD138" s="1">
        <v>43166</v>
      </c>
    </row>
    <row r="139" spans="1:56" x14ac:dyDescent="0.2">
      <c r="A139" s="3" t="s">
        <v>435</v>
      </c>
      <c r="B139" t="str">
        <f>VLOOKUP(A139, IDSLOOKUP!C:E, 2, FALSE)</f>
        <v>Adj Wk 1</v>
      </c>
      <c r="C139" t="str">
        <f>VLOOKUP(D139, METADATALOOKUP!$A:$AI, 13, FALSE)</f>
        <v>Oral Cavity</v>
      </c>
      <c r="D139" t="str">
        <f>VLOOKUP(A139, IDSLOOKUP!C:E, 3, FALSE)</f>
        <v>HN01-21</v>
      </c>
      <c r="E139" s="48">
        <f>VLOOKUP(A139,CFDNALOOKUP!AG:AI,2,FALSE)</f>
        <v>43832</v>
      </c>
      <c r="F139" s="48">
        <f>VLOOKUP(A139,CFDNALOOKUP!AG:AI,3,FALSE)</f>
        <v>43888</v>
      </c>
      <c r="G139" s="1">
        <f>VLOOKUP(D139, SURVLOOKUP!$A:$Q, 2, FALSE)</f>
        <v>43117</v>
      </c>
      <c r="H139" s="1">
        <f>VLOOKUP(D139, SURVLOOKUP!$A:$Q, 3, FALSE)</f>
        <v>43150</v>
      </c>
      <c r="I139" s="1">
        <f>VLOOKUP(D139, SURVLOOKUP!$A:$Q, 4, FALSE)</f>
        <v>43150</v>
      </c>
      <c r="J139" s="1">
        <f>VLOOKUP(D139, SURVLOOKUP!$A:$Q, 5, FALSE)</f>
        <v>43168</v>
      </c>
      <c r="K139" s="1">
        <f>VLOOKUP(D139, SURVLOOKUP!$A:$Q, 6, FALSE)</f>
        <v>43208</v>
      </c>
      <c r="L139" s="1">
        <f>VLOOKUP(D139, SURVLOOKUP!$A:$Q, 7, FALSE)</f>
        <v>43250</v>
      </c>
      <c r="M139" s="1">
        <f>VLOOKUP(D139, SURVLOOKUP!$A:$Q, 8, FALSE)</f>
        <v>43201</v>
      </c>
      <c r="N139" s="1">
        <f>VLOOKUP(D139, SURVLOOKUP!$A:$Q, 9, FALSE)</f>
        <v>43306</v>
      </c>
      <c r="O139" s="1" t="str">
        <f>VLOOKUP(D139, SURVLOOKUP!$A:$Q, 10, FALSE)</f>
        <v>NA</v>
      </c>
      <c r="P139" s="1">
        <f>VLOOKUP(D139, OLDSURVLOOKUP!$A:$AA, 19, FALSE)</f>
        <v>44373</v>
      </c>
      <c r="Q139" s="1">
        <f>VLOOKUP(D139, SURVLOOKUP!$A:$Q, 11, FALSE)</f>
        <v>44373</v>
      </c>
      <c r="R139" s="1"/>
      <c r="S139" s="1"/>
      <c r="T139" s="1">
        <f>VLOOKUP(D139, OLDSURVLOOKUP!$A:$AA, 21, FALSE)</f>
        <v>44374</v>
      </c>
      <c r="U139" s="1">
        <f>VLOOKUP(D139, SURVLOOKUP!$A:$Q, 13, FALSE)</f>
        <v>44374</v>
      </c>
      <c r="V139">
        <f>_xlfn.XLOOKUP(D139, OLDSURVLOOKUP!$A:$A, OLDSURVLOOKUP!V:V)</f>
        <v>1</v>
      </c>
      <c r="W139">
        <f>VLOOKUP(D139, SURVLOOKUP!$A:$Q, 14, FALSE)</f>
        <v>1</v>
      </c>
      <c r="X139">
        <f>_xlfn.XLOOKUP(D139, OLDSURVLOOKUP!$A:$A, OLDSURVLOOKUP!X:X)</f>
        <v>1</v>
      </c>
      <c r="Y139">
        <f>VLOOKUP(D139, SURVLOOKUP!$A:$Q, 15, FALSE)</f>
        <v>1</v>
      </c>
      <c r="Z139" s="2">
        <v>40.285714290000001</v>
      </c>
      <c r="AA139" s="2">
        <v>40.285714290000001</v>
      </c>
      <c r="AB139">
        <f t="shared" si="45"/>
        <v>40.285714285714285</v>
      </c>
      <c r="AC139">
        <f t="shared" si="46"/>
        <v>40.285714285714285</v>
      </c>
      <c r="AD139" s="2">
        <v>39.580645160000003</v>
      </c>
      <c r="AE139" s="2">
        <v>39.580645160000003</v>
      </c>
      <c r="AF139">
        <f t="shared" ref="AF139:AF145" si="54">IF(X139=0, DATEDIF(J139,P139,"M")+DATEDIF(J139,P139,"MD")/DAY(EOMONTH(J139,0)), DATEDIF(J139,T139,"M")+DATEDIF(J139,T139,"MD")/DAY(EOMONTH(J139,0)))</f>
        <v>39.58064516129032</v>
      </c>
      <c r="AG139">
        <f t="shared" ref="AG139:AG145" si="55">IF(Y139=0, DATEDIF(J139,Q139,"M")+DATEDIF(J139,Q139,"MD")/DAY(EOMONTH(J139,0)), DATEDIF(J139,U139,"M")+DATEDIF(J139,U139,"MD")/DAY(EOMONTH(J139,0)))</f>
        <v>39.58064516129032</v>
      </c>
      <c r="AH139" s="2">
        <v>38.533333329999998</v>
      </c>
      <c r="AI139" s="2">
        <v>38.533333329999998</v>
      </c>
      <c r="AJ139">
        <f t="shared" si="50"/>
        <v>38.533333333333331</v>
      </c>
      <c r="AK139">
        <f t="shared" si="51"/>
        <v>38.533333333333331</v>
      </c>
      <c r="AL139">
        <f t="shared" si="53"/>
        <v>1</v>
      </c>
      <c r="AM139" t="str">
        <f t="shared" si="42"/>
        <v>University of Cincinnati</v>
      </c>
      <c r="AN139">
        <v>0</v>
      </c>
      <c r="AO139">
        <v>51</v>
      </c>
      <c r="AP139">
        <f>VLOOKUP(D139, METADATALOOKUP!$A:$AI, 7, FALSE)</f>
        <v>64</v>
      </c>
      <c r="AQ139" t="str">
        <f>VLOOKUP(D139, METADATALOOKUP!$A:$AI, 8, FALSE)</f>
        <v>Male</v>
      </c>
      <c r="AR139" t="str">
        <f>VLOOKUP(D139, METADATALOOKUP!$A:$AI, 9, FALSE)</f>
        <v>White</v>
      </c>
      <c r="AS139" t="str">
        <f>VLOOKUP(D139, METADATALOOKUP!$A:$AI, 11, FALSE)</f>
        <v>Yes</v>
      </c>
      <c r="AT139" t="str">
        <f>VLOOKUP(D139, METADATALOOKUP!$A:$AI, 10, FALSE)</f>
        <v>Non-Hispanic</v>
      </c>
      <c r="AU139" t="str">
        <f>VLOOKUP(D139, METADATALOOKUP!$A:$AI, 12, FALSE)</f>
        <v>Yes</v>
      </c>
      <c r="AV139" t="str">
        <f>VLOOKUP(D139, METADATALOOKUP!$A:$AI, 14, FALSE)</f>
        <v>T2N2bM0</v>
      </c>
      <c r="AW139" t="str">
        <f>VLOOKUP(D139, METADATALOOKUP!$A:$AI, 6, FALSE)</f>
        <v>Intermediate</v>
      </c>
      <c r="AX139" t="str">
        <f>VLOOKUP(D139, METADATALOOKUP!$A:$AI, 19, FALSE)</f>
        <v>Unknown</v>
      </c>
      <c r="AY139">
        <f>LOOKUP(D139, SURVLOOKUP!$A:$A, SURVLOOKUP!$P:$P)</f>
        <v>0</v>
      </c>
      <c r="AZ139" s="46">
        <v>0</v>
      </c>
      <c r="BA139" t="str">
        <f>TEXT(VLOOKUP(D139, METADATALOOKUP!$A:$AI, 34, FALSE), "@")</f>
        <v>&lt; 10%</v>
      </c>
      <c r="BB139" s="47" t="str">
        <f t="shared" si="52"/>
        <v>Non-Responder</v>
      </c>
      <c r="BC139">
        <v>0.05</v>
      </c>
      <c r="BD139" s="1">
        <v>43201</v>
      </c>
    </row>
    <row r="140" spans="1:56" x14ac:dyDescent="0.2">
      <c r="A140" s="3" t="s">
        <v>436</v>
      </c>
      <c r="B140" t="str">
        <f>VLOOKUP(A140, IDSLOOKUP!C:E, 2, FALSE)</f>
        <v>Screen</v>
      </c>
      <c r="C140" t="str">
        <f>VLOOKUP(D140, METADATALOOKUP!$A:$AI, 13, FALSE)</f>
        <v>Oral Cavity</v>
      </c>
      <c r="D140" t="str">
        <f>VLOOKUP(A140, IDSLOOKUP!C:E, 3, FALSE)</f>
        <v>HN01-22</v>
      </c>
      <c r="E140" s="48">
        <f>VLOOKUP(A140,CFDNALOOKUP!AG:AI,2,FALSE)</f>
        <v>43832</v>
      </c>
      <c r="F140" s="48">
        <f>VLOOKUP(A140,CFDNALOOKUP!AG:AI,3,FALSE)</f>
        <v>43887</v>
      </c>
      <c r="G140" s="1">
        <f>VLOOKUP(D140, SURVLOOKUP!$A:$Q, 2, FALSE)</f>
        <v>43160</v>
      </c>
      <c r="H140" s="1">
        <f>VLOOKUP(D140, SURVLOOKUP!$A:$Q, 3, FALSE)</f>
        <v>43172</v>
      </c>
      <c r="I140" s="1">
        <f>VLOOKUP(D140, SURVLOOKUP!$A:$Q, 4, FALSE)</f>
        <v>43173</v>
      </c>
      <c r="J140" s="1">
        <f>VLOOKUP(D140, SURVLOOKUP!$A:$Q, 5, FALSE)</f>
        <v>43182</v>
      </c>
      <c r="K140" s="1">
        <f>VLOOKUP(D140, SURVLOOKUP!$A:$Q, 6, FALSE)</f>
        <v>43235</v>
      </c>
      <c r="L140" s="1">
        <f>VLOOKUP(D140, SURVLOOKUP!$A:$Q, 7, FALSE)</f>
        <v>43277</v>
      </c>
      <c r="M140" s="1">
        <f>VLOOKUP(D140, SURVLOOKUP!$A:$Q, 8, FALSE)</f>
        <v>43227</v>
      </c>
      <c r="N140" s="1">
        <f>VLOOKUP(D140, SURVLOOKUP!$A:$Q, 9, FALSE)</f>
        <v>43332</v>
      </c>
      <c r="O140" s="1" t="str">
        <f>VLOOKUP(D140, SURVLOOKUP!$A:$Q, 10, FALSE)</f>
        <v>NA</v>
      </c>
      <c r="P140" s="1">
        <f>VLOOKUP(D140, OLDSURVLOOKUP!$A:$AA, 19, FALSE)</f>
        <v>44336</v>
      </c>
      <c r="Q140" s="1">
        <f>VLOOKUP(D140, SURVLOOKUP!$A:$Q, 11, FALSE)</f>
        <v>45190</v>
      </c>
      <c r="R140" s="1"/>
      <c r="S140" s="1"/>
      <c r="T140" s="1"/>
      <c r="U140" s="1"/>
      <c r="V140">
        <f>_xlfn.XLOOKUP(D140, OLDSURVLOOKUP!$A:$A, OLDSURVLOOKUP!V:V)</f>
        <v>0</v>
      </c>
      <c r="W140">
        <f>VLOOKUP(D140, SURVLOOKUP!$A:$Q, 14, FALSE)</f>
        <v>0</v>
      </c>
      <c r="X140">
        <f>_xlfn.XLOOKUP(D140, OLDSURVLOOKUP!$A:$A, OLDSURVLOOKUP!X:X)</f>
        <v>0</v>
      </c>
      <c r="Y140">
        <f>VLOOKUP(D140, SURVLOOKUP!$A:$Q, 15, FALSE)</f>
        <v>0</v>
      </c>
      <c r="Z140">
        <f t="shared" si="43"/>
        <v>38.193548387096776</v>
      </c>
      <c r="AA140">
        <f t="shared" si="44"/>
        <v>66.225806451612897</v>
      </c>
      <c r="AB140">
        <f t="shared" si="45"/>
        <v>38.193548387096776</v>
      </c>
      <c r="AC140">
        <f t="shared" si="46"/>
        <v>66.225806451612897</v>
      </c>
      <c r="AD140">
        <f t="shared" si="47"/>
        <v>37.87096774193548</v>
      </c>
      <c r="AE140">
        <f t="shared" ref="AE140:AE145" si="56">IF(W140=0, DATEDIF(J140,Q140,"M")+DATEDIF(J140,Q140,"MD")/DAY(EOMONTH(J140,0)), DATEDIF(J140,S140,"M")+DATEDIF(J140,S140,"MD")/DAY(EOMONTH(J140,0)))</f>
        <v>65.935483870967744</v>
      </c>
      <c r="AF140">
        <f t="shared" si="54"/>
        <v>37.87096774193548</v>
      </c>
      <c r="AG140">
        <f t="shared" si="55"/>
        <v>65.935483870967744</v>
      </c>
      <c r="AH140">
        <f t="shared" si="48"/>
        <v>36.41935483870968</v>
      </c>
      <c r="AI140">
        <f t="shared" si="49"/>
        <v>64.451612903225808</v>
      </c>
      <c r="AJ140">
        <f t="shared" si="50"/>
        <v>36.41935483870968</v>
      </c>
      <c r="AK140">
        <f t="shared" si="51"/>
        <v>64.451612903225808</v>
      </c>
      <c r="AL140">
        <f t="shared" si="53"/>
        <v>1</v>
      </c>
      <c r="AM140" t="str">
        <f t="shared" si="42"/>
        <v>University of Cincinnati</v>
      </c>
      <c r="AN140">
        <v>1</v>
      </c>
      <c r="AO140">
        <v>52</v>
      </c>
      <c r="AP140">
        <f>VLOOKUP(D140, METADATALOOKUP!$A:$AI, 7, FALSE)</f>
        <v>72</v>
      </c>
      <c r="AQ140" t="str">
        <f>VLOOKUP(D140, METADATALOOKUP!$A:$AI, 8, FALSE)</f>
        <v>Female</v>
      </c>
      <c r="AR140" t="str">
        <f>VLOOKUP(D140, METADATALOOKUP!$A:$AI, 9, FALSE)</f>
        <v>Unknown</v>
      </c>
      <c r="AS140" t="str">
        <f>VLOOKUP(D140, METADATALOOKUP!$A:$AI, 11, FALSE)</f>
        <v>Yes</v>
      </c>
      <c r="AT140" t="str">
        <f>VLOOKUP(D140, METADATALOOKUP!$A:$AI, 10, FALSE)</f>
        <v>Hispanic</v>
      </c>
      <c r="AU140" t="str">
        <f>VLOOKUP(D140, METADATALOOKUP!$A:$AI, 12, FALSE)</f>
        <v>Yes</v>
      </c>
      <c r="AV140" t="str">
        <f>VLOOKUP(D140, METADATALOOKUP!$A:$AI, 14, FALSE)</f>
        <v>T4aN2bM0</v>
      </c>
      <c r="AW140" t="str">
        <f>VLOOKUP(D140, METADATALOOKUP!$A:$AI, 6, FALSE)</f>
        <v>High</v>
      </c>
      <c r="AX140" t="str">
        <f>VLOOKUP(D140, METADATALOOKUP!$A:$AI, 19, FALSE)</f>
        <v>Unknown</v>
      </c>
      <c r="AY140">
        <f>LOOKUP(D140, SURVLOOKUP!$A:$A, SURVLOOKUP!$P:$P)</f>
        <v>1</v>
      </c>
      <c r="AZ140" s="46">
        <v>0</v>
      </c>
      <c r="BA140" t="str">
        <f>TEXT(VLOOKUP(D140, METADATALOOKUP!$A:$AI, 34, FALSE), "@")</f>
        <v>&lt; 10%</v>
      </c>
      <c r="BB140" s="47" t="str">
        <f t="shared" si="52"/>
        <v>Non-Responder</v>
      </c>
      <c r="BC140">
        <v>0.05</v>
      </c>
      <c r="BD140" s="1">
        <v>43173</v>
      </c>
    </row>
    <row r="141" spans="1:56" x14ac:dyDescent="0.2">
      <c r="A141" s="3" t="s">
        <v>439</v>
      </c>
      <c r="B141" t="str">
        <f>VLOOKUP(A141, IDSLOOKUP!C:E, 2, FALSE)</f>
        <v>Day 0</v>
      </c>
      <c r="C141" t="str">
        <f>VLOOKUP(D141, METADATALOOKUP!$A:$AI, 13, FALSE)</f>
        <v>Oral Cavity</v>
      </c>
      <c r="D141" t="str">
        <f>VLOOKUP(A141, IDSLOOKUP!C:E, 3, FALSE)</f>
        <v>HN01-22</v>
      </c>
      <c r="E141" s="48">
        <f>VLOOKUP(A141,CFDNALOOKUP!AG:AI,2,FALSE)</f>
        <v>43832</v>
      </c>
      <c r="F141" s="48">
        <f>VLOOKUP(A141,CFDNALOOKUP!AG:AI,3,FALSE)</f>
        <v>43891</v>
      </c>
      <c r="G141" s="1">
        <f>VLOOKUP(D141, SURVLOOKUP!$A:$Q, 2, FALSE)</f>
        <v>43160</v>
      </c>
      <c r="H141" s="1">
        <f>VLOOKUP(D141, SURVLOOKUP!$A:$Q, 3, FALSE)</f>
        <v>43172</v>
      </c>
      <c r="I141" s="1">
        <f>VLOOKUP(D141, SURVLOOKUP!$A:$Q, 4, FALSE)</f>
        <v>43173</v>
      </c>
      <c r="J141" s="1">
        <f>VLOOKUP(D141, SURVLOOKUP!$A:$Q, 5, FALSE)</f>
        <v>43182</v>
      </c>
      <c r="K141" s="1">
        <f>VLOOKUP(D141, SURVLOOKUP!$A:$Q, 6, FALSE)</f>
        <v>43235</v>
      </c>
      <c r="L141" s="1">
        <f>VLOOKUP(D141, SURVLOOKUP!$A:$Q, 7, FALSE)</f>
        <v>43277</v>
      </c>
      <c r="M141" s="1">
        <f>VLOOKUP(D141, SURVLOOKUP!$A:$Q, 8, FALSE)</f>
        <v>43227</v>
      </c>
      <c r="N141" s="1">
        <f>VLOOKUP(D141, SURVLOOKUP!$A:$Q, 9, FALSE)</f>
        <v>43332</v>
      </c>
      <c r="O141" s="1" t="str">
        <f>VLOOKUP(D141, SURVLOOKUP!$A:$Q, 10, FALSE)</f>
        <v>NA</v>
      </c>
      <c r="P141" s="1">
        <f>VLOOKUP(D141, OLDSURVLOOKUP!$A:$AA, 19, FALSE)</f>
        <v>44336</v>
      </c>
      <c r="Q141" s="1">
        <f>VLOOKUP(D141, SURVLOOKUP!$A:$Q, 11, FALSE)</f>
        <v>45190</v>
      </c>
      <c r="R141" s="1"/>
      <c r="S141" s="1"/>
      <c r="T141" s="1"/>
      <c r="U141" s="1"/>
      <c r="V141">
        <f>_xlfn.XLOOKUP(D141, OLDSURVLOOKUP!$A:$A, OLDSURVLOOKUP!V:V)</f>
        <v>0</v>
      </c>
      <c r="W141">
        <f>VLOOKUP(D141, SURVLOOKUP!$A:$Q, 14, FALSE)</f>
        <v>0</v>
      </c>
      <c r="X141">
        <f>_xlfn.XLOOKUP(D141, OLDSURVLOOKUP!$A:$A, OLDSURVLOOKUP!X:X)</f>
        <v>0</v>
      </c>
      <c r="Y141">
        <f>VLOOKUP(D141, SURVLOOKUP!$A:$Q, 15, FALSE)</f>
        <v>0</v>
      </c>
      <c r="Z141">
        <f t="shared" si="43"/>
        <v>38.193548387096776</v>
      </c>
      <c r="AA141">
        <f t="shared" si="44"/>
        <v>66.225806451612897</v>
      </c>
      <c r="AB141">
        <f t="shared" si="45"/>
        <v>38.193548387096776</v>
      </c>
      <c r="AC141">
        <f t="shared" si="46"/>
        <v>66.225806451612897</v>
      </c>
      <c r="AD141">
        <f t="shared" si="47"/>
        <v>37.87096774193548</v>
      </c>
      <c r="AE141">
        <f t="shared" si="56"/>
        <v>65.935483870967744</v>
      </c>
      <c r="AF141">
        <f t="shared" si="54"/>
        <v>37.87096774193548</v>
      </c>
      <c r="AG141">
        <f t="shared" si="55"/>
        <v>65.935483870967744</v>
      </c>
      <c r="AH141">
        <f t="shared" si="48"/>
        <v>36.41935483870968</v>
      </c>
      <c r="AI141">
        <f t="shared" si="49"/>
        <v>64.451612903225808</v>
      </c>
      <c r="AJ141">
        <f t="shared" si="50"/>
        <v>36.41935483870968</v>
      </c>
      <c r="AK141">
        <f t="shared" si="51"/>
        <v>64.451612903225808</v>
      </c>
      <c r="AL141">
        <f t="shared" si="53"/>
        <v>1</v>
      </c>
      <c r="AM141" t="str">
        <f t="shared" si="42"/>
        <v>University of Cincinnati</v>
      </c>
      <c r="AN141">
        <v>1</v>
      </c>
      <c r="AO141">
        <v>52</v>
      </c>
      <c r="AP141">
        <f>VLOOKUP(D141, METADATALOOKUP!$A:$AI, 7, FALSE)</f>
        <v>72</v>
      </c>
      <c r="AQ141" t="str">
        <f>VLOOKUP(D141, METADATALOOKUP!$A:$AI, 8, FALSE)</f>
        <v>Female</v>
      </c>
      <c r="AR141" t="str">
        <f>VLOOKUP(D141, METADATALOOKUP!$A:$AI, 9, FALSE)</f>
        <v>Unknown</v>
      </c>
      <c r="AS141" t="str">
        <f>VLOOKUP(D141, METADATALOOKUP!$A:$AI, 11, FALSE)</f>
        <v>Yes</v>
      </c>
      <c r="AT141" t="str">
        <f>VLOOKUP(D141, METADATALOOKUP!$A:$AI, 10, FALSE)</f>
        <v>Hispanic</v>
      </c>
      <c r="AU141" t="str">
        <f>VLOOKUP(D141, METADATALOOKUP!$A:$AI, 12, FALSE)</f>
        <v>Yes</v>
      </c>
      <c r="AV141" t="str">
        <f>VLOOKUP(D141, METADATALOOKUP!$A:$AI, 14, FALSE)</f>
        <v>T4aN2bM0</v>
      </c>
      <c r="AW141" t="str">
        <f>VLOOKUP(D141, METADATALOOKUP!$A:$AI, 6, FALSE)</f>
        <v>High</v>
      </c>
      <c r="AX141" t="str">
        <f>VLOOKUP(D141, METADATALOOKUP!$A:$AI, 19, FALSE)</f>
        <v>Unknown</v>
      </c>
      <c r="AY141">
        <f>LOOKUP(D141, SURVLOOKUP!$A:$A, SURVLOOKUP!$P:$P)</f>
        <v>1</v>
      </c>
      <c r="AZ141" s="46">
        <v>0</v>
      </c>
      <c r="BA141" t="str">
        <f>TEXT(VLOOKUP(D141, METADATALOOKUP!$A:$AI, 34, FALSE), "@")</f>
        <v>&lt; 10%</v>
      </c>
      <c r="BB141" s="47" t="str">
        <f t="shared" si="52"/>
        <v>Non-Responder</v>
      </c>
      <c r="BC141">
        <v>0.26</v>
      </c>
      <c r="BD141" s="1">
        <v>43182</v>
      </c>
    </row>
    <row r="142" spans="1:56" x14ac:dyDescent="0.2">
      <c r="A142" s="3" t="s">
        <v>440</v>
      </c>
      <c r="B142" t="str">
        <f>VLOOKUP(A142, IDSLOOKUP!C:E, 2, FALSE)</f>
        <v>Adj Wk 1</v>
      </c>
      <c r="C142" t="str">
        <f>VLOOKUP(D142, METADATALOOKUP!$A:$AI, 13, FALSE)</f>
        <v>Oral Cavity</v>
      </c>
      <c r="D142" t="str">
        <f>VLOOKUP(A142, IDSLOOKUP!C:E, 3, FALSE)</f>
        <v>HN01-22</v>
      </c>
      <c r="E142" s="48">
        <f>VLOOKUP(A142,CFDNALOOKUP!AG:AI,2,FALSE)</f>
        <v>43832</v>
      </c>
      <c r="F142" s="48">
        <f>VLOOKUP(A142,CFDNALOOKUP!AG:AI,3,FALSE)</f>
        <v>43887</v>
      </c>
      <c r="G142" s="1">
        <f>VLOOKUP(D142, SURVLOOKUP!$A:$Q, 2, FALSE)</f>
        <v>43160</v>
      </c>
      <c r="H142" s="1">
        <f>VLOOKUP(D142, SURVLOOKUP!$A:$Q, 3, FALSE)</f>
        <v>43172</v>
      </c>
      <c r="I142" s="1">
        <f>VLOOKUP(D142, SURVLOOKUP!$A:$Q, 4, FALSE)</f>
        <v>43173</v>
      </c>
      <c r="J142" s="1">
        <f>VLOOKUP(D142, SURVLOOKUP!$A:$Q, 5, FALSE)</f>
        <v>43182</v>
      </c>
      <c r="K142" s="1">
        <f>VLOOKUP(D142, SURVLOOKUP!$A:$Q, 6, FALSE)</f>
        <v>43235</v>
      </c>
      <c r="L142" s="1">
        <f>VLOOKUP(D142, SURVLOOKUP!$A:$Q, 7, FALSE)</f>
        <v>43277</v>
      </c>
      <c r="M142" s="1">
        <f>VLOOKUP(D142, SURVLOOKUP!$A:$Q, 8, FALSE)</f>
        <v>43227</v>
      </c>
      <c r="N142" s="1">
        <f>VLOOKUP(D142, SURVLOOKUP!$A:$Q, 9, FALSE)</f>
        <v>43332</v>
      </c>
      <c r="O142" s="1" t="str">
        <f>VLOOKUP(D142, SURVLOOKUP!$A:$Q, 10, FALSE)</f>
        <v>NA</v>
      </c>
      <c r="P142" s="1">
        <f>VLOOKUP(D142, OLDSURVLOOKUP!$A:$AA, 19, FALSE)</f>
        <v>44336</v>
      </c>
      <c r="Q142" s="1">
        <f>VLOOKUP(D142, SURVLOOKUP!$A:$Q, 11, FALSE)</f>
        <v>45190</v>
      </c>
      <c r="R142" s="1"/>
      <c r="S142" s="1"/>
      <c r="T142" s="1"/>
      <c r="U142" s="1"/>
      <c r="V142">
        <f>_xlfn.XLOOKUP(D142, OLDSURVLOOKUP!$A:$A, OLDSURVLOOKUP!V:V)</f>
        <v>0</v>
      </c>
      <c r="W142">
        <f>VLOOKUP(D142, SURVLOOKUP!$A:$Q, 14, FALSE)</f>
        <v>0</v>
      </c>
      <c r="X142">
        <f>_xlfn.XLOOKUP(D142, OLDSURVLOOKUP!$A:$A, OLDSURVLOOKUP!X:X)</f>
        <v>0</v>
      </c>
      <c r="Y142">
        <f>VLOOKUP(D142, SURVLOOKUP!$A:$Q, 15, FALSE)</f>
        <v>0</v>
      </c>
      <c r="Z142">
        <f t="shared" si="43"/>
        <v>38.193548387096776</v>
      </c>
      <c r="AA142">
        <f t="shared" si="44"/>
        <v>66.225806451612897</v>
      </c>
      <c r="AB142">
        <f t="shared" si="45"/>
        <v>38.193548387096776</v>
      </c>
      <c r="AC142">
        <f t="shared" si="46"/>
        <v>66.225806451612897</v>
      </c>
      <c r="AD142">
        <f t="shared" si="47"/>
        <v>37.87096774193548</v>
      </c>
      <c r="AE142">
        <f t="shared" si="56"/>
        <v>65.935483870967744</v>
      </c>
      <c r="AF142">
        <f t="shared" si="54"/>
        <v>37.87096774193548</v>
      </c>
      <c r="AG142">
        <f t="shared" si="55"/>
        <v>65.935483870967744</v>
      </c>
      <c r="AH142">
        <f t="shared" si="48"/>
        <v>36.41935483870968</v>
      </c>
      <c r="AI142">
        <f t="shared" si="49"/>
        <v>64.451612903225808</v>
      </c>
      <c r="AJ142">
        <f t="shared" si="50"/>
        <v>36.41935483870968</v>
      </c>
      <c r="AK142">
        <f t="shared" si="51"/>
        <v>64.451612903225808</v>
      </c>
      <c r="AL142">
        <f t="shared" si="53"/>
        <v>1</v>
      </c>
      <c r="AM142" t="str">
        <f t="shared" si="42"/>
        <v>University of Cincinnati</v>
      </c>
      <c r="AN142">
        <v>1</v>
      </c>
      <c r="AO142">
        <v>52</v>
      </c>
      <c r="AP142">
        <f>VLOOKUP(D142, METADATALOOKUP!$A:$AI, 7, FALSE)</f>
        <v>72</v>
      </c>
      <c r="AQ142" t="str">
        <f>VLOOKUP(D142, METADATALOOKUP!$A:$AI, 8, FALSE)</f>
        <v>Female</v>
      </c>
      <c r="AR142" t="str">
        <f>VLOOKUP(D142, METADATALOOKUP!$A:$AI, 9, FALSE)</f>
        <v>Unknown</v>
      </c>
      <c r="AS142" t="str">
        <f>VLOOKUP(D142, METADATALOOKUP!$A:$AI, 11, FALSE)</f>
        <v>Yes</v>
      </c>
      <c r="AT142" t="str">
        <f>VLOOKUP(D142, METADATALOOKUP!$A:$AI, 10, FALSE)</f>
        <v>Hispanic</v>
      </c>
      <c r="AU142" t="str">
        <f>VLOOKUP(D142, METADATALOOKUP!$A:$AI, 12, FALSE)</f>
        <v>Yes</v>
      </c>
      <c r="AV142" t="str">
        <f>VLOOKUP(D142, METADATALOOKUP!$A:$AI, 14, FALSE)</f>
        <v>T4aN2bM0</v>
      </c>
      <c r="AW142" t="str">
        <f>VLOOKUP(D142, METADATALOOKUP!$A:$AI, 6, FALSE)</f>
        <v>High</v>
      </c>
      <c r="AX142" t="str">
        <f>VLOOKUP(D142, METADATALOOKUP!$A:$AI, 19, FALSE)</f>
        <v>Unknown</v>
      </c>
      <c r="AY142">
        <f>LOOKUP(D142, SURVLOOKUP!$A:$A, SURVLOOKUP!$P:$P)</f>
        <v>1</v>
      </c>
      <c r="AZ142" s="46">
        <v>0</v>
      </c>
      <c r="BA142" t="str">
        <f>TEXT(VLOOKUP(D142, METADATALOOKUP!$A:$AI, 34, FALSE), "@")</f>
        <v>&lt; 10%</v>
      </c>
      <c r="BB142" s="47" t="str">
        <f t="shared" si="52"/>
        <v>Non-Responder</v>
      </c>
      <c r="BC142">
        <v>1.0900000000000001</v>
      </c>
      <c r="BD142" s="1">
        <v>43227</v>
      </c>
    </row>
    <row r="143" spans="1:56" x14ac:dyDescent="0.2">
      <c r="A143" s="3" t="s">
        <v>441</v>
      </c>
      <c r="B143" t="str">
        <f>VLOOKUP(A143, IDSLOOKUP!C:E, 2, FALSE)</f>
        <v>Screen</v>
      </c>
      <c r="C143" t="str">
        <f>VLOOKUP(D143, METADATALOOKUP!$A:$AI, 13, FALSE)</f>
        <v>Oral Cavity</v>
      </c>
      <c r="D143" t="str">
        <f>VLOOKUP(A143, IDSLOOKUP!C:E, 3, FALSE)</f>
        <v>HN01-23</v>
      </c>
      <c r="E143" s="48">
        <f>VLOOKUP(A143,CFDNALOOKUP!AG:AI,2,FALSE)</f>
        <v>43832</v>
      </c>
      <c r="F143" s="48">
        <f>VLOOKUP(A143,CFDNALOOKUP!AG:AI,3,FALSE)</f>
        <v>43889</v>
      </c>
      <c r="G143" s="1">
        <f>VLOOKUP(D143, SURVLOOKUP!$A:$Q, 2, FALSE)</f>
        <v>43146</v>
      </c>
      <c r="H143" s="1">
        <f>VLOOKUP(D143, SURVLOOKUP!$A:$Q, 3, FALSE)</f>
        <v>43181</v>
      </c>
      <c r="I143" s="1">
        <f>VLOOKUP(D143, SURVLOOKUP!$A:$Q, 4, FALSE)</f>
        <v>43182</v>
      </c>
      <c r="J143" s="1">
        <f>VLOOKUP(D143, SURVLOOKUP!$A:$Q, 5, FALSE)</f>
        <v>43192</v>
      </c>
      <c r="K143" s="1">
        <f>VLOOKUP(D143, SURVLOOKUP!$A:$Q, 6, FALSE)</f>
        <v>43229</v>
      </c>
      <c r="L143" s="1">
        <f>VLOOKUP(D143, SURVLOOKUP!$A:$Q, 7, FALSE)</f>
        <v>43277</v>
      </c>
      <c r="M143" s="1">
        <f>VLOOKUP(D143, SURVLOOKUP!$A:$Q, 8, FALSE)</f>
        <v>43222</v>
      </c>
      <c r="N143" s="1">
        <f>VLOOKUP(D143, SURVLOOKUP!$A:$Q, 9, FALSE)</f>
        <v>43277</v>
      </c>
      <c r="O143" s="1">
        <f>VLOOKUP(D143, SURVLOOKUP!$A:$Q, 10, FALSE)</f>
        <v>43249</v>
      </c>
      <c r="P143" s="1">
        <f>VLOOKUP(D143, OLDSURVLOOKUP!$A:$AA, 19, FALSE)</f>
        <v>44069</v>
      </c>
      <c r="Q143" s="1">
        <f>VLOOKUP(D143, SURVLOOKUP!$A:$Q, 11, FALSE)</f>
        <v>44069</v>
      </c>
      <c r="R143" s="1">
        <f>VLOOKUP(D143, OLDSURVLOOKUP!$A:$AA, 20, FALSE)</f>
        <v>43838</v>
      </c>
      <c r="S143" s="1">
        <f>VLOOKUP(D143, SURVLOOKUP!$A:$Q, 12, FALSE)</f>
        <v>43838</v>
      </c>
      <c r="T143" s="1">
        <f>VLOOKUP(D143, OLDSURVLOOKUP!$A:$AA, 21, FALSE)</f>
        <v>44070</v>
      </c>
      <c r="U143" s="1">
        <f>VLOOKUP(D143, SURVLOOKUP!$A:$Q, 13, FALSE)</f>
        <v>44070</v>
      </c>
      <c r="V143">
        <f>_xlfn.XLOOKUP(D143, OLDSURVLOOKUP!$A:$A, OLDSURVLOOKUP!V:V)</f>
        <v>1</v>
      </c>
      <c r="W143">
        <f>VLOOKUP(D143, SURVLOOKUP!$A:$Q, 14, FALSE)</f>
        <v>1</v>
      </c>
      <c r="X143">
        <f>_xlfn.XLOOKUP(D143, OLDSURVLOOKUP!$A:$A, OLDSURVLOOKUP!X:X)</f>
        <v>1</v>
      </c>
      <c r="Y143">
        <f>VLOOKUP(D143, SURVLOOKUP!$A:$Q, 15, FALSE)</f>
        <v>1</v>
      </c>
      <c r="Z143">
        <f t="shared" si="43"/>
        <v>21.516129032258064</v>
      </c>
      <c r="AA143">
        <f t="shared" si="44"/>
        <v>21.516129032258064</v>
      </c>
      <c r="AB143">
        <f t="shared" si="45"/>
        <v>29.129032258064516</v>
      </c>
      <c r="AC143">
        <f t="shared" si="46"/>
        <v>29.129032258064516</v>
      </c>
      <c r="AD143">
        <f t="shared" si="47"/>
        <v>21.2</v>
      </c>
      <c r="AE143">
        <f t="shared" si="56"/>
        <v>21.2</v>
      </c>
      <c r="AF143">
        <f t="shared" si="54"/>
        <v>28.833333333333332</v>
      </c>
      <c r="AG143">
        <f t="shared" si="55"/>
        <v>28.833333333333332</v>
      </c>
      <c r="AH143">
        <f t="shared" si="48"/>
        <v>20.193548387096776</v>
      </c>
      <c r="AI143">
        <f t="shared" si="49"/>
        <v>20.193548387096776</v>
      </c>
      <c r="AJ143">
        <f t="shared" si="50"/>
        <v>27.806451612903224</v>
      </c>
      <c r="AK143">
        <f t="shared" si="51"/>
        <v>27.806451612903224</v>
      </c>
      <c r="AL143">
        <f t="shared" si="53"/>
        <v>1</v>
      </c>
      <c r="AM143" t="str">
        <f t="shared" si="42"/>
        <v>University of Cincinnati</v>
      </c>
      <c r="AN143">
        <v>0</v>
      </c>
      <c r="AO143">
        <v>53</v>
      </c>
      <c r="AP143">
        <f>VLOOKUP(D143, METADATALOOKUP!$A:$AI, 7, FALSE)</f>
        <v>70</v>
      </c>
      <c r="AQ143" t="str">
        <f>VLOOKUP(D143, METADATALOOKUP!$A:$AI, 8, FALSE)</f>
        <v>Male</v>
      </c>
      <c r="AR143" t="str">
        <f>VLOOKUP(D143, METADATALOOKUP!$A:$AI, 9, FALSE)</f>
        <v>White</v>
      </c>
      <c r="AS143" t="str">
        <f>VLOOKUP(D143, METADATALOOKUP!$A:$AI, 11, FALSE)</f>
        <v>No</v>
      </c>
      <c r="AT143" t="str">
        <f>VLOOKUP(D143, METADATALOOKUP!$A:$AI, 10, FALSE)</f>
        <v>Non-Hispanic</v>
      </c>
      <c r="AU143" t="str">
        <f>VLOOKUP(D143, METADATALOOKUP!$A:$AI, 12, FALSE)</f>
        <v>No</v>
      </c>
      <c r="AV143" t="str">
        <f>VLOOKUP(D143, METADATALOOKUP!$A:$AI, 14, FALSE)</f>
        <v>T4aN2bM0</v>
      </c>
      <c r="AW143" t="str">
        <f>VLOOKUP(D143, METADATALOOKUP!$A:$AI, 6, FALSE)</f>
        <v>High</v>
      </c>
      <c r="AX143" t="str">
        <f>VLOOKUP(D143, METADATALOOKUP!$A:$AI, 19, FALSE)</f>
        <v>Unknown</v>
      </c>
      <c r="AY143">
        <f>LOOKUP(D143, SURVLOOKUP!$A:$A, SURVLOOKUP!$P:$P)</f>
        <v>2</v>
      </c>
      <c r="AZ143" s="46">
        <v>0</v>
      </c>
      <c r="BA143" t="str">
        <f>TEXT(VLOOKUP(D143, METADATALOOKUP!$A:$AI, 34, FALSE), "@")</f>
        <v>&lt; 10%</v>
      </c>
      <c r="BB143" s="47" t="str">
        <f t="shared" si="52"/>
        <v>Non-Responder</v>
      </c>
      <c r="BC143">
        <v>0.3</v>
      </c>
      <c r="BD143" s="1">
        <v>43181</v>
      </c>
    </row>
    <row r="144" spans="1:56" x14ac:dyDescent="0.2">
      <c r="A144" s="3" t="s">
        <v>443</v>
      </c>
      <c r="B144" t="str">
        <f>VLOOKUP(A144, IDSLOOKUP!C:E, 2, FALSE)</f>
        <v>Day 0</v>
      </c>
      <c r="C144" t="str">
        <f>VLOOKUP(D144, METADATALOOKUP!$A:$AI, 13, FALSE)</f>
        <v>Oral Cavity</v>
      </c>
      <c r="D144" t="str">
        <f>VLOOKUP(A144, IDSLOOKUP!C:E, 3, FALSE)</f>
        <v>HN01-23</v>
      </c>
      <c r="E144" s="48">
        <f>VLOOKUP(A144,CFDNALOOKUP!AG:AI,2,FALSE)</f>
        <v>43832</v>
      </c>
      <c r="F144" s="48">
        <f>VLOOKUP(A144,CFDNALOOKUP!AG:AI,3,FALSE)</f>
        <v>43887</v>
      </c>
      <c r="G144" s="1">
        <f>VLOOKUP(D144, SURVLOOKUP!$A:$Q, 2, FALSE)</f>
        <v>43146</v>
      </c>
      <c r="H144" s="1">
        <f>VLOOKUP(D144, SURVLOOKUP!$A:$Q, 3, FALSE)</f>
        <v>43181</v>
      </c>
      <c r="I144" s="1">
        <f>VLOOKUP(D144, SURVLOOKUP!$A:$Q, 4, FALSE)</f>
        <v>43182</v>
      </c>
      <c r="J144" s="1">
        <f>VLOOKUP(D144, SURVLOOKUP!$A:$Q, 5, FALSE)</f>
        <v>43192</v>
      </c>
      <c r="K144" s="1">
        <f>VLOOKUP(D144, SURVLOOKUP!$A:$Q, 6, FALSE)</f>
        <v>43229</v>
      </c>
      <c r="L144" s="1">
        <f>VLOOKUP(D144, SURVLOOKUP!$A:$Q, 7, FALSE)</f>
        <v>43277</v>
      </c>
      <c r="M144" s="1">
        <f>VLOOKUP(D144, SURVLOOKUP!$A:$Q, 8, FALSE)</f>
        <v>43222</v>
      </c>
      <c r="N144" s="1">
        <f>VLOOKUP(D144, SURVLOOKUP!$A:$Q, 9, FALSE)</f>
        <v>43277</v>
      </c>
      <c r="O144" s="1">
        <f>VLOOKUP(D144, SURVLOOKUP!$A:$Q, 10, FALSE)</f>
        <v>43249</v>
      </c>
      <c r="P144" s="1">
        <f>VLOOKUP(D144, OLDSURVLOOKUP!$A:$AA, 19, FALSE)</f>
        <v>44069</v>
      </c>
      <c r="Q144" s="1">
        <f>VLOOKUP(D144, SURVLOOKUP!$A:$Q, 11, FALSE)</f>
        <v>44069</v>
      </c>
      <c r="R144" s="1">
        <f>VLOOKUP(D144, OLDSURVLOOKUP!$A:$AA, 20, FALSE)</f>
        <v>43838</v>
      </c>
      <c r="S144" s="1">
        <f>VLOOKUP(D144, SURVLOOKUP!$A:$Q, 12, FALSE)</f>
        <v>43838</v>
      </c>
      <c r="T144" s="1">
        <f>VLOOKUP(D144, OLDSURVLOOKUP!$A:$AA, 21, FALSE)</f>
        <v>44070</v>
      </c>
      <c r="U144" s="1">
        <f>VLOOKUP(D144, SURVLOOKUP!$A:$Q, 13, FALSE)</f>
        <v>44070</v>
      </c>
      <c r="V144">
        <f>_xlfn.XLOOKUP(D144, OLDSURVLOOKUP!$A:$A, OLDSURVLOOKUP!V:V)</f>
        <v>1</v>
      </c>
      <c r="W144">
        <f>VLOOKUP(D144, SURVLOOKUP!$A:$Q, 14, FALSE)</f>
        <v>1</v>
      </c>
      <c r="X144">
        <f>_xlfn.XLOOKUP(D144, OLDSURVLOOKUP!$A:$A, OLDSURVLOOKUP!X:X)</f>
        <v>1</v>
      </c>
      <c r="Y144">
        <f>VLOOKUP(D144, SURVLOOKUP!$A:$Q, 15, FALSE)</f>
        <v>1</v>
      </c>
      <c r="Z144">
        <f t="shared" si="43"/>
        <v>21.516129032258064</v>
      </c>
      <c r="AA144">
        <f t="shared" si="44"/>
        <v>21.516129032258064</v>
      </c>
      <c r="AB144">
        <f t="shared" si="45"/>
        <v>29.129032258064516</v>
      </c>
      <c r="AC144">
        <f t="shared" si="46"/>
        <v>29.129032258064516</v>
      </c>
      <c r="AD144">
        <f t="shared" si="47"/>
        <v>21.2</v>
      </c>
      <c r="AE144">
        <f t="shared" si="56"/>
        <v>21.2</v>
      </c>
      <c r="AF144">
        <f t="shared" si="54"/>
        <v>28.833333333333332</v>
      </c>
      <c r="AG144">
        <f t="shared" si="55"/>
        <v>28.833333333333332</v>
      </c>
      <c r="AH144">
        <f t="shared" si="48"/>
        <v>20.193548387096776</v>
      </c>
      <c r="AI144">
        <f t="shared" si="49"/>
        <v>20.193548387096776</v>
      </c>
      <c r="AJ144">
        <f t="shared" si="50"/>
        <v>27.806451612903224</v>
      </c>
      <c r="AK144">
        <f t="shared" si="51"/>
        <v>27.806451612903224</v>
      </c>
      <c r="AL144">
        <f t="shared" si="53"/>
        <v>1</v>
      </c>
      <c r="AM144" t="str">
        <f t="shared" si="42"/>
        <v>University of Cincinnati</v>
      </c>
      <c r="AN144">
        <v>0</v>
      </c>
      <c r="AO144">
        <v>53</v>
      </c>
      <c r="AP144">
        <f>VLOOKUP(D144, METADATALOOKUP!$A:$AI, 7, FALSE)</f>
        <v>70</v>
      </c>
      <c r="AQ144" t="str">
        <f>VLOOKUP(D144, METADATALOOKUP!$A:$AI, 8, FALSE)</f>
        <v>Male</v>
      </c>
      <c r="AR144" t="str">
        <f>VLOOKUP(D144, METADATALOOKUP!$A:$AI, 9, FALSE)</f>
        <v>White</v>
      </c>
      <c r="AS144" t="str">
        <f>VLOOKUP(D144, METADATALOOKUP!$A:$AI, 11, FALSE)</f>
        <v>No</v>
      </c>
      <c r="AT144" t="str">
        <f>VLOOKUP(D144, METADATALOOKUP!$A:$AI, 10, FALSE)</f>
        <v>Non-Hispanic</v>
      </c>
      <c r="AU144" t="str">
        <f>VLOOKUP(D144, METADATALOOKUP!$A:$AI, 12, FALSE)</f>
        <v>No</v>
      </c>
      <c r="AV144" t="str">
        <f>VLOOKUP(D144, METADATALOOKUP!$A:$AI, 14, FALSE)</f>
        <v>T4aN2bM0</v>
      </c>
      <c r="AW144" t="str">
        <f>VLOOKUP(D144, METADATALOOKUP!$A:$AI, 6, FALSE)</f>
        <v>High</v>
      </c>
      <c r="AX144" t="str">
        <f>VLOOKUP(D144, METADATALOOKUP!$A:$AI, 19, FALSE)</f>
        <v>Unknown</v>
      </c>
      <c r="AY144">
        <f>LOOKUP(D144, SURVLOOKUP!$A:$A, SURVLOOKUP!$P:$P)</f>
        <v>2</v>
      </c>
      <c r="AZ144" s="46">
        <v>0</v>
      </c>
      <c r="BA144" t="str">
        <f>TEXT(VLOOKUP(D144, METADATALOOKUP!$A:$AI, 34, FALSE), "@")</f>
        <v>&lt; 10%</v>
      </c>
      <c r="BB144" s="47" t="str">
        <f t="shared" si="52"/>
        <v>Non-Responder</v>
      </c>
      <c r="BC144">
        <v>0.314</v>
      </c>
      <c r="BD144" s="1">
        <v>43189</v>
      </c>
    </row>
    <row r="145" spans="1:56" x14ac:dyDescent="0.2">
      <c r="A145" s="3" t="s">
        <v>444</v>
      </c>
      <c r="B145" t="str">
        <f>VLOOKUP(A145, IDSLOOKUP!C:E, 2, FALSE)</f>
        <v>Adj Wk 1</v>
      </c>
      <c r="C145" t="str">
        <f>VLOOKUP(D145, METADATALOOKUP!$A:$AI, 13, FALSE)</f>
        <v>Oral Cavity</v>
      </c>
      <c r="D145" t="str">
        <f>VLOOKUP(A145, IDSLOOKUP!C:E, 3, FALSE)</f>
        <v>HN01-23</v>
      </c>
      <c r="E145" s="48">
        <f>VLOOKUP(A145,CFDNALOOKUP!AG:AI,2,FALSE)</f>
        <v>43832</v>
      </c>
      <c r="F145" s="48">
        <f>VLOOKUP(A145,CFDNALOOKUP!AG:AI,3,FALSE)</f>
        <v>43898</v>
      </c>
      <c r="G145" s="1">
        <f>VLOOKUP(D145, SURVLOOKUP!$A:$Q, 2, FALSE)</f>
        <v>43146</v>
      </c>
      <c r="H145" s="1">
        <f>VLOOKUP(D145, SURVLOOKUP!$A:$Q, 3, FALSE)</f>
        <v>43181</v>
      </c>
      <c r="I145" s="1">
        <f>VLOOKUP(D145, SURVLOOKUP!$A:$Q, 4, FALSE)</f>
        <v>43182</v>
      </c>
      <c r="J145" s="1">
        <f>VLOOKUP(D145, SURVLOOKUP!$A:$Q, 5, FALSE)</f>
        <v>43192</v>
      </c>
      <c r="K145" s="1">
        <f>VLOOKUP(D145, SURVLOOKUP!$A:$Q, 6, FALSE)</f>
        <v>43229</v>
      </c>
      <c r="L145" s="1">
        <f>VLOOKUP(D145, SURVLOOKUP!$A:$Q, 7, FALSE)</f>
        <v>43277</v>
      </c>
      <c r="M145" s="1">
        <f>VLOOKUP(D145, SURVLOOKUP!$A:$Q, 8, FALSE)</f>
        <v>43222</v>
      </c>
      <c r="N145" s="1">
        <f>VLOOKUP(D145, SURVLOOKUP!$A:$Q, 9, FALSE)</f>
        <v>43277</v>
      </c>
      <c r="O145" s="1">
        <f>VLOOKUP(D145, SURVLOOKUP!$A:$Q, 10, FALSE)</f>
        <v>43249</v>
      </c>
      <c r="P145" s="1">
        <f>VLOOKUP(D145, OLDSURVLOOKUP!$A:$AA, 19, FALSE)</f>
        <v>44069</v>
      </c>
      <c r="Q145" s="1">
        <f>VLOOKUP(D145, SURVLOOKUP!$A:$Q, 11, FALSE)</f>
        <v>44069</v>
      </c>
      <c r="R145" s="1">
        <f>VLOOKUP(D145, OLDSURVLOOKUP!$A:$AA, 20, FALSE)</f>
        <v>43838</v>
      </c>
      <c r="S145" s="1">
        <f>VLOOKUP(D145, SURVLOOKUP!$A:$Q, 12, FALSE)</f>
        <v>43838</v>
      </c>
      <c r="T145" s="1">
        <f>VLOOKUP(D145, OLDSURVLOOKUP!$A:$AA, 21, FALSE)</f>
        <v>44070</v>
      </c>
      <c r="U145" s="1">
        <f>VLOOKUP(D145, SURVLOOKUP!$A:$Q, 13, FALSE)</f>
        <v>44070</v>
      </c>
      <c r="V145">
        <f>_xlfn.XLOOKUP(D145, OLDSURVLOOKUP!$A:$A, OLDSURVLOOKUP!V:V)</f>
        <v>1</v>
      </c>
      <c r="W145">
        <f>VLOOKUP(D145, SURVLOOKUP!$A:$Q, 14, FALSE)</f>
        <v>1</v>
      </c>
      <c r="X145">
        <f>_xlfn.XLOOKUP(D145, OLDSURVLOOKUP!$A:$A, OLDSURVLOOKUP!X:X)</f>
        <v>1</v>
      </c>
      <c r="Y145">
        <f>VLOOKUP(D145, SURVLOOKUP!$A:$Q, 15, FALSE)</f>
        <v>1</v>
      </c>
      <c r="Z145">
        <f t="shared" si="43"/>
        <v>21.516129032258064</v>
      </c>
      <c r="AA145">
        <f t="shared" si="44"/>
        <v>21.516129032258064</v>
      </c>
      <c r="AB145">
        <f t="shared" si="45"/>
        <v>29.129032258064516</v>
      </c>
      <c r="AC145">
        <f t="shared" si="46"/>
        <v>29.129032258064516</v>
      </c>
      <c r="AD145">
        <f t="shared" si="47"/>
        <v>21.2</v>
      </c>
      <c r="AE145">
        <f t="shared" si="56"/>
        <v>21.2</v>
      </c>
      <c r="AF145">
        <f t="shared" si="54"/>
        <v>28.833333333333332</v>
      </c>
      <c r="AG145">
        <f t="shared" si="55"/>
        <v>28.833333333333332</v>
      </c>
      <c r="AH145">
        <f t="shared" si="48"/>
        <v>20.193548387096776</v>
      </c>
      <c r="AI145">
        <f t="shared" si="49"/>
        <v>20.193548387096776</v>
      </c>
      <c r="AJ145">
        <f t="shared" si="50"/>
        <v>27.806451612903224</v>
      </c>
      <c r="AK145">
        <f t="shared" si="51"/>
        <v>27.806451612903224</v>
      </c>
      <c r="AL145">
        <f t="shared" si="53"/>
        <v>1</v>
      </c>
      <c r="AM145" t="str">
        <f t="shared" si="42"/>
        <v>University of Cincinnati</v>
      </c>
      <c r="AN145">
        <v>0</v>
      </c>
      <c r="AO145">
        <v>53</v>
      </c>
      <c r="AP145">
        <f>VLOOKUP(D145, METADATALOOKUP!$A:$AI, 7, FALSE)</f>
        <v>70</v>
      </c>
      <c r="AQ145" t="str">
        <f>VLOOKUP(D145, METADATALOOKUP!$A:$AI, 8, FALSE)</f>
        <v>Male</v>
      </c>
      <c r="AR145" t="str">
        <f>VLOOKUP(D145, METADATALOOKUP!$A:$AI, 9, FALSE)</f>
        <v>White</v>
      </c>
      <c r="AS145" t="str">
        <f>VLOOKUP(D145, METADATALOOKUP!$A:$AI, 11, FALSE)</f>
        <v>No</v>
      </c>
      <c r="AT145" t="str">
        <f>VLOOKUP(D145, METADATALOOKUP!$A:$AI, 10, FALSE)</f>
        <v>Non-Hispanic</v>
      </c>
      <c r="AU145" t="str">
        <f>VLOOKUP(D145, METADATALOOKUP!$A:$AI, 12, FALSE)</f>
        <v>No</v>
      </c>
      <c r="AV145" t="str">
        <f>VLOOKUP(D145, METADATALOOKUP!$A:$AI, 14, FALSE)</f>
        <v>T4aN2bM0</v>
      </c>
      <c r="AW145" t="str">
        <f>VLOOKUP(D145, METADATALOOKUP!$A:$AI, 6, FALSE)</f>
        <v>High</v>
      </c>
      <c r="AX145" t="str">
        <f>VLOOKUP(D145, METADATALOOKUP!$A:$AI, 19, FALSE)</f>
        <v>Unknown</v>
      </c>
      <c r="AY145">
        <f>LOOKUP(D145, SURVLOOKUP!$A:$A, SURVLOOKUP!$P:$P)</f>
        <v>2</v>
      </c>
      <c r="AZ145" s="46">
        <v>0</v>
      </c>
      <c r="BA145" t="str">
        <f>TEXT(VLOOKUP(D145, METADATALOOKUP!$A:$AI, 34, FALSE), "@")</f>
        <v>&lt; 10%</v>
      </c>
      <c r="BB145" s="47" t="str">
        <f t="shared" si="52"/>
        <v>Non-Responder</v>
      </c>
      <c r="BC145">
        <v>0.188</v>
      </c>
      <c r="BD145" s="1">
        <v>43223</v>
      </c>
    </row>
    <row r="146" spans="1:56" x14ac:dyDescent="0.2">
      <c r="A146" s="3" t="s">
        <v>445</v>
      </c>
      <c r="B146" t="str">
        <f>VLOOKUP(A146, IDSLOOKUP!C:E, 2, FALSE)</f>
        <v>Screen</v>
      </c>
      <c r="C146" t="str">
        <f>(_xlfn.XLOOKUP(D146,RAWMETADATALOOKUP_P1!A:A,RAWMETADATALOOKUP_P1!M:M))</f>
        <v>Oral Cavity</v>
      </c>
      <c r="D146" t="str">
        <f>VLOOKUP(A146, IDSLOOKUP!C:E, 3, FALSE)</f>
        <v>HN01-26</v>
      </c>
      <c r="E146" s="48">
        <f>VLOOKUP(A146,CFDNALOOKUP!AG:AI,2,FALSE)</f>
        <v>43832</v>
      </c>
      <c r="F146" s="48">
        <f>VLOOKUP(A146,CFDNALOOKUP!AG:AI,3,FALSE)</f>
        <v>43888</v>
      </c>
      <c r="G146" s="1">
        <f>VLOOKUP(D146, SURVLOOKUP!$A:$Q, 2, FALSE)</f>
        <v>43271</v>
      </c>
      <c r="H146" s="1">
        <f>VLOOKUP(D146, SURVLOOKUP!$A:$Q, 3, FALSE)</f>
        <v>43319</v>
      </c>
      <c r="I146" s="1">
        <f>VLOOKUP(D146, SURVLOOKUP!$A:$Q, 4, FALSE)</f>
        <v>43319</v>
      </c>
      <c r="J146" s="1">
        <f>VLOOKUP(D146, SURVLOOKUP!$A:$Q, 5, FALSE)</f>
        <v>43326</v>
      </c>
      <c r="K146" s="1" t="str">
        <f>VLOOKUP(D146, SURVLOOKUP!$A:$Q, 6, FALSE)</f>
        <v>NA</v>
      </c>
      <c r="L146" s="1" t="str">
        <f>VLOOKUP(D146, SURVLOOKUP!$A:$Q, 7, FALSE)</f>
        <v>NA</v>
      </c>
      <c r="M146" s="1" t="str">
        <f>VLOOKUP(D146, SURVLOOKUP!$A:$Q, 8, FALSE)</f>
        <v>NA</v>
      </c>
      <c r="N146" s="1">
        <f>VLOOKUP(D146, SURVLOOKUP!$A:$Q, 9, FALSE)</f>
        <v>43376</v>
      </c>
      <c r="O146" s="1">
        <f>VLOOKUP(D146, SURVLOOKUP!$A:$Q, 10, FALSE)</f>
        <v>43376</v>
      </c>
      <c r="P146" s="1">
        <f>VLOOKUP(D146, OLDSURVLOOKUP!$A:$AA, 19, FALSE)</f>
        <v>43376</v>
      </c>
      <c r="Q146" s="1">
        <f>VLOOKUP(D146, SURVLOOKUP!$A:$Q, 11, FALSE)</f>
        <v>43326</v>
      </c>
      <c r="R146" s="1"/>
      <c r="S146" s="1"/>
      <c r="T146" s="1"/>
      <c r="U146" s="1"/>
      <c r="V146">
        <f>_xlfn.XLOOKUP(D146, OLDSURVLOOKUP!$A:$A, OLDSURVLOOKUP!V:V)</f>
        <v>0</v>
      </c>
      <c r="W146">
        <f>VLOOKUP(D146, SURVLOOKUP!$A:$Q, 14, FALSE)</f>
        <v>0</v>
      </c>
      <c r="X146">
        <f>_xlfn.XLOOKUP(D146, OLDSURVLOOKUP!$A:$A, OLDSURVLOOKUP!X:X)</f>
        <v>0</v>
      </c>
      <c r="Y146">
        <f>VLOOKUP(D146, SURVLOOKUP!$A:$Q, 15, FALSE)</f>
        <v>0</v>
      </c>
      <c r="Z146">
        <f t="shared" si="43"/>
        <v>1.838709677419355</v>
      </c>
      <c r="AA146">
        <f t="shared" si="44"/>
        <v>0.22580645161290322</v>
      </c>
      <c r="AB146">
        <f t="shared" si="45"/>
        <v>1.838709677419355</v>
      </c>
      <c r="AC146">
        <f t="shared" si="46"/>
        <v>0.22580645161290322</v>
      </c>
      <c r="AL146">
        <f t="shared" si="53"/>
        <v>1</v>
      </c>
      <c r="AM146" t="str">
        <f t="shared" si="42"/>
        <v>University of Cincinnati</v>
      </c>
      <c r="AN146">
        <v>0</v>
      </c>
      <c r="AO146">
        <v>54</v>
      </c>
      <c r="AP146">
        <f>(_xlfn.XLOOKUP($D146,RAWMETADATALOOKUP_P1!$A:$A,RAWMETADATALOOKUP_P1!F:F))</f>
        <v>69</v>
      </c>
      <c r="AQ146" t="str">
        <f>(_xlfn.XLOOKUP($D146,RAWMETADATALOOKUP_P1!$A:$A,RAWMETADATALOOKUP_P1!G:G))</f>
        <v>Male</v>
      </c>
      <c r="AR146" t="str">
        <f>(_xlfn.XLOOKUP($D146,RAWMETADATALOOKUP_P1!$A:$A,RAWMETADATALOOKUP_P1!H:H))</f>
        <v>White</v>
      </c>
      <c r="AS146" t="str">
        <f>(_xlfn.XLOOKUP($D146,RAWMETADATALOOKUP_P1!$A:$A,RAWMETADATALOOKUP_P1!I:I))</f>
        <v>Yes</v>
      </c>
      <c r="AT146" t="str">
        <f>(_xlfn.XLOOKUP($D146,RAWMETADATALOOKUP_P1!$A:$A,RAWMETADATALOOKUP_P1!J:J))</f>
        <v>Non-Hispanic</v>
      </c>
      <c r="AU146" t="str">
        <f>(_xlfn.XLOOKUP($D146,RAWMETADATALOOKUP_P1!$A:$A,RAWMETADATALOOKUP_P1!K:K))</f>
        <v>Yes</v>
      </c>
      <c r="AV146" t="str">
        <f>(_xlfn.XLOOKUP($D146,RAWMETADATALOOKUP_P1!$A:$A,RAWMETADATALOOKUP_P1!Q:Q))</f>
        <v>T3N2cM0</v>
      </c>
      <c r="AW146" t="str">
        <f>LEFT(_xlfn.XLOOKUP(D146, RAWMETADATALOOKUP_P2!A:A,RAWMETADATALOOKUP_P2!G:G), FIND(" ", _xlfn.XLOOKUP(D146, RAWMETADATALOOKUP_P2!A:A,RAWMETADATALOOKUP_P2!G:G)&amp;" ")-1)</f>
        <v>Intermediate</v>
      </c>
      <c r="AX146" t="str">
        <f>(_xlfn.XLOOKUP($D146,RAWMETADATALOOKUP_P1!$A:$A,RAWMETADATALOOKUP_P1!R:R))</f>
        <v>Unknown</v>
      </c>
      <c r="AY146">
        <f>LOOKUP(D146, SURVLOOKUP!$A:$A, SURVLOOKUP!$P:$P)</f>
        <v>0</v>
      </c>
      <c r="AZ146" s="46">
        <v>0</v>
      </c>
      <c r="BA146" t="s">
        <v>413</v>
      </c>
      <c r="BB146" s="47" t="str">
        <f t="shared" si="52"/>
        <v>Non-Responder</v>
      </c>
      <c r="BC146">
        <v>0.3</v>
      </c>
      <c r="BD146" s="1">
        <v>43320</v>
      </c>
    </row>
    <row r="147" spans="1:56" x14ac:dyDescent="0.2">
      <c r="A147" s="3" t="s">
        <v>448</v>
      </c>
      <c r="B147" t="str">
        <f>VLOOKUP(A147, IDSLOOKUP!C:E, 2, FALSE)</f>
        <v>Day 0</v>
      </c>
      <c r="C147" t="str">
        <f>(_xlfn.XLOOKUP(D147,RAWMETADATALOOKUP_P1!A:A,RAWMETADATALOOKUP_P1!M:M))</f>
        <v>Oral Cavity</v>
      </c>
      <c r="D147" t="str">
        <f>VLOOKUP(A147, IDSLOOKUP!C:E, 3, FALSE)</f>
        <v>HN01-26</v>
      </c>
      <c r="E147" s="48">
        <f>VLOOKUP(A147,CFDNALOOKUP!AG:AI,2,FALSE)</f>
        <v>43832</v>
      </c>
      <c r="F147" s="48">
        <f>VLOOKUP(A147,CFDNALOOKUP!AG:AI,3,FALSE)</f>
        <v>43891</v>
      </c>
      <c r="G147" s="1">
        <f>VLOOKUP(D147, SURVLOOKUP!$A:$Q, 2, FALSE)</f>
        <v>43271</v>
      </c>
      <c r="H147" s="1">
        <f>VLOOKUP(D147, SURVLOOKUP!$A:$Q, 3, FALSE)</f>
        <v>43319</v>
      </c>
      <c r="I147" s="1">
        <f>VLOOKUP(D147, SURVLOOKUP!$A:$Q, 4, FALSE)</f>
        <v>43319</v>
      </c>
      <c r="J147" s="1">
        <f>VLOOKUP(D147, SURVLOOKUP!$A:$Q, 5, FALSE)</f>
        <v>43326</v>
      </c>
      <c r="K147" s="1" t="str">
        <f>VLOOKUP(D147, SURVLOOKUP!$A:$Q, 6, FALSE)</f>
        <v>NA</v>
      </c>
      <c r="L147" s="1" t="str">
        <f>VLOOKUP(D147, SURVLOOKUP!$A:$Q, 7, FALSE)</f>
        <v>NA</v>
      </c>
      <c r="M147" s="1" t="str">
        <f>VLOOKUP(D147, SURVLOOKUP!$A:$Q, 8, FALSE)</f>
        <v>NA</v>
      </c>
      <c r="N147" s="1">
        <f>VLOOKUP(D147, SURVLOOKUP!$A:$Q, 9, FALSE)</f>
        <v>43376</v>
      </c>
      <c r="O147" s="1">
        <f>VLOOKUP(D147, SURVLOOKUP!$A:$Q, 10, FALSE)</f>
        <v>43376</v>
      </c>
      <c r="P147" s="1">
        <f>VLOOKUP(D147, OLDSURVLOOKUP!$A:$AA, 19, FALSE)</f>
        <v>43376</v>
      </c>
      <c r="Q147" s="1">
        <f>VLOOKUP(D147, SURVLOOKUP!$A:$Q, 11, FALSE)</f>
        <v>43326</v>
      </c>
      <c r="R147" s="1"/>
      <c r="S147" s="1"/>
      <c r="T147" s="1"/>
      <c r="U147" s="1"/>
      <c r="V147">
        <f>_xlfn.XLOOKUP(D147, OLDSURVLOOKUP!$A:$A, OLDSURVLOOKUP!V:V)</f>
        <v>0</v>
      </c>
      <c r="W147">
        <f>VLOOKUP(D147, SURVLOOKUP!$A:$Q, 14, FALSE)</f>
        <v>0</v>
      </c>
      <c r="X147">
        <f>_xlfn.XLOOKUP(D147, OLDSURVLOOKUP!$A:$A, OLDSURVLOOKUP!X:X)</f>
        <v>0</v>
      </c>
      <c r="Y147">
        <f>VLOOKUP(D147, SURVLOOKUP!$A:$Q, 15, FALSE)</f>
        <v>0</v>
      </c>
      <c r="Z147">
        <f t="shared" si="43"/>
        <v>1.838709677419355</v>
      </c>
      <c r="AA147">
        <f t="shared" si="44"/>
        <v>0.22580645161290322</v>
      </c>
      <c r="AB147">
        <f t="shared" si="45"/>
        <v>1.838709677419355</v>
      </c>
      <c r="AC147">
        <f t="shared" si="46"/>
        <v>0.22580645161290322</v>
      </c>
      <c r="AL147">
        <f t="shared" si="53"/>
        <v>1</v>
      </c>
      <c r="AM147" t="str">
        <f t="shared" si="42"/>
        <v>University of Cincinnati</v>
      </c>
      <c r="AN147">
        <v>0</v>
      </c>
      <c r="AO147">
        <v>54</v>
      </c>
      <c r="AP147">
        <f>(_xlfn.XLOOKUP($D147,RAWMETADATALOOKUP_P1!$A:$A,RAWMETADATALOOKUP_P1!F:F))</f>
        <v>69</v>
      </c>
      <c r="AQ147" t="str">
        <f>(_xlfn.XLOOKUP($D147,RAWMETADATALOOKUP_P1!$A:$A,RAWMETADATALOOKUP_P1!G:G))</f>
        <v>Male</v>
      </c>
      <c r="AR147" t="str">
        <f>(_xlfn.XLOOKUP($D147,RAWMETADATALOOKUP_P1!$A:$A,RAWMETADATALOOKUP_P1!H:H))</f>
        <v>White</v>
      </c>
      <c r="AS147" t="str">
        <f>(_xlfn.XLOOKUP($D147,RAWMETADATALOOKUP_P1!$A:$A,RAWMETADATALOOKUP_P1!I:I))</f>
        <v>Yes</v>
      </c>
      <c r="AT147" t="str">
        <f>(_xlfn.XLOOKUP($D147,RAWMETADATALOOKUP_P1!$A:$A,RAWMETADATALOOKUP_P1!J:J))</f>
        <v>Non-Hispanic</v>
      </c>
      <c r="AU147" t="str">
        <f>(_xlfn.XLOOKUP($D147,RAWMETADATALOOKUP_P1!$A:$A,RAWMETADATALOOKUP_P1!K:K))</f>
        <v>Yes</v>
      </c>
      <c r="AV147" t="str">
        <f>(_xlfn.XLOOKUP($D147,RAWMETADATALOOKUP_P1!$A:$A,RAWMETADATALOOKUP_P1!Q:Q))</f>
        <v>T3N2cM0</v>
      </c>
      <c r="AW147" t="str">
        <f>LEFT(_xlfn.XLOOKUP(D147, RAWMETADATALOOKUP_P2!A:A,RAWMETADATALOOKUP_P2!G:G), FIND(" ", _xlfn.XLOOKUP(D147, RAWMETADATALOOKUP_P2!A:A,RAWMETADATALOOKUP_P2!G:G)&amp;" ")-1)</f>
        <v>Intermediate</v>
      </c>
      <c r="AX147" t="str">
        <f>(_xlfn.XLOOKUP($D147,RAWMETADATALOOKUP_P1!$A:$A,RAWMETADATALOOKUP_P1!R:R))</f>
        <v>Unknown</v>
      </c>
      <c r="AY147">
        <f>LOOKUP(D147, SURVLOOKUP!$A:$A, SURVLOOKUP!$P:$P)</f>
        <v>0</v>
      </c>
      <c r="AZ147" s="46">
        <v>0</v>
      </c>
      <c r="BA147" t="s">
        <v>56</v>
      </c>
      <c r="BB147" s="47" t="str">
        <f t="shared" si="52"/>
        <v>Non-Responder</v>
      </c>
      <c r="BC147">
        <v>0.33</v>
      </c>
      <c r="BD147" s="1">
        <v>43326</v>
      </c>
    </row>
    <row r="148" spans="1:56" x14ac:dyDescent="0.2">
      <c r="A148" s="3" t="s">
        <v>449</v>
      </c>
      <c r="B148" t="str">
        <f>VLOOKUP(A148, IDSLOOKUP!C:E, 2, FALSE)</f>
        <v>Screen</v>
      </c>
      <c r="C148" t="str">
        <f>VLOOKUP(D148, METADATALOOKUP!$A:$AI, 13, FALSE)</f>
        <v>Oral Cavity</v>
      </c>
      <c r="D148" t="str">
        <f>VLOOKUP(A148, IDSLOOKUP!C:E, 3, FALSE)</f>
        <v>HN01-28</v>
      </c>
      <c r="E148" s="48">
        <f>VLOOKUP(A148,CFDNALOOKUP!AG:AI,2,FALSE)</f>
        <v>43832</v>
      </c>
      <c r="F148" s="48">
        <f>VLOOKUP(A148,CFDNALOOKUP!AG:AI,3,FALSE)</f>
        <v>43898</v>
      </c>
      <c r="G148" s="1">
        <f>VLOOKUP(D148, SURVLOOKUP!$A:$Q, 2, FALSE)</f>
        <v>43376</v>
      </c>
      <c r="H148" s="1">
        <f>VLOOKUP(D148, SURVLOOKUP!$A:$Q, 3, FALSE)</f>
        <v>43399</v>
      </c>
      <c r="I148" s="1">
        <f>VLOOKUP(D148, SURVLOOKUP!$A:$Q, 4, FALSE)</f>
        <v>43399</v>
      </c>
      <c r="J148" s="1">
        <f>VLOOKUP(D148, SURVLOOKUP!$A:$Q, 5, FALSE)</f>
        <v>43409</v>
      </c>
      <c r="K148" s="1">
        <f>VLOOKUP(D148, SURVLOOKUP!$A:$Q, 6, FALSE)</f>
        <v>43460</v>
      </c>
      <c r="L148" s="1">
        <f>VLOOKUP(D148, SURVLOOKUP!$A:$Q, 7, FALSE)</f>
        <v>43508</v>
      </c>
      <c r="M148" s="1">
        <f>VLOOKUP(D148, SURVLOOKUP!$A:$Q, 8, FALSE)</f>
        <v>43452</v>
      </c>
      <c r="N148" s="1">
        <f>VLOOKUP(D148, SURVLOOKUP!$A:$Q, 9, FALSE)</f>
        <v>43557</v>
      </c>
      <c r="O148" s="1" t="str">
        <f>VLOOKUP(D148, SURVLOOKUP!$A:$Q, 10, FALSE)</f>
        <v>NA</v>
      </c>
      <c r="P148" s="1">
        <f>VLOOKUP(D148, OLDSURVLOOKUP!$A:$AA, 19, FALSE)</f>
        <v>44314</v>
      </c>
      <c r="Q148" s="1">
        <f>VLOOKUP(D148, SURVLOOKUP!$A:$Q, 11, FALSE)</f>
        <v>45070</v>
      </c>
      <c r="R148" s="1"/>
      <c r="S148" s="1"/>
      <c r="T148" s="1"/>
      <c r="U148" s="1"/>
      <c r="V148">
        <f>_xlfn.XLOOKUP(D148, OLDSURVLOOKUP!$A:$A, OLDSURVLOOKUP!V:V)</f>
        <v>0</v>
      </c>
      <c r="W148">
        <f>VLOOKUP(D148, SURVLOOKUP!$A:$Q, 14, FALSE)</f>
        <v>0</v>
      </c>
      <c r="X148">
        <f>_xlfn.XLOOKUP(D148, OLDSURVLOOKUP!$A:$A, OLDSURVLOOKUP!X:X)</f>
        <v>0</v>
      </c>
      <c r="Y148">
        <f>VLOOKUP(D148, SURVLOOKUP!$A:$Q, 15, FALSE)</f>
        <v>0</v>
      </c>
      <c r="Z148">
        <f t="shared" si="43"/>
        <v>30.06451612903226</v>
      </c>
      <c r="AA148">
        <f t="shared" si="44"/>
        <v>54.903225806451616</v>
      </c>
      <c r="AB148">
        <f t="shared" si="45"/>
        <v>30.06451612903226</v>
      </c>
      <c r="AC148">
        <f t="shared" si="46"/>
        <v>54.903225806451616</v>
      </c>
      <c r="AD148">
        <f t="shared" si="47"/>
        <v>29.766666666666666</v>
      </c>
      <c r="AE148">
        <f t="shared" ref="AE148:AE153" si="57">IF(W148=0, DATEDIF(J148,Q148,"M")+DATEDIF(J148,Q148,"MD")/DAY(EOMONTH(J148,0)), DATEDIF(J148,S148,"M")+DATEDIF(J148,S148,"MD")/DAY(EOMONTH(J148,0)))</f>
        <v>54.633333333333333</v>
      </c>
      <c r="AF148">
        <f t="shared" ref="AF148:AF186" si="58">IF(X148=0, DATEDIF(J148,P148,"M")+DATEDIF(J148,P148,"MD")/DAY(EOMONTH(J148,0)), DATEDIF(J148,T148,"M")+DATEDIF(J148,T148,"MD")/DAY(EOMONTH(J148,0)))</f>
        <v>29.766666666666666</v>
      </c>
      <c r="AG148">
        <f t="shared" ref="AG148:AG186" si="59">IF(Y148=0, DATEDIF(J148,Q148,"M")+DATEDIF(J148,Q148,"MD")/DAY(EOMONTH(J148,0)), DATEDIF(J148,U148,"M")+DATEDIF(J148,U148,"MD")/DAY(EOMONTH(J148,0)))</f>
        <v>54.633333333333333</v>
      </c>
      <c r="AH148">
        <f t="shared" si="48"/>
        <v>28.322580645161292</v>
      </c>
      <c r="AI148">
        <f t="shared" si="49"/>
        <v>53.193548387096776</v>
      </c>
      <c r="AJ148">
        <f t="shared" si="50"/>
        <v>28.322580645161292</v>
      </c>
      <c r="AK148">
        <f t="shared" si="51"/>
        <v>53.193548387096776</v>
      </c>
      <c r="AL148">
        <f t="shared" si="53"/>
        <v>1</v>
      </c>
      <c r="AM148" t="str">
        <f t="shared" si="42"/>
        <v>University of Cincinnati</v>
      </c>
      <c r="AN148">
        <v>0</v>
      </c>
      <c r="AO148">
        <v>55</v>
      </c>
      <c r="AP148">
        <f>VLOOKUP(D148, METADATALOOKUP!$A:$AI, 7, FALSE)</f>
        <v>54</v>
      </c>
      <c r="AQ148" t="str">
        <f>VLOOKUP(D148, METADATALOOKUP!$A:$AI, 8, FALSE)</f>
        <v>Female</v>
      </c>
      <c r="AR148" t="str">
        <f>VLOOKUP(D148, METADATALOOKUP!$A:$AI, 9, FALSE)</f>
        <v>White</v>
      </c>
      <c r="AS148" t="str">
        <f>VLOOKUP(D148, METADATALOOKUP!$A:$AI, 11, FALSE)</f>
        <v>Yes</v>
      </c>
      <c r="AT148" t="str">
        <f>VLOOKUP(D148, METADATALOOKUP!$A:$AI, 10, FALSE)</f>
        <v>Non-Hispanic</v>
      </c>
      <c r="AU148" t="str">
        <f>VLOOKUP(D148, METADATALOOKUP!$A:$AI, 12, FALSE)</f>
        <v>Yes</v>
      </c>
      <c r="AV148" t="str">
        <f>VLOOKUP(D148, METADATALOOKUP!$A:$AI, 14, FALSE)</f>
        <v>T4aN2cM0</v>
      </c>
      <c r="AW148" t="str">
        <f>VLOOKUP(D148, METADATALOOKUP!$A:$AI, 6, FALSE)</f>
        <v>High</v>
      </c>
      <c r="AX148" t="str">
        <f>VLOOKUP(D148, METADATALOOKUP!$A:$AI, 19, FALSE)</f>
        <v>Unknown</v>
      </c>
      <c r="AY148">
        <f>LOOKUP(D148, SURVLOOKUP!$A:$A, SURVLOOKUP!$P:$P)</f>
        <v>1</v>
      </c>
      <c r="AZ148" s="46">
        <v>0</v>
      </c>
      <c r="BA148" t="str">
        <f>TEXT(VLOOKUP(D148, METADATALOOKUP!$A:$AI, 34, FALSE), "@")</f>
        <v>&lt;10%</v>
      </c>
      <c r="BB148" s="47" t="str">
        <f t="shared" si="52"/>
        <v>Non-Responder</v>
      </c>
      <c r="BC148">
        <v>0.106</v>
      </c>
      <c r="BD148" s="1">
        <v>43399</v>
      </c>
    </row>
    <row r="149" spans="1:56" x14ac:dyDescent="0.2">
      <c r="A149" s="3" t="s">
        <v>451</v>
      </c>
      <c r="B149" t="str">
        <f>VLOOKUP(A149, IDSLOOKUP!C:E, 2, FALSE)</f>
        <v>Day 0</v>
      </c>
      <c r="C149" t="str">
        <f>VLOOKUP(D149, METADATALOOKUP!$A:$AI, 13, FALSE)</f>
        <v>Oral Cavity</v>
      </c>
      <c r="D149" t="str">
        <f>VLOOKUP(A149, IDSLOOKUP!C:E, 3, FALSE)</f>
        <v>HN01-28</v>
      </c>
      <c r="E149" s="48">
        <f>VLOOKUP(A149,CFDNALOOKUP!AG:AI,2,FALSE)</f>
        <v>43832</v>
      </c>
      <c r="F149" s="48">
        <f>VLOOKUP(A149,CFDNALOOKUP!AG:AI,3,FALSE)</f>
        <v>43888</v>
      </c>
      <c r="G149" s="1">
        <f>VLOOKUP(D149, SURVLOOKUP!$A:$Q, 2, FALSE)</f>
        <v>43376</v>
      </c>
      <c r="H149" s="1">
        <f>VLOOKUP(D149, SURVLOOKUP!$A:$Q, 3, FALSE)</f>
        <v>43399</v>
      </c>
      <c r="I149" s="1">
        <f>VLOOKUP(D149, SURVLOOKUP!$A:$Q, 4, FALSE)</f>
        <v>43399</v>
      </c>
      <c r="J149" s="1">
        <f>VLOOKUP(D149, SURVLOOKUP!$A:$Q, 5, FALSE)</f>
        <v>43409</v>
      </c>
      <c r="K149" s="1">
        <f>VLOOKUP(D149, SURVLOOKUP!$A:$Q, 6, FALSE)</f>
        <v>43460</v>
      </c>
      <c r="L149" s="1">
        <f>VLOOKUP(D149, SURVLOOKUP!$A:$Q, 7, FALSE)</f>
        <v>43508</v>
      </c>
      <c r="M149" s="1">
        <f>VLOOKUP(D149, SURVLOOKUP!$A:$Q, 8, FALSE)</f>
        <v>43452</v>
      </c>
      <c r="N149" s="1">
        <f>VLOOKUP(D149, SURVLOOKUP!$A:$Q, 9, FALSE)</f>
        <v>43557</v>
      </c>
      <c r="O149" s="1" t="str">
        <f>VLOOKUP(D149, SURVLOOKUP!$A:$Q, 10, FALSE)</f>
        <v>NA</v>
      </c>
      <c r="P149" s="1">
        <f>VLOOKUP(D149, OLDSURVLOOKUP!$A:$AA, 19, FALSE)</f>
        <v>44314</v>
      </c>
      <c r="Q149" s="1">
        <f>VLOOKUP(D149, SURVLOOKUP!$A:$Q, 11, FALSE)</f>
        <v>45070</v>
      </c>
      <c r="R149" s="1"/>
      <c r="S149" s="1"/>
      <c r="T149" s="1"/>
      <c r="U149" s="1"/>
      <c r="V149">
        <f>_xlfn.XLOOKUP(D149, OLDSURVLOOKUP!$A:$A, OLDSURVLOOKUP!V:V)</f>
        <v>0</v>
      </c>
      <c r="W149">
        <f>VLOOKUP(D149, SURVLOOKUP!$A:$Q, 14, FALSE)</f>
        <v>0</v>
      </c>
      <c r="X149">
        <f>_xlfn.XLOOKUP(D149, OLDSURVLOOKUP!$A:$A, OLDSURVLOOKUP!X:X)</f>
        <v>0</v>
      </c>
      <c r="Y149">
        <f>VLOOKUP(D149, SURVLOOKUP!$A:$Q, 15, FALSE)</f>
        <v>0</v>
      </c>
      <c r="Z149">
        <f t="shared" si="43"/>
        <v>30.06451612903226</v>
      </c>
      <c r="AA149">
        <f t="shared" si="44"/>
        <v>54.903225806451616</v>
      </c>
      <c r="AB149">
        <f t="shared" si="45"/>
        <v>30.06451612903226</v>
      </c>
      <c r="AC149">
        <f t="shared" si="46"/>
        <v>54.903225806451616</v>
      </c>
      <c r="AD149">
        <f t="shared" si="47"/>
        <v>29.766666666666666</v>
      </c>
      <c r="AE149">
        <f t="shared" si="57"/>
        <v>54.633333333333333</v>
      </c>
      <c r="AF149">
        <f t="shared" si="58"/>
        <v>29.766666666666666</v>
      </c>
      <c r="AG149">
        <f t="shared" si="59"/>
        <v>54.633333333333333</v>
      </c>
      <c r="AH149">
        <f t="shared" si="48"/>
        <v>28.322580645161292</v>
      </c>
      <c r="AI149">
        <f t="shared" si="49"/>
        <v>53.193548387096776</v>
      </c>
      <c r="AJ149">
        <f t="shared" si="50"/>
        <v>28.322580645161292</v>
      </c>
      <c r="AK149">
        <f t="shared" si="51"/>
        <v>53.193548387096776</v>
      </c>
      <c r="AL149">
        <f t="shared" si="53"/>
        <v>1</v>
      </c>
      <c r="AM149" t="str">
        <f t="shared" si="42"/>
        <v>University of Cincinnati</v>
      </c>
      <c r="AN149">
        <v>0</v>
      </c>
      <c r="AO149">
        <v>55</v>
      </c>
      <c r="AP149">
        <f>VLOOKUP(D149, METADATALOOKUP!$A:$AI, 7, FALSE)</f>
        <v>54</v>
      </c>
      <c r="AQ149" t="str">
        <f>VLOOKUP(D149, METADATALOOKUP!$A:$AI, 8, FALSE)</f>
        <v>Female</v>
      </c>
      <c r="AR149" t="str">
        <f>VLOOKUP(D149, METADATALOOKUP!$A:$AI, 9, FALSE)</f>
        <v>White</v>
      </c>
      <c r="AS149" t="str">
        <f>VLOOKUP(D149, METADATALOOKUP!$A:$AI, 11, FALSE)</f>
        <v>Yes</v>
      </c>
      <c r="AT149" t="str">
        <f>VLOOKUP(D149, METADATALOOKUP!$A:$AI, 10, FALSE)</f>
        <v>Non-Hispanic</v>
      </c>
      <c r="AU149" t="str">
        <f>VLOOKUP(D149, METADATALOOKUP!$A:$AI, 12, FALSE)</f>
        <v>Yes</v>
      </c>
      <c r="AV149" t="str">
        <f>VLOOKUP(D149, METADATALOOKUP!$A:$AI, 14, FALSE)</f>
        <v>T4aN2cM0</v>
      </c>
      <c r="AW149" t="str">
        <f>VLOOKUP(D149, METADATALOOKUP!$A:$AI, 6, FALSE)</f>
        <v>High</v>
      </c>
      <c r="AX149" t="str">
        <f>VLOOKUP(D149, METADATALOOKUP!$A:$AI, 19, FALSE)</f>
        <v>Unknown</v>
      </c>
      <c r="AY149">
        <f>LOOKUP(D149, SURVLOOKUP!$A:$A, SURVLOOKUP!$P:$P)</f>
        <v>1</v>
      </c>
      <c r="AZ149" s="46">
        <v>0</v>
      </c>
      <c r="BA149" t="str">
        <f>TEXT(VLOOKUP(D149, METADATALOOKUP!$A:$AI, 34, FALSE), "@")</f>
        <v>&lt;10%</v>
      </c>
      <c r="BB149" s="47" t="str">
        <f t="shared" si="52"/>
        <v>Non-Responder</v>
      </c>
      <c r="BC149">
        <v>0.05</v>
      </c>
      <c r="BD149" s="1">
        <v>43409</v>
      </c>
    </row>
    <row r="150" spans="1:56" x14ac:dyDescent="0.2">
      <c r="A150" s="3" t="s">
        <v>452</v>
      </c>
      <c r="B150" t="str">
        <f>VLOOKUP(A150, IDSLOOKUP!C:E, 2, FALSE)</f>
        <v>Adj Wk 1</v>
      </c>
      <c r="C150" t="str">
        <f>VLOOKUP(D150, METADATALOOKUP!$A:$AI, 13, FALSE)</f>
        <v>Oral Cavity</v>
      </c>
      <c r="D150" t="str">
        <f>VLOOKUP(A150, IDSLOOKUP!C:E, 3, FALSE)</f>
        <v>HN01-28</v>
      </c>
      <c r="E150" s="48">
        <f>VLOOKUP(A150,CFDNALOOKUP!AG:AI,2,FALSE)</f>
        <v>43832</v>
      </c>
      <c r="F150" s="48">
        <f>VLOOKUP(A150,CFDNALOOKUP!AG:AI,3,FALSE)</f>
        <v>43887</v>
      </c>
      <c r="G150" s="1">
        <f>VLOOKUP(D150, SURVLOOKUP!$A:$Q, 2, FALSE)</f>
        <v>43376</v>
      </c>
      <c r="H150" s="1">
        <f>VLOOKUP(D150, SURVLOOKUP!$A:$Q, 3, FALSE)</f>
        <v>43399</v>
      </c>
      <c r="I150" s="1">
        <f>VLOOKUP(D150, SURVLOOKUP!$A:$Q, 4, FALSE)</f>
        <v>43399</v>
      </c>
      <c r="J150" s="1">
        <f>VLOOKUP(D150, SURVLOOKUP!$A:$Q, 5, FALSE)</f>
        <v>43409</v>
      </c>
      <c r="K150" s="1">
        <f>VLOOKUP(D150, SURVLOOKUP!$A:$Q, 6, FALSE)</f>
        <v>43460</v>
      </c>
      <c r="L150" s="1">
        <f>VLOOKUP(D150, SURVLOOKUP!$A:$Q, 7, FALSE)</f>
        <v>43508</v>
      </c>
      <c r="M150" s="1">
        <f>VLOOKUP(D150, SURVLOOKUP!$A:$Q, 8, FALSE)</f>
        <v>43452</v>
      </c>
      <c r="N150" s="1">
        <f>VLOOKUP(D150, SURVLOOKUP!$A:$Q, 9, FALSE)</f>
        <v>43557</v>
      </c>
      <c r="O150" s="1" t="str">
        <f>VLOOKUP(D150, SURVLOOKUP!$A:$Q, 10, FALSE)</f>
        <v>NA</v>
      </c>
      <c r="P150" s="1">
        <f>VLOOKUP(D150, OLDSURVLOOKUP!$A:$AA, 19, FALSE)</f>
        <v>44314</v>
      </c>
      <c r="Q150" s="1">
        <f>VLOOKUP(D150, SURVLOOKUP!$A:$Q, 11, FALSE)</f>
        <v>45070</v>
      </c>
      <c r="R150" s="1"/>
      <c r="S150" s="1"/>
      <c r="T150" s="1"/>
      <c r="U150" s="1"/>
      <c r="V150">
        <f>_xlfn.XLOOKUP(D150, OLDSURVLOOKUP!$A:$A, OLDSURVLOOKUP!V:V)</f>
        <v>0</v>
      </c>
      <c r="W150">
        <f>VLOOKUP(D150, SURVLOOKUP!$A:$Q, 14, FALSE)</f>
        <v>0</v>
      </c>
      <c r="X150">
        <f>_xlfn.XLOOKUP(D150, OLDSURVLOOKUP!$A:$A, OLDSURVLOOKUP!X:X)</f>
        <v>0</v>
      </c>
      <c r="Y150">
        <f>VLOOKUP(D150, SURVLOOKUP!$A:$Q, 15, FALSE)</f>
        <v>0</v>
      </c>
      <c r="Z150">
        <f t="shared" si="43"/>
        <v>30.06451612903226</v>
      </c>
      <c r="AA150">
        <f t="shared" si="44"/>
        <v>54.903225806451616</v>
      </c>
      <c r="AB150">
        <f t="shared" si="45"/>
        <v>30.06451612903226</v>
      </c>
      <c r="AC150">
        <f t="shared" si="46"/>
        <v>54.903225806451616</v>
      </c>
      <c r="AD150">
        <f t="shared" si="47"/>
        <v>29.766666666666666</v>
      </c>
      <c r="AE150">
        <f t="shared" si="57"/>
        <v>54.633333333333333</v>
      </c>
      <c r="AF150">
        <f t="shared" si="58"/>
        <v>29.766666666666666</v>
      </c>
      <c r="AG150">
        <f t="shared" si="59"/>
        <v>54.633333333333333</v>
      </c>
      <c r="AH150">
        <f t="shared" si="48"/>
        <v>28.322580645161292</v>
      </c>
      <c r="AI150">
        <f t="shared" si="49"/>
        <v>53.193548387096776</v>
      </c>
      <c r="AJ150">
        <f t="shared" si="50"/>
        <v>28.322580645161292</v>
      </c>
      <c r="AK150">
        <f t="shared" si="51"/>
        <v>53.193548387096776</v>
      </c>
      <c r="AL150">
        <f t="shared" si="53"/>
        <v>1</v>
      </c>
      <c r="AM150" t="str">
        <f t="shared" si="42"/>
        <v>University of Cincinnati</v>
      </c>
      <c r="AN150">
        <v>0</v>
      </c>
      <c r="AO150">
        <v>55</v>
      </c>
      <c r="AP150">
        <f>VLOOKUP(D150, METADATALOOKUP!$A:$AI, 7, FALSE)</f>
        <v>54</v>
      </c>
      <c r="AQ150" t="str">
        <f>VLOOKUP(D150, METADATALOOKUP!$A:$AI, 8, FALSE)</f>
        <v>Female</v>
      </c>
      <c r="AR150" t="str">
        <f>VLOOKUP(D150, METADATALOOKUP!$A:$AI, 9, FALSE)</f>
        <v>White</v>
      </c>
      <c r="AS150" t="str">
        <f>VLOOKUP(D150, METADATALOOKUP!$A:$AI, 11, FALSE)</f>
        <v>Yes</v>
      </c>
      <c r="AT150" t="str">
        <f>VLOOKUP(D150, METADATALOOKUP!$A:$AI, 10, FALSE)</f>
        <v>Non-Hispanic</v>
      </c>
      <c r="AU150" t="str">
        <f>VLOOKUP(D150, METADATALOOKUP!$A:$AI, 12, FALSE)</f>
        <v>Yes</v>
      </c>
      <c r="AV150" t="str">
        <f>VLOOKUP(D150, METADATALOOKUP!$A:$AI, 14, FALSE)</f>
        <v>T4aN2cM0</v>
      </c>
      <c r="AW150" t="str">
        <f>VLOOKUP(D150, METADATALOOKUP!$A:$AI, 6, FALSE)</f>
        <v>High</v>
      </c>
      <c r="AX150" t="str">
        <f>VLOOKUP(D150, METADATALOOKUP!$A:$AI, 19, FALSE)</f>
        <v>Unknown</v>
      </c>
      <c r="AY150">
        <f>LOOKUP(D150, SURVLOOKUP!$A:$A, SURVLOOKUP!$P:$P)</f>
        <v>1</v>
      </c>
      <c r="AZ150" s="46">
        <v>0</v>
      </c>
      <c r="BA150" t="str">
        <f>TEXT(VLOOKUP(D150, METADATALOOKUP!$A:$AI, 34, FALSE), "@")</f>
        <v>&lt;10%</v>
      </c>
      <c r="BB150" s="47" t="str">
        <f t="shared" si="52"/>
        <v>Non-Responder</v>
      </c>
      <c r="BC150">
        <v>0.10199999999999999</v>
      </c>
      <c r="BD150" s="1">
        <v>43452</v>
      </c>
    </row>
    <row r="151" spans="1:56" x14ac:dyDescent="0.2">
      <c r="A151" s="3" t="s">
        <v>453</v>
      </c>
      <c r="B151" t="str">
        <f>VLOOKUP(A151, IDSLOOKUP!C:E, 2, FALSE)</f>
        <v>Screen</v>
      </c>
      <c r="C151" t="str">
        <f>VLOOKUP(D151, METADATALOOKUP!$A:$AI, 13, FALSE)</f>
        <v>Oral Cavity</v>
      </c>
      <c r="D151" t="str">
        <f>VLOOKUP(A151, IDSLOOKUP!C:E, 3, FALSE)</f>
        <v>HN01-41</v>
      </c>
      <c r="E151" s="48">
        <f>VLOOKUP(A151,CFDNALOOKUP!AG:AI,2,FALSE)</f>
        <v>43832</v>
      </c>
      <c r="F151" s="48">
        <f>VLOOKUP(A151,CFDNALOOKUP!AG:AI,3,FALSE)</f>
        <v>43901</v>
      </c>
      <c r="G151" s="1">
        <f>VLOOKUP(D151, SURVLOOKUP!$A:$Q, 2, FALSE)</f>
        <v>43580</v>
      </c>
      <c r="H151" s="1">
        <f>VLOOKUP(D151, SURVLOOKUP!$A:$Q, 3, FALSE)</f>
        <v>43602</v>
      </c>
      <c r="I151" s="1">
        <f>VLOOKUP(D151, SURVLOOKUP!$A:$Q, 4, FALSE)</f>
        <v>43606</v>
      </c>
      <c r="J151" s="1">
        <f>VLOOKUP(D151, SURVLOOKUP!$A:$Q, 5, FALSE)</f>
        <v>43613</v>
      </c>
      <c r="K151" s="1">
        <f>VLOOKUP(D151, SURVLOOKUP!$A:$Q, 6, FALSE)</f>
        <v>43663</v>
      </c>
      <c r="L151" s="1">
        <f>VLOOKUP(D151, SURVLOOKUP!$A:$Q, 7, FALSE)</f>
        <v>43705</v>
      </c>
      <c r="M151" s="1">
        <f>VLOOKUP(D151, SURVLOOKUP!$A:$Q, 8, FALSE)</f>
        <v>43657</v>
      </c>
      <c r="N151" s="1">
        <f>VLOOKUP(D151, SURVLOOKUP!$A:$Q, 9, FALSE)</f>
        <v>43760</v>
      </c>
      <c r="O151" s="1" t="str">
        <f>VLOOKUP(D151, SURVLOOKUP!$A:$Q, 10, FALSE)</f>
        <v>NA</v>
      </c>
      <c r="P151" s="1">
        <f>VLOOKUP(D151, OLDSURVLOOKUP!$A:$AA, 19, FALSE)</f>
        <v>44327</v>
      </c>
      <c r="Q151" s="1">
        <f>VLOOKUP(D151, SURVLOOKUP!$A:$Q, 11, FALSE)</f>
        <v>45212</v>
      </c>
      <c r="R151" s="1"/>
      <c r="S151" s="1"/>
      <c r="T151" s="1"/>
      <c r="U151" s="1"/>
      <c r="V151">
        <f>_xlfn.XLOOKUP(D151, OLDSURVLOOKUP!$A:$A, OLDSURVLOOKUP!V:V)</f>
        <v>0</v>
      </c>
      <c r="W151">
        <f>VLOOKUP(D151, SURVLOOKUP!$A:$Q, 14, FALSE)</f>
        <v>0</v>
      </c>
      <c r="X151">
        <f>_xlfn.XLOOKUP(D151, OLDSURVLOOKUP!$A:$A, OLDSURVLOOKUP!X:X)</f>
        <v>0</v>
      </c>
      <c r="Y151">
        <f>VLOOKUP(D151, SURVLOOKUP!$A:$Q, 15, FALSE)</f>
        <v>0</v>
      </c>
      <c r="Z151">
        <f t="shared" si="43"/>
        <v>23.64516129032258</v>
      </c>
      <c r="AA151">
        <f t="shared" si="44"/>
        <v>52.70967741935484</v>
      </c>
      <c r="AB151">
        <f t="shared" si="45"/>
        <v>23.64516129032258</v>
      </c>
      <c r="AC151">
        <f t="shared" si="46"/>
        <v>52.70967741935484</v>
      </c>
      <c r="AD151">
        <f t="shared" si="47"/>
        <v>23.419354838709676</v>
      </c>
      <c r="AE151">
        <f t="shared" si="57"/>
        <v>52.483870967741936</v>
      </c>
      <c r="AF151">
        <f t="shared" si="58"/>
        <v>23.419354838709676</v>
      </c>
      <c r="AG151">
        <f t="shared" si="59"/>
        <v>52.483870967741936</v>
      </c>
      <c r="AH151">
        <f t="shared" si="48"/>
        <v>22</v>
      </c>
      <c r="AI151">
        <f t="shared" si="49"/>
        <v>51.064516129032256</v>
      </c>
      <c r="AJ151">
        <f t="shared" si="50"/>
        <v>22</v>
      </c>
      <c r="AK151">
        <f t="shared" si="51"/>
        <v>51.064516129032256</v>
      </c>
      <c r="AL151">
        <f t="shared" si="53"/>
        <v>1</v>
      </c>
      <c r="AM151" t="str">
        <f t="shared" si="42"/>
        <v>University of Cincinnati</v>
      </c>
      <c r="AN151">
        <v>0</v>
      </c>
      <c r="AO151">
        <v>56</v>
      </c>
      <c r="AP151">
        <f>VLOOKUP(D151, METADATALOOKUP!$A:$AI, 7, FALSE)</f>
        <v>58</v>
      </c>
      <c r="AQ151" t="str">
        <f>VLOOKUP(D151, METADATALOOKUP!$A:$AI, 8, FALSE)</f>
        <v>Female</v>
      </c>
      <c r="AR151" t="str">
        <f>VLOOKUP(D151, METADATALOOKUP!$A:$AI, 9, FALSE)</f>
        <v>Black or African American</v>
      </c>
      <c r="AS151" t="str">
        <f>VLOOKUP(D151, METADATALOOKUP!$A:$AI, 11, FALSE)</f>
        <v>Yes</v>
      </c>
      <c r="AT151" t="str">
        <f>VLOOKUP(D151, METADATALOOKUP!$A:$AI, 10, FALSE)</f>
        <v>Non-Hispanic</v>
      </c>
      <c r="AU151" t="str">
        <f>VLOOKUP(D151, METADATALOOKUP!$A:$AI, 12, FALSE)</f>
        <v>Yes</v>
      </c>
      <c r="AV151" t="str">
        <f>VLOOKUP(D151, METADATALOOKUP!$A:$AI, 14, FALSE)</f>
        <v>T4aN1M0</v>
      </c>
      <c r="AW151" t="str">
        <f>VLOOKUP(D151, METADATALOOKUP!$A:$AI, 6, FALSE)</f>
        <v>High</v>
      </c>
      <c r="AX151" t="str">
        <f>VLOOKUP(D151, METADATALOOKUP!$A:$AI, 19, FALSE)</f>
        <v>No</v>
      </c>
      <c r="AY151">
        <f>LOOKUP(D151, SURVLOOKUP!$A:$A, SURVLOOKUP!$P:$P)</f>
        <v>0</v>
      </c>
      <c r="AZ151" s="46">
        <v>0</v>
      </c>
      <c r="BA151" t="str">
        <f>TEXT(VLOOKUP(D151, METADATALOOKUP!$A:$AI, 34, FALSE), "@")</f>
        <v>0</v>
      </c>
      <c r="BB151" s="47" t="str">
        <f t="shared" si="52"/>
        <v>Non-Responder</v>
      </c>
      <c r="BC151">
        <v>0.11600000000000001</v>
      </c>
      <c r="BD151" s="1">
        <v>43606</v>
      </c>
    </row>
    <row r="152" spans="1:56" x14ac:dyDescent="0.2">
      <c r="A152" s="3" t="s">
        <v>456</v>
      </c>
      <c r="B152" t="str">
        <f>VLOOKUP(A152, IDSLOOKUP!C:E, 2, FALSE)</f>
        <v>Day 0</v>
      </c>
      <c r="C152" t="str">
        <f>VLOOKUP(D152, METADATALOOKUP!$A:$AI, 13, FALSE)</f>
        <v>Oral Cavity</v>
      </c>
      <c r="D152" t="str">
        <f>VLOOKUP(A152, IDSLOOKUP!C:E, 3, FALSE)</f>
        <v>HN01-41</v>
      </c>
      <c r="E152" s="48">
        <f>VLOOKUP(A152,CFDNALOOKUP!AG:AI,2,FALSE)</f>
        <v>43832</v>
      </c>
      <c r="F152" s="48">
        <f>VLOOKUP(A152,CFDNALOOKUP!AG:AI,3,FALSE)</f>
        <v>43901</v>
      </c>
      <c r="G152" s="1">
        <f>VLOOKUP(D152, SURVLOOKUP!$A:$Q, 2, FALSE)</f>
        <v>43580</v>
      </c>
      <c r="H152" s="1">
        <f>VLOOKUP(D152, SURVLOOKUP!$A:$Q, 3, FALSE)</f>
        <v>43602</v>
      </c>
      <c r="I152" s="1">
        <f>VLOOKUP(D152, SURVLOOKUP!$A:$Q, 4, FALSE)</f>
        <v>43606</v>
      </c>
      <c r="J152" s="1">
        <f>VLOOKUP(D152, SURVLOOKUP!$A:$Q, 5, FALSE)</f>
        <v>43613</v>
      </c>
      <c r="K152" s="1">
        <f>VLOOKUP(D152, SURVLOOKUP!$A:$Q, 6, FALSE)</f>
        <v>43663</v>
      </c>
      <c r="L152" s="1">
        <f>VLOOKUP(D152, SURVLOOKUP!$A:$Q, 7, FALSE)</f>
        <v>43705</v>
      </c>
      <c r="M152" s="1">
        <f>VLOOKUP(D152, SURVLOOKUP!$A:$Q, 8, FALSE)</f>
        <v>43657</v>
      </c>
      <c r="N152" s="1">
        <f>VLOOKUP(D152, SURVLOOKUP!$A:$Q, 9, FALSE)</f>
        <v>43760</v>
      </c>
      <c r="O152" s="1" t="str">
        <f>VLOOKUP(D152, SURVLOOKUP!$A:$Q, 10, FALSE)</f>
        <v>NA</v>
      </c>
      <c r="P152" s="1">
        <f>VLOOKUP(D152, OLDSURVLOOKUP!$A:$AA, 19, FALSE)</f>
        <v>44327</v>
      </c>
      <c r="Q152" s="1">
        <f>VLOOKUP(D152, SURVLOOKUP!$A:$Q, 11, FALSE)</f>
        <v>45212</v>
      </c>
      <c r="R152" s="1"/>
      <c r="S152" s="1"/>
      <c r="T152" s="1"/>
      <c r="U152" s="1"/>
      <c r="V152">
        <f>_xlfn.XLOOKUP(D152, OLDSURVLOOKUP!$A:$A, OLDSURVLOOKUP!V:V)</f>
        <v>0</v>
      </c>
      <c r="W152">
        <f>VLOOKUP(D152, SURVLOOKUP!$A:$Q, 14, FALSE)</f>
        <v>0</v>
      </c>
      <c r="X152">
        <f>_xlfn.XLOOKUP(D152, OLDSURVLOOKUP!$A:$A, OLDSURVLOOKUP!X:X)</f>
        <v>0</v>
      </c>
      <c r="Y152">
        <f>VLOOKUP(D152, SURVLOOKUP!$A:$Q, 15, FALSE)</f>
        <v>0</v>
      </c>
      <c r="Z152">
        <f t="shared" si="43"/>
        <v>23.64516129032258</v>
      </c>
      <c r="AA152">
        <f t="shared" si="44"/>
        <v>52.70967741935484</v>
      </c>
      <c r="AB152">
        <f t="shared" si="45"/>
        <v>23.64516129032258</v>
      </c>
      <c r="AC152">
        <f t="shared" si="46"/>
        <v>52.70967741935484</v>
      </c>
      <c r="AD152">
        <f t="shared" si="47"/>
        <v>23.419354838709676</v>
      </c>
      <c r="AE152">
        <f t="shared" si="57"/>
        <v>52.483870967741936</v>
      </c>
      <c r="AF152">
        <f t="shared" si="58"/>
        <v>23.419354838709676</v>
      </c>
      <c r="AG152">
        <f t="shared" si="59"/>
        <v>52.483870967741936</v>
      </c>
      <c r="AH152">
        <f t="shared" si="48"/>
        <v>22</v>
      </c>
      <c r="AI152">
        <f t="shared" si="49"/>
        <v>51.064516129032256</v>
      </c>
      <c r="AJ152">
        <f t="shared" si="50"/>
        <v>22</v>
      </c>
      <c r="AK152">
        <f t="shared" si="51"/>
        <v>51.064516129032256</v>
      </c>
      <c r="AL152">
        <f t="shared" si="53"/>
        <v>1</v>
      </c>
      <c r="AM152" t="str">
        <f t="shared" si="42"/>
        <v>University of Cincinnati</v>
      </c>
      <c r="AN152">
        <v>0</v>
      </c>
      <c r="AO152">
        <v>56</v>
      </c>
      <c r="AP152">
        <f>VLOOKUP(D152, METADATALOOKUP!$A:$AI, 7, FALSE)</f>
        <v>58</v>
      </c>
      <c r="AQ152" t="str">
        <f>VLOOKUP(D152, METADATALOOKUP!$A:$AI, 8, FALSE)</f>
        <v>Female</v>
      </c>
      <c r="AR152" t="str">
        <f>VLOOKUP(D152, METADATALOOKUP!$A:$AI, 9, FALSE)</f>
        <v>Black or African American</v>
      </c>
      <c r="AS152" t="str">
        <f>VLOOKUP(D152, METADATALOOKUP!$A:$AI, 11, FALSE)</f>
        <v>Yes</v>
      </c>
      <c r="AT152" t="str">
        <f>VLOOKUP(D152, METADATALOOKUP!$A:$AI, 10, FALSE)</f>
        <v>Non-Hispanic</v>
      </c>
      <c r="AU152" t="str">
        <f>VLOOKUP(D152, METADATALOOKUP!$A:$AI, 12, FALSE)</f>
        <v>Yes</v>
      </c>
      <c r="AV152" t="str">
        <f>VLOOKUP(D152, METADATALOOKUP!$A:$AI, 14, FALSE)</f>
        <v>T4aN1M0</v>
      </c>
      <c r="AW152" t="str">
        <f>VLOOKUP(D152, METADATALOOKUP!$A:$AI, 6, FALSE)</f>
        <v>High</v>
      </c>
      <c r="AX152" t="str">
        <f>VLOOKUP(D152, METADATALOOKUP!$A:$AI, 19, FALSE)</f>
        <v>No</v>
      </c>
      <c r="AY152">
        <f>LOOKUP(D152, SURVLOOKUP!$A:$A, SURVLOOKUP!$P:$P)</f>
        <v>0</v>
      </c>
      <c r="AZ152" s="46">
        <v>0</v>
      </c>
      <c r="BA152" t="str">
        <f>TEXT(VLOOKUP(D152, METADATALOOKUP!$A:$AI, 34, FALSE), "@")</f>
        <v>0</v>
      </c>
      <c r="BB152" s="47" t="str">
        <f t="shared" si="52"/>
        <v>Non-Responder</v>
      </c>
      <c r="BC152">
        <v>0.114</v>
      </c>
      <c r="BD152" s="1">
        <v>43609</v>
      </c>
    </row>
    <row r="153" spans="1:56" x14ac:dyDescent="0.2">
      <c r="A153" s="3" t="s">
        <v>457</v>
      </c>
      <c r="B153" t="str">
        <f>VLOOKUP(A153, IDSLOOKUP!C:E, 2, FALSE)</f>
        <v>Adj Wk 1</v>
      </c>
      <c r="C153" t="str">
        <f>VLOOKUP(D153, METADATALOOKUP!$A:$AI, 13, FALSE)</f>
        <v>Oral Cavity</v>
      </c>
      <c r="D153" t="str">
        <f>VLOOKUP(A153, IDSLOOKUP!C:E, 3, FALSE)</f>
        <v>HN01-41</v>
      </c>
      <c r="E153" s="48">
        <f>VLOOKUP(A153,CFDNALOOKUP!AG:AI,2,FALSE)</f>
        <v>43832</v>
      </c>
      <c r="F153" s="48">
        <f>VLOOKUP(A153,CFDNALOOKUP!AG:AI,3,FALSE)</f>
        <v>43898</v>
      </c>
      <c r="G153" s="1">
        <f>VLOOKUP(D153, SURVLOOKUP!$A:$Q, 2, FALSE)</f>
        <v>43580</v>
      </c>
      <c r="H153" s="1">
        <f>VLOOKUP(D153, SURVLOOKUP!$A:$Q, 3, FALSE)</f>
        <v>43602</v>
      </c>
      <c r="I153" s="1">
        <f>VLOOKUP(D153, SURVLOOKUP!$A:$Q, 4, FALSE)</f>
        <v>43606</v>
      </c>
      <c r="J153" s="1">
        <f>VLOOKUP(D153, SURVLOOKUP!$A:$Q, 5, FALSE)</f>
        <v>43613</v>
      </c>
      <c r="K153" s="1">
        <f>VLOOKUP(D153, SURVLOOKUP!$A:$Q, 6, FALSE)</f>
        <v>43663</v>
      </c>
      <c r="L153" s="1">
        <f>VLOOKUP(D153, SURVLOOKUP!$A:$Q, 7, FALSE)</f>
        <v>43705</v>
      </c>
      <c r="M153" s="1">
        <f>VLOOKUP(D153, SURVLOOKUP!$A:$Q, 8, FALSE)</f>
        <v>43657</v>
      </c>
      <c r="N153" s="1">
        <f>VLOOKUP(D153, SURVLOOKUP!$A:$Q, 9, FALSE)</f>
        <v>43760</v>
      </c>
      <c r="O153" s="1" t="str">
        <f>VLOOKUP(D153, SURVLOOKUP!$A:$Q, 10, FALSE)</f>
        <v>NA</v>
      </c>
      <c r="P153" s="1">
        <f>VLOOKUP(D153, OLDSURVLOOKUP!$A:$AA, 19, FALSE)</f>
        <v>44327</v>
      </c>
      <c r="Q153" s="1">
        <f>VLOOKUP(D153, SURVLOOKUP!$A:$Q, 11, FALSE)</f>
        <v>45212</v>
      </c>
      <c r="R153" s="1"/>
      <c r="S153" s="1"/>
      <c r="T153" s="1"/>
      <c r="U153" s="1"/>
      <c r="V153">
        <f>_xlfn.XLOOKUP(D153, OLDSURVLOOKUP!$A:$A, OLDSURVLOOKUP!V:V)</f>
        <v>0</v>
      </c>
      <c r="W153">
        <f>VLOOKUP(D153, SURVLOOKUP!$A:$Q, 14, FALSE)</f>
        <v>0</v>
      </c>
      <c r="X153">
        <f>_xlfn.XLOOKUP(D153, OLDSURVLOOKUP!$A:$A, OLDSURVLOOKUP!X:X)</f>
        <v>0</v>
      </c>
      <c r="Y153">
        <f>VLOOKUP(D153, SURVLOOKUP!$A:$Q, 15, FALSE)</f>
        <v>0</v>
      </c>
      <c r="Z153">
        <f t="shared" si="43"/>
        <v>23.64516129032258</v>
      </c>
      <c r="AA153">
        <f t="shared" si="44"/>
        <v>52.70967741935484</v>
      </c>
      <c r="AB153">
        <f t="shared" si="45"/>
        <v>23.64516129032258</v>
      </c>
      <c r="AC153">
        <f t="shared" si="46"/>
        <v>52.70967741935484</v>
      </c>
      <c r="AD153">
        <f t="shared" si="47"/>
        <v>23.419354838709676</v>
      </c>
      <c r="AE153">
        <f t="shared" si="57"/>
        <v>52.483870967741936</v>
      </c>
      <c r="AF153">
        <f t="shared" si="58"/>
        <v>23.419354838709676</v>
      </c>
      <c r="AG153">
        <f t="shared" si="59"/>
        <v>52.483870967741936</v>
      </c>
      <c r="AH153">
        <f t="shared" si="48"/>
        <v>22</v>
      </c>
      <c r="AI153">
        <f t="shared" si="49"/>
        <v>51.064516129032256</v>
      </c>
      <c r="AJ153">
        <f t="shared" si="50"/>
        <v>22</v>
      </c>
      <c r="AK153">
        <f t="shared" si="51"/>
        <v>51.064516129032256</v>
      </c>
      <c r="AL153">
        <f t="shared" si="53"/>
        <v>1</v>
      </c>
      <c r="AM153" t="str">
        <f t="shared" si="42"/>
        <v>University of Cincinnati</v>
      </c>
      <c r="AN153">
        <v>0</v>
      </c>
      <c r="AO153">
        <v>56</v>
      </c>
      <c r="AP153">
        <f>VLOOKUP(D153, METADATALOOKUP!$A:$AI, 7, FALSE)</f>
        <v>58</v>
      </c>
      <c r="AQ153" t="str">
        <f>VLOOKUP(D153, METADATALOOKUP!$A:$AI, 8, FALSE)</f>
        <v>Female</v>
      </c>
      <c r="AR153" t="str">
        <f>VLOOKUP(D153, METADATALOOKUP!$A:$AI, 9, FALSE)</f>
        <v>Black or African American</v>
      </c>
      <c r="AS153" t="str">
        <f>VLOOKUP(D153, METADATALOOKUP!$A:$AI, 11, FALSE)</f>
        <v>Yes</v>
      </c>
      <c r="AT153" t="str">
        <f>VLOOKUP(D153, METADATALOOKUP!$A:$AI, 10, FALSE)</f>
        <v>Non-Hispanic</v>
      </c>
      <c r="AU153" t="str">
        <f>VLOOKUP(D153, METADATALOOKUP!$A:$AI, 12, FALSE)</f>
        <v>Yes</v>
      </c>
      <c r="AV153" t="str">
        <f>VLOOKUP(D153, METADATALOOKUP!$A:$AI, 14, FALSE)</f>
        <v>T4aN1M0</v>
      </c>
      <c r="AW153" t="str">
        <f>VLOOKUP(D153, METADATALOOKUP!$A:$AI, 6, FALSE)</f>
        <v>High</v>
      </c>
      <c r="AX153" t="str">
        <f>VLOOKUP(D153, METADATALOOKUP!$A:$AI, 19, FALSE)</f>
        <v>No</v>
      </c>
      <c r="AY153">
        <f>LOOKUP(D153, SURVLOOKUP!$A:$A, SURVLOOKUP!$P:$P)</f>
        <v>0</v>
      </c>
      <c r="AZ153" s="46">
        <v>0</v>
      </c>
      <c r="BA153" t="str">
        <f>TEXT(VLOOKUP(D153, METADATALOOKUP!$A:$AI, 34, FALSE), "@")</f>
        <v>0</v>
      </c>
      <c r="BB153" s="47" t="str">
        <f t="shared" si="52"/>
        <v>Non-Responder</v>
      </c>
      <c r="BC153">
        <v>0.39200000000000002</v>
      </c>
      <c r="BD153" s="1">
        <v>43657</v>
      </c>
    </row>
    <row r="154" spans="1:56" x14ac:dyDescent="0.2">
      <c r="A154" s="3" t="s">
        <v>458</v>
      </c>
      <c r="B154" t="str">
        <f>VLOOKUP(A154, IDSLOOKUP!C:E, 2, FALSE)</f>
        <v>Screen</v>
      </c>
      <c r="C154" t="str">
        <f>VLOOKUP(D154, METADATALOOKUP!$A:$AI, 13, FALSE)</f>
        <v>Oral Cavity</v>
      </c>
      <c r="D154" t="str">
        <f>VLOOKUP(A154, IDSLOOKUP!C:E, 3, FALSE)</f>
        <v>HN01-42</v>
      </c>
      <c r="E154" s="48">
        <f>VLOOKUP(A154,CFDNALOOKUP!AG:AI,2,FALSE)</f>
        <v>43833</v>
      </c>
      <c r="F154" s="48">
        <f>VLOOKUP(A154,CFDNALOOKUP!AG:AI,3,FALSE)</f>
        <v>43901</v>
      </c>
      <c r="G154" s="1">
        <f>VLOOKUP(D154, SURVLOOKUP!$A:$Q, 2, FALSE)</f>
        <v>43565</v>
      </c>
      <c r="H154" s="1">
        <f>VLOOKUP(D154, SURVLOOKUP!$A:$Q, 3, FALSE)</f>
        <v>43606</v>
      </c>
      <c r="I154" s="1">
        <f>VLOOKUP(D154, SURVLOOKUP!$A:$Q, 4, FALSE)</f>
        <v>43607</v>
      </c>
      <c r="J154" s="1">
        <f>VLOOKUP(D154, SURVLOOKUP!$A:$Q, 5, FALSE)</f>
        <v>43620</v>
      </c>
      <c r="K154" s="1">
        <f>VLOOKUP(D154, SURVLOOKUP!$A:$Q, 6, FALSE)</f>
        <v>43657</v>
      </c>
      <c r="L154" s="1">
        <f>VLOOKUP(D154, SURVLOOKUP!$A:$Q, 7, FALSE)</f>
        <v>43703</v>
      </c>
      <c r="M154" s="1">
        <f>VLOOKUP(D154, SURVLOOKUP!$A:$Q, 8, FALSE)</f>
        <v>43649</v>
      </c>
      <c r="N154" s="1">
        <f>VLOOKUP(D154, SURVLOOKUP!$A:$Q, 9, FALSE)</f>
        <v>43753</v>
      </c>
      <c r="O154" s="1" t="str">
        <f>VLOOKUP(D154, SURVLOOKUP!$A:$Q, 10, FALSE)</f>
        <v>NA</v>
      </c>
      <c r="P154" s="1">
        <f>VLOOKUP(D154, OLDSURVLOOKUP!$A:$AA, 19, FALSE)</f>
        <v>44334</v>
      </c>
      <c r="Q154" s="1">
        <f>VLOOKUP(D154, SURVLOOKUP!$A:$Q, 11, FALSE)</f>
        <v>45043</v>
      </c>
      <c r="R154" s="1"/>
      <c r="S154" s="1"/>
      <c r="T154" s="1"/>
      <c r="U154" s="1">
        <f>VLOOKUP(D154, SURVLOOKUP!$A:$Q, 13, FALSE)</f>
        <v>45044</v>
      </c>
      <c r="V154">
        <f>_xlfn.XLOOKUP(D154, OLDSURVLOOKUP!$A:$A, OLDSURVLOOKUP!V:V)</f>
        <v>0</v>
      </c>
      <c r="W154">
        <f>VLOOKUP(D154, SURVLOOKUP!$A:$Q, 14, FALSE)</f>
        <v>1</v>
      </c>
      <c r="X154">
        <f>_xlfn.XLOOKUP(D154, OLDSURVLOOKUP!$A:$A, OLDSURVLOOKUP!X:X)</f>
        <v>0</v>
      </c>
      <c r="Y154">
        <f>VLOOKUP(D154, SURVLOOKUP!$A:$Q, 15, FALSE)</f>
        <v>1</v>
      </c>
      <c r="Z154">
        <f t="shared" si="43"/>
        <v>23.838709677419356</v>
      </c>
      <c r="AA154" s="2">
        <v>47.193548389999997</v>
      </c>
      <c r="AB154">
        <f t="shared" si="45"/>
        <v>23.838709677419356</v>
      </c>
      <c r="AC154">
        <f t="shared" si="46"/>
        <v>47.193548387096776</v>
      </c>
      <c r="AD154">
        <f t="shared" si="47"/>
        <v>23.466666666666665</v>
      </c>
      <c r="AE154" s="2">
        <v>46.8</v>
      </c>
      <c r="AF154">
        <f t="shared" si="58"/>
        <v>23.466666666666665</v>
      </c>
      <c r="AG154">
        <f t="shared" si="59"/>
        <v>46.8</v>
      </c>
      <c r="AH154">
        <f t="shared" si="48"/>
        <v>22.483870967741936</v>
      </c>
      <c r="AI154" s="2">
        <v>45.806451610000003</v>
      </c>
      <c r="AJ154">
        <f t="shared" si="50"/>
        <v>22.483870967741936</v>
      </c>
      <c r="AK154">
        <f t="shared" si="51"/>
        <v>45.806451612903224</v>
      </c>
      <c r="AL154">
        <f t="shared" si="53"/>
        <v>1</v>
      </c>
      <c r="AM154" t="str">
        <f t="shared" si="42"/>
        <v>University of Cincinnati</v>
      </c>
      <c r="AN154">
        <v>0</v>
      </c>
      <c r="AO154">
        <v>57</v>
      </c>
      <c r="AP154">
        <f>VLOOKUP(D154, METADATALOOKUP!$A:$AI, 7, FALSE)</f>
        <v>60</v>
      </c>
      <c r="AQ154" t="str">
        <f>VLOOKUP(D154, METADATALOOKUP!$A:$AI, 8, FALSE)</f>
        <v>Male</v>
      </c>
      <c r="AR154" t="str">
        <f>VLOOKUP(D154, METADATALOOKUP!$A:$AI, 9, FALSE)</f>
        <v>White</v>
      </c>
      <c r="AS154" t="str">
        <f>VLOOKUP(D154, METADATALOOKUP!$A:$AI, 11, FALSE)</f>
        <v>Yes</v>
      </c>
      <c r="AT154" t="str">
        <f>VLOOKUP(D154, METADATALOOKUP!$A:$AI, 10, FALSE)</f>
        <v>Non-Hispanic</v>
      </c>
      <c r="AU154" t="str">
        <f>VLOOKUP(D154, METADATALOOKUP!$A:$AI, 12, FALSE)</f>
        <v>Yes</v>
      </c>
      <c r="AV154" t="str">
        <f>VLOOKUP(D154, METADATALOOKUP!$A:$AI, 14, FALSE)</f>
        <v>T4aN2bM0</v>
      </c>
      <c r="AW154" t="str">
        <f>VLOOKUP(D154, METADATALOOKUP!$A:$AI, 6, FALSE)</f>
        <v>Intermediate</v>
      </c>
      <c r="AX154" t="str">
        <f>VLOOKUP(D154, METADATALOOKUP!$A:$AI, 19, FALSE)</f>
        <v>Unknown</v>
      </c>
      <c r="AY154">
        <f>LOOKUP(D154, SURVLOOKUP!$A:$A, SURVLOOKUP!$P:$P)</f>
        <v>0</v>
      </c>
      <c r="AZ154" s="46">
        <v>0</v>
      </c>
      <c r="BA154" t="str">
        <f>TEXT(VLOOKUP(D154, METADATALOOKUP!$A:$AI, 34, FALSE), "@")</f>
        <v>&lt; 5%</v>
      </c>
      <c r="BB154" s="47" t="str">
        <f t="shared" si="52"/>
        <v>Non-Responder</v>
      </c>
      <c r="BC154">
        <v>0.106</v>
      </c>
      <c r="BD154" s="1">
        <v>43607</v>
      </c>
    </row>
    <row r="155" spans="1:56" x14ac:dyDescent="0.2">
      <c r="A155" s="3" t="s">
        <v>461</v>
      </c>
      <c r="B155" t="str">
        <f>VLOOKUP(A155, IDSLOOKUP!C:E, 2, FALSE)</f>
        <v>Day 0</v>
      </c>
      <c r="C155" t="str">
        <f>VLOOKUP(D155, METADATALOOKUP!$A:$AI, 13, FALSE)</f>
        <v>Oral Cavity</v>
      </c>
      <c r="D155" t="str">
        <f>VLOOKUP(A155, IDSLOOKUP!C:E, 3, FALSE)</f>
        <v>HN01-42</v>
      </c>
      <c r="E155" s="48">
        <f>VLOOKUP(A155,CFDNALOOKUP!AG:AI,2,FALSE)</f>
        <v>43833</v>
      </c>
      <c r="F155" s="48">
        <f>VLOOKUP(A155,CFDNALOOKUP!AG:AI,3,FALSE)</f>
        <v>43888</v>
      </c>
      <c r="G155" s="1">
        <f>VLOOKUP(D155, SURVLOOKUP!$A:$Q, 2, FALSE)</f>
        <v>43565</v>
      </c>
      <c r="H155" s="1">
        <f>VLOOKUP(D155, SURVLOOKUP!$A:$Q, 3, FALSE)</f>
        <v>43606</v>
      </c>
      <c r="I155" s="1">
        <f>VLOOKUP(D155, SURVLOOKUP!$A:$Q, 4, FALSE)</f>
        <v>43607</v>
      </c>
      <c r="J155" s="1">
        <f>VLOOKUP(D155, SURVLOOKUP!$A:$Q, 5, FALSE)</f>
        <v>43620</v>
      </c>
      <c r="K155" s="1">
        <f>VLOOKUP(D155, SURVLOOKUP!$A:$Q, 6, FALSE)</f>
        <v>43657</v>
      </c>
      <c r="L155" s="1">
        <f>VLOOKUP(D155, SURVLOOKUP!$A:$Q, 7, FALSE)</f>
        <v>43703</v>
      </c>
      <c r="M155" s="1">
        <f>VLOOKUP(D155, SURVLOOKUP!$A:$Q, 8, FALSE)</f>
        <v>43649</v>
      </c>
      <c r="N155" s="1">
        <f>VLOOKUP(D155, SURVLOOKUP!$A:$Q, 9, FALSE)</f>
        <v>43753</v>
      </c>
      <c r="O155" s="1" t="str">
        <f>VLOOKUP(D155, SURVLOOKUP!$A:$Q, 10, FALSE)</f>
        <v>NA</v>
      </c>
      <c r="P155" s="1">
        <f>VLOOKUP(D155, OLDSURVLOOKUP!$A:$AA, 19, FALSE)</f>
        <v>44334</v>
      </c>
      <c r="Q155" s="1">
        <f>VLOOKUP(D155, SURVLOOKUP!$A:$Q, 11, FALSE)</f>
        <v>45043</v>
      </c>
      <c r="R155" s="1"/>
      <c r="S155" s="1"/>
      <c r="T155" s="1"/>
      <c r="U155" s="1">
        <f>VLOOKUP(D155, SURVLOOKUP!$A:$Q, 13, FALSE)</f>
        <v>45044</v>
      </c>
      <c r="V155">
        <f>_xlfn.XLOOKUP(D155, OLDSURVLOOKUP!$A:$A, OLDSURVLOOKUP!V:V)</f>
        <v>0</v>
      </c>
      <c r="W155">
        <f>VLOOKUP(D155, SURVLOOKUP!$A:$Q, 14, FALSE)</f>
        <v>1</v>
      </c>
      <c r="X155">
        <f>_xlfn.XLOOKUP(D155, OLDSURVLOOKUP!$A:$A, OLDSURVLOOKUP!X:X)</f>
        <v>0</v>
      </c>
      <c r="Y155">
        <f>VLOOKUP(D155, SURVLOOKUP!$A:$Q, 15, FALSE)</f>
        <v>1</v>
      </c>
      <c r="Z155">
        <f t="shared" si="43"/>
        <v>23.838709677419356</v>
      </c>
      <c r="AA155" s="2">
        <v>47.193548389999997</v>
      </c>
      <c r="AB155">
        <f t="shared" si="45"/>
        <v>23.838709677419356</v>
      </c>
      <c r="AC155">
        <f t="shared" si="46"/>
        <v>47.193548387096776</v>
      </c>
      <c r="AD155">
        <f t="shared" si="47"/>
        <v>23.466666666666665</v>
      </c>
      <c r="AE155" s="2">
        <v>46.8</v>
      </c>
      <c r="AF155">
        <f t="shared" si="58"/>
        <v>23.466666666666665</v>
      </c>
      <c r="AG155">
        <f t="shared" si="59"/>
        <v>46.8</v>
      </c>
      <c r="AH155">
        <f t="shared" si="48"/>
        <v>22.483870967741936</v>
      </c>
      <c r="AI155" s="2">
        <v>45.806451610000003</v>
      </c>
      <c r="AJ155">
        <f t="shared" si="50"/>
        <v>22.483870967741936</v>
      </c>
      <c r="AK155">
        <f t="shared" si="51"/>
        <v>45.806451612903224</v>
      </c>
      <c r="AL155">
        <f t="shared" si="53"/>
        <v>1</v>
      </c>
      <c r="AM155" t="str">
        <f t="shared" si="42"/>
        <v>University of Cincinnati</v>
      </c>
      <c r="AN155">
        <v>0</v>
      </c>
      <c r="AO155">
        <v>57</v>
      </c>
      <c r="AP155">
        <f>VLOOKUP(D155, METADATALOOKUP!$A:$AI, 7, FALSE)</f>
        <v>60</v>
      </c>
      <c r="AQ155" t="str">
        <f>VLOOKUP(D155, METADATALOOKUP!$A:$AI, 8, FALSE)</f>
        <v>Male</v>
      </c>
      <c r="AR155" t="str">
        <f>VLOOKUP(D155, METADATALOOKUP!$A:$AI, 9, FALSE)</f>
        <v>White</v>
      </c>
      <c r="AS155" t="str">
        <f>VLOOKUP(D155, METADATALOOKUP!$A:$AI, 11, FALSE)</f>
        <v>Yes</v>
      </c>
      <c r="AT155" t="str">
        <f>VLOOKUP(D155, METADATALOOKUP!$A:$AI, 10, FALSE)</f>
        <v>Non-Hispanic</v>
      </c>
      <c r="AU155" t="str">
        <f>VLOOKUP(D155, METADATALOOKUP!$A:$AI, 12, FALSE)</f>
        <v>Yes</v>
      </c>
      <c r="AV155" t="str">
        <f>VLOOKUP(D155, METADATALOOKUP!$A:$AI, 14, FALSE)</f>
        <v>T4aN2bM0</v>
      </c>
      <c r="AW155" t="str">
        <f>VLOOKUP(D155, METADATALOOKUP!$A:$AI, 6, FALSE)</f>
        <v>Intermediate</v>
      </c>
      <c r="AX155" t="str">
        <f>VLOOKUP(D155, METADATALOOKUP!$A:$AI, 19, FALSE)</f>
        <v>Unknown</v>
      </c>
      <c r="AY155">
        <f>LOOKUP(D155, SURVLOOKUP!$A:$A, SURVLOOKUP!$P:$P)</f>
        <v>0</v>
      </c>
      <c r="AZ155" s="46">
        <v>0</v>
      </c>
      <c r="BA155" t="str">
        <f>TEXT(VLOOKUP(D155, METADATALOOKUP!$A:$AI, 34, FALSE), "@")</f>
        <v>&lt; 5%</v>
      </c>
      <c r="BB155" s="47" t="str">
        <f t="shared" si="52"/>
        <v>Non-Responder</v>
      </c>
      <c r="BC155">
        <v>0.20200000000000001</v>
      </c>
      <c r="BD155" s="1">
        <v>43620</v>
      </c>
    </row>
    <row r="156" spans="1:56" x14ac:dyDescent="0.2">
      <c r="A156" s="3" t="s">
        <v>462</v>
      </c>
      <c r="B156" t="str">
        <f>VLOOKUP(A156, IDSLOOKUP!C:E, 2, FALSE)</f>
        <v>Adj Wk 1</v>
      </c>
      <c r="C156" t="str">
        <f>VLOOKUP(D156, METADATALOOKUP!$A:$AI, 13, FALSE)</f>
        <v>Oral Cavity</v>
      </c>
      <c r="D156" t="str">
        <f>VLOOKUP(A156, IDSLOOKUP!C:E, 3, FALSE)</f>
        <v>HN01-42</v>
      </c>
      <c r="E156" s="48">
        <f>VLOOKUP(A156,CFDNALOOKUP!AG:AI,2,FALSE)</f>
        <v>43833</v>
      </c>
      <c r="F156" s="48">
        <f>VLOOKUP(A156,CFDNALOOKUP!AG:AI,3,FALSE)</f>
        <v>43898</v>
      </c>
      <c r="G156" s="1">
        <f>VLOOKUP(D156, SURVLOOKUP!$A:$Q, 2, FALSE)</f>
        <v>43565</v>
      </c>
      <c r="H156" s="1">
        <f>VLOOKUP(D156, SURVLOOKUP!$A:$Q, 3, FALSE)</f>
        <v>43606</v>
      </c>
      <c r="I156" s="1">
        <f>VLOOKUP(D156, SURVLOOKUP!$A:$Q, 4, FALSE)</f>
        <v>43607</v>
      </c>
      <c r="J156" s="1">
        <f>VLOOKUP(D156, SURVLOOKUP!$A:$Q, 5, FALSE)</f>
        <v>43620</v>
      </c>
      <c r="K156" s="1">
        <f>VLOOKUP(D156, SURVLOOKUP!$A:$Q, 6, FALSE)</f>
        <v>43657</v>
      </c>
      <c r="L156" s="1">
        <f>VLOOKUP(D156, SURVLOOKUP!$A:$Q, 7, FALSE)</f>
        <v>43703</v>
      </c>
      <c r="M156" s="1">
        <f>VLOOKUP(D156, SURVLOOKUP!$A:$Q, 8, FALSE)</f>
        <v>43649</v>
      </c>
      <c r="N156" s="1">
        <f>VLOOKUP(D156, SURVLOOKUP!$A:$Q, 9, FALSE)</f>
        <v>43753</v>
      </c>
      <c r="O156" s="1" t="str">
        <f>VLOOKUP(D156, SURVLOOKUP!$A:$Q, 10, FALSE)</f>
        <v>NA</v>
      </c>
      <c r="P156" s="1">
        <f>VLOOKUP(D156, OLDSURVLOOKUP!$A:$AA, 19, FALSE)</f>
        <v>44334</v>
      </c>
      <c r="Q156" s="1">
        <f>VLOOKUP(D156, SURVLOOKUP!$A:$Q, 11, FALSE)</f>
        <v>45043</v>
      </c>
      <c r="R156" s="1"/>
      <c r="S156" s="1"/>
      <c r="T156" s="1"/>
      <c r="U156" s="1">
        <f>VLOOKUP(D156, SURVLOOKUP!$A:$Q, 13, FALSE)</f>
        <v>45044</v>
      </c>
      <c r="V156">
        <f>_xlfn.XLOOKUP(D156, OLDSURVLOOKUP!$A:$A, OLDSURVLOOKUP!V:V)</f>
        <v>0</v>
      </c>
      <c r="W156">
        <f>VLOOKUP(D156, SURVLOOKUP!$A:$Q, 14, FALSE)</f>
        <v>1</v>
      </c>
      <c r="X156">
        <f>_xlfn.XLOOKUP(D156, OLDSURVLOOKUP!$A:$A, OLDSURVLOOKUP!X:X)</f>
        <v>0</v>
      </c>
      <c r="Y156">
        <f>VLOOKUP(D156, SURVLOOKUP!$A:$Q, 15, FALSE)</f>
        <v>1</v>
      </c>
      <c r="Z156">
        <f t="shared" si="43"/>
        <v>23.838709677419356</v>
      </c>
      <c r="AA156" s="2">
        <v>47.193548389999997</v>
      </c>
      <c r="AB156">
        <f t="shared" si="45"/>
        <v>23.838709677419356</v>
      </c>
      <c r="AC156">
        <f t="shared" si="46"/>
        <v>47.193548387096776</v>
      </c>
      <c r="AD156">
        <f t="shared" si="47"/>
        <v>23.466666666666665</v>
      </c>
      <c r="AE156" s="2">
        <v>46.8</v>
      </c>
      <c r="AF156">
        <f t="shared" si="58"/>
        <v>23.466666666666665</v>
      </c>
      <c r="AG156">
        <f t="shared" si="59"/>
        <v>46.8</v>
      </c>
      <c r="AH156">
        <f t="shared" si="48"/>
        <v>22.483870967741936</v>
      </c>
      <c r="AI156" s="2">
        <v>45.806451610000003</v>
      </c>
      <c r="AJ156">
        <f t="shared" si="50"/>
        <v>22.483870967741936</v>
      </c>
      <c r="AK156">
        <f t="shared" si="51"/>
        <v>45.806451612903224</v>
      </c>
      <c r="AL156">
        <f t="shared" si="53"/>
        <v>1</v>
      </c>
      <c r="AM156" t="str">
        <f t="shared" si="42"/>
        <v>University of Cincinnati</v>
      </c>
      <c r="AN156">
        <v>0</v>
      </c>
      <c r="AO156">
        <v>57</v>
      </c>
      <c r="AP156">
        <f>VLOOKUP(D156, METADATALOOKUP!$A:$AI, 7, FALSE)</f>
        <v>60</v>
      </c>
      <c r="AQ156" t="str">
        <f>VLOOKUP(D156, METADATALOOKUP!$A:$AI, 8, FALSE)</f>
        <v>Male</v>
      </c>
      <c r="AR156" t="str">
        <f>VLOOKUP(D156, METADATALOOKUP!$A:$AI, 9, FALSE)</f>
        <v>White</v>
      </c>
      <c r="AS156" t="str">
        <f>VLOOKUP(D156, METADATALOOKUP!$A:$AI, 11, FALSE)</f>
        <v>Yes</v>
      </c>
      <c r="AT156" t="str">
        <f>VLOOKUP(D156, METADATALOOKUP!$A:$AI, 10, FALSE)</f>
        <v>Non-Hispanic</v>
      </c>
      <c r="AU156" t="str">
        <f>VLOOKUP(D156, METADATALOOKUP!$A:$AI, 12, FALSE)</f>
        <v>Yes</v>
      </c>
      <c r="AV156" t="str">
        <f>VLOOKUP(D156, METADATALOOKUP!$A:$AI, 14, FALSE)</f>
        <v>T4aN2bM0</v>
      </c>
      <c r="AW156" t="str">
        <f>VLOOKUP(D156, METADATALOOKUP!$A:$AI, 6, FALSE)</f>
        <v>Intermediate</v>
      </c>
      <c r="AX156" t="str">
        <f>VLOOKUP(D156, METADATALOOKUP!$A:$AI, 19, FALSE)</f>
        <v>Unknown</v>
      </c>
      <c r="AY156">
        <f>LOOKUP(D156, SURVLOOKUP!$A:$A, SURVLOOKUP!$P:$P)</f>
        <v>0</v>
      </c>
      <c r="AZ156" s="46">
        <v>0</v>
      </c>
      <c r="BA156" t="str">
        <f>TEXT(VLOOKUP(D156, METADATALOOKUP!$A:$AI, 34, FALSE), "@")</f>
        <v>&lt; 5%</v>
      </c>
      <c r="BB156" s="47" t="str">
        <f t="shared" si="52"/>
        <v>Non-Responder</v>
      </c>
      <c r="BC156">
        <v>0.13200000000000001</v>
      </c>
      <c r="BD156" s="1">
        <v>43649</v>
      </c>
    </row>
    <row r="157" spans="1:56" x14ac:dyDescent="0.2">
      <c r="A157" s="3" t="s">
        <v>463</v>
      </c>
      <c r="B157" t="str">
        <f>VLOOKUP(A157, IDSLOOKUP!C:E, 2, FALSE)</f>
        <v>Screen</v>
      </c>
      <c r="C157" t="str">
        <f>VLOOKUP(D157, METADATALOOKUP!$A:$AI, 13, FALSE)</f>
        <v>Oral Cavity</v>
      </c>
      <c r="D157" t="str">
        <f>VLOOKUP(A157, IDSLOOKUP!C:E, 3, FALSE)</f>
        <v>HN02-02</v>
      </c>
      <c r="E157" s="48">
        <f>VLOOKUP(A157,CFDNALOOKUP!AG:AI,2,FALSE)</f>
        <v>43833</v>
      </c>
      <c r="F157" s="48">
        <f>VLOOKUP(A157,CFDNALOOKUP!AG:AI,3,FALSE)</f>
        <v>43888</v>
      </c>
      <c r="G157" s="1">
        <f>VLOOKUP(D157, SURVLOOKUP!$A:$Q, 2, FALSE)</f>
        <v>42970</v>
      </c>
      <c r="H157" s="1">
        <f>VLOOKUP(D157, SURVLOOKUP!$A:$Q, 3, FALSE)</f>
        <v>42984</v>
      </c>
      <c r="I157" s="1">
        <f>VLOOKUP(D157, SURVLOOKUP!$A:$Q, 4, FALSE)</f>
        <v>42990</v>
      </c>
      <c r="J157" s="1">
        <f>VLOOKUP(D157, SURVLOOKUP!$A:$Q, 5, FALSE)</f>
        <v>42997</v>
      </c>
      <c r="K157" s="1">
        <f>VLOOKUP(D157, SURVLOOKUP!$A:$Q, 6, FALSE)</f>
        <v>43046</v>
      </c>
      <c r="L157" s="1">
        <f>VLOOKUP(D157, SURVLOOKUP!$A:$Q, 7, FALSE)</f>
        <v>43096</v>
      </c>
      <c r="M157" s="1">
        <f>VLOOKUP(D157, SURVLOOKUP!$A:$Q, 8, FALSE)</f>
        <v>43038</v>
      </c>
      <c r="N157" s="1">
        <f>VLOOKUP(D157, SURVLOOKUP!$A:$Q, 9, FALSE)</f>
        <v>43144</v>
      </c>
      <c r="O157" s="1" t="str">
        <f>VLOOKUP(D157, SURVLOOKUP!$A:$Q, 10, FALSE)</f>
        <v>NA</v>
      </c>
      <c r="P157" s="1">
        <f>VLOOKUP(D157, OLDSURVLOOKUP!$A:$AA, 19, FALSE)</f>
        <v>43498</v>
      </c>
      <c r="Q157" s="1">
        <f>VLOOKUP(D157, SURVLOOKUP!$A:$Q, 11, FALSE)</f>
        <v>43498</v>
      </c>
      <c r="R157" s="1">
        <f>VLOOKUP(D157, OLDSURVLOOKUP!$A:$AA, 20, FALSE)</f>
        <v>43377</v>
      </c>
      <c r="S157" s="1">
        <f>VLOOKUP(D157, SURVLOOKUP!$A:$Q, 12, FALSE)</f>
        <v>43377</v>
      </c>
      <c r="T157" s="1">
        <f>VLOOKUP(D157, OLDSURVLOOKUP!$A:$AA, 21, FALSE)</f>
        <v>43499</v>
      </c>
      <c r="U157" s="1">
        <f>VLOOKUP(D157, SURVLOOKUP!$A:$Q, 13, FALSE)</f>
        <v>43499</v>
      </c>
      <c r="V157">
        <f>_xlfn.XLOOKUP(D157, OLDSURVLOOKUP!$A:$A, OLDSURVLOOKUP!V:V)</f>
        <v>1</v>
      </c>
      <c r="W157">
        <f>VLOOKUP(D157, SURVLOOKUP!$A:$Q, 14, FALSE)</f>
        <v>1</v>
      </c>
      <c r="X157">
        <f>_xlfn.XLOOKUP(D157, OLDSURVLOOKUP!$A:$A, OLDSURVLOOKUP!X:X)</f>
        <v>1</v>
      </c>
      <c r="Y157">
        <f>VLOOKUP(D157, SURVLOOKUP!$A:$Q, 15, FALSE)</f>
        <v>1</v>
      </c>
      <c r="Z157">
        <f t="shared" si="43"/>
        <v>12.733333333333333</v>
      </c>
      <c r="AA157">
        <f t="shared" si="44"/>
        <v>12.733333333333333</v>
      </c>
      <c r="AB157">
        <f t="shared" si="45"/>
        <v>16.733333333333334</v>
      </c>
      <c r="AC157">
        <f t="shared" si="46"/>
        <v>16.733333333333334</v>
      </c>
      <c r="AD157">
        <f t="shared" si="47"/>
        <v>12.5</v>
      </c>
      <c r="AE157">
        <f t="shared" ref="AE157:AE165" si="60">IF(W157=0, DATEDIF(J157,Q157,"M")+DATEDIF(J157,Q157,"MD")/DAY(EOMONTH(J157,0)), DATEDIF(J157,S157,"M")+DATEDIF(J157,S157,"MD")/DAY(EOMONTH(J157,0)))</f>
        <v>12.5</v>
      </c>
      <c r="AF157">
        <f t="shared" si="58"/>
        <v>16.5</v>
      </c>
      <c r="AG157">
        <f t="shared" si="59"/>
        <v>16.5</v>
      </c>
      <c r="AH157">
        <f t="shared" si="48"/>
        <v>11.129032258064516</v>
      </c>
      <c r="AI157">
        <f t="shared" si="49"/>
        <v>11.129032258064516</v>
      </c>
      <c r="AJ157">
        <f t="shared" si="50"/>
        <v>15.129032258064516</v>
      </c>
      <c r="AK157">
        <f t="shared" si="51"/>
        <v>15.129032258064516</v>
      </c>
      <c r="AL157">
        <f t="shared" si="53"/>
        <v>1</v>
      </c>
      <c r="AM157" t="str">
        <f t="shared" si="42"/>
        <v>Ohio State University</v>
      </c>
      <c r="AN157">
        <v>0</v>
      </c>
      <c r="AO157">
        <v>58</v>
      </c>
      <c r="AP157">
        <f>VLOOKUP(D157, METADATALOOKUP!$A:$AI, 7, FALSE)</f>
        <v>46</v>
      </c>
      <c r="AQ157" t="str">
        <f>VLOOKUP(D157, METADATALOOKUP!$A:$AI, 8, FALSE)</f>
        <v>Male</v>
      </c>
      <c r="AR157" t="str">
        <f>VLOOKUP(D157, METADATALOOKUP!$A:$AI, 9, FALSE)</f>
        <v>White</v>
      </c>
      <c r="AS157" t="str">
        <f>VLOOKUP(D157, METADATALOOKUP!$A:$AI, 11, FALSE)</f>
        <v>Yes</v>
      </c>
      <c r="AT157" t="str">
        <f>VLOOKUP(D157, METADATALOOKUP!$A:$AI, 10, FALSE)</f>
        <v>Non-Hispanic</v>
      </c>
      <c r="AU157" t="str">
        <f>VLOOKUP(D157, METADATALOOKUP!$A:$AI, 12, FALSE)</f>
        <v>Yes</v>
      </c>
      <c r="AV157" t="str">
        <f>VLOOKUP(D157, METADATALOOKUP!$A:$AI, 14, FALSE)</f>
        <v>T4aN2cM0</v>
      </c>
      <c r="AW157" t="str">
        <f>VLOOKUP(D157, METADATALOOKUP!$A:$AI, 6, FALSE)</f>
        <v>High</v>
      </c>
      <c r="AX157" t="str">
        <f>VLOOKUP(D157, METADATALOOKUP!$A:$AI, 19, FALSE)</f>
        <v>Unknown</v>
      </c>
      <c r="AY157">
        <f>LOOKUP(D157, SURVLOOKUP!$A:$A, SURVLOOKUP!$P:$P)</f>
        <v>1</v>
      </c>
      <c r="AZ157" s="46">
        <v>0</v>
      </c>
      <c r="BA157" t="str">
        <f>TEXT(VLOOKUP(D157, METADATALOOKUP!$A:$AI, 34, FALSE), "@")</f>
        <v>&lt;10%</v>
      </c>
      <c r="BB157" s="47" t="str">
        <f t="shared" si="52"/>
        <v>Non-Responder</v>
      </c>
      <c r="BC157">
        <v>0.29799999999999999</v>
      </c>
      <c r="BD157" s="1">
        <v>42991</v>
      </c>
    </row>
    <row r="158" spans="1:56" x14ac:dyDescent="0.2">
      <c r="A158" s="3" t="s">
        <v>465</v>
      </c>
      <c r="B158" t="str">
        <f>VLOOKUP(A158, IDSLOOKUP!C:E, 2, FALSE)</f>
        <v>Day 0</v>
      </c>
      <c r="C158" t="str">
        <f>VLOOKUP(D158, METADATALOOKUP!$A:$AI, 13, FALSE)</f>
        <v>Oral Cavity</v>
      </c>
      <c r="D158" t="str">
        <f>VLOOKUP(A157, IDSLOOKUP!C:E, 3, FALSE)</f>
        <v>HN02-02</v>
      </c>
      <c r="E158" s="48">
        <f>VLOOKUP(A158,CFDNALOOKUP!AG:AI,2,FALSE)</f>
        <v>43833</v>
      </c>
      <c r="F158" s="48">
        <f>VLOOKUP(A158,CFDNALOOKUP!AG:AI,3,FALSE)</f>
        <v>43898</v>
      </c>
      <c r="G158" s="1">
        <f>VLOOKUP(D158, SURVLOOKUP!$A:$Q, 2, FALSE)</f>
        <v>42970</v>
      </c>
      <c r="H158" s="1">
        <f>VLOOKUP(D158, SURVLOOKUP!$A:$Q, 3, FALSE)</f>
        <v>42984</v>
      </c>
      <c r="I158" s="1">
        <f>VLOOKUP(D158, SURVLOOKUP!$A:$Q, 4, FALSE)</f>
        <v>42990</v>
      </c>
      <c r="J158" s="1">
        <f>VLOOKUP(D158, SURVLOOKUP!$A:$Q, 5, FALSE)</f>
        <v>42997</v>
      </c>
      <c r="K158" s="1">
        <f>VLOOKUP(D158, SURVLOOKUP!$A:$Q, 6, FALSE)</f>
        <v>43046</v>
      </c>
      <c r="L158" s="1">
        <f>VLOOKUP(D158, SURVLOOKUP!$A:$Q, 7, FALSE)</f>
        <v>43096</v>
      </c>
      <c r="M158" s="1">
        <f>VLOOKUP(D158, SURVLOOKUP!$A:$Q, 8, FALSE)</f>
        <v>43038</v>
      </c>
      <c r="N158" s="1">
        <f>VLOOKUP(D158, SURVLOOKUP!$A:$Q, 9, FALSE)</f>
        <v>43144</v>
      </c>
      <c r="O158" s="1" t="str">
        <f>VLOOKUP(D158, SURVLOOKUP!$A:$Q, 10, FALSE)</f>
        <v>NA</v>
      </c>
      <c r="P158" s="1">
        <f>VLOOKUP(D158, OLDSURVLOOKUP!$A:$AA, 19, FALSE)</f>
        <v>43498</v>
      </c>
      <c r="Q158" s="1">
        <f>VLOOKUP(D158, SURVLOOKUP!$A:$Q, 11, FALSE)</f>
        <v>43498</v>
      </c>
      <c r="R158" s="1">
        <f>VLOOKUP(D158, OLDSURVLOOKUP!$A:$AA, 20, FALSE)</f>
        <v>43377</v>
      </c>
      <c r="S158" s="1">
        <f>VLOOKUP(D158, SURVLOOKUP!$A:$Q, 12, FALSE)</f>
        <v>43377</v>
      </c>
      <c r="T158" s="1">
        <f>VLOOKUP(D158, OLDSURVLOOKUP!$A:$AA, 21, FALSE)</f>
        <v>43499</v>
      </c>
      <c r="U158" s="1">
        <f>VLOOKUP(D158, SURVLOOKUP!$A:$Q, 13, FALSE)</f>
        <v>43499</v>
      </c>
      <c r="V158">
        <f>_xlfn.XLOOKUP(D158, OLDSURVLOOKUP!$A:$A, OLDSURVLOOKUP!V:V)</f>
        <v>1</v>
      </c>
      <c r="W158">
        <f>VLOOKUP(D158, SURVLOOKUP!$A:$Q, 14, FALSE)</f>
        <v>1</v>
      </c>
      <c r="X158">
        <f>_xlfn.XLOOKUP(D158, OLDSURVLOOKUP!$A:$A, OLDSURVLOOKUP!X:X)</f>
        <v>1</v>
      </c>
      <c r="Y158">
        <f>VLOOKUP(D158, SURVLOOKUP!$A:$Q, 15, FALSE)</f>
        <v>1</v>
      </c>
      <c r="Z158">
        <f t="shared" si="43"/>
        <v>12.733333333333333</v>
      </c>
      <c r="AA158">
        <f t="shared" si="44"/>
        <v>12.733333333333333</v>
      </c>
      <c r="AB158">
        <f t="shared" si="45"/>
        <v>16.733333333333334</v>
      </c>
      <c r="AC158">
        <f t="shared" si="46"/>
        <v>16.733333333333334</v>
      </c>
      <c r="AD158">
        <f t="shared" si="47"/>
        <v>12.5</v>
      </c>
      <c r="AE158">
        <f t="shared" si="60"/>
        <v>12.5</v>
      </c>
      <c r="AF158">
        <f t="shared" si="58"/>
        <v>16.5</v>
      </c>
      <c r="AG158">
        <f t="shared" si="59"/>
        <v>16.5</v>
      </c>
      <c r="AH158">
        <f t="shared" si="48"/>
        <v>11.129032258064516</v>
      </c>
      <c r="AI158">
        <f t="shared" si="49"/>
        <v>11.129032258064516</v>
      </c>
      <c r="AJ158">
        <f t="shared" si="50"/>
        <v>15.129032258064516</v>
      </c>
      <c r="AK158">
        <f t="shared" si="51"/>
        <v>15.129032258064516</v>
      </c>
      <c r="AL158">
        <f t="shared" si="53"/>
        <v>1</v>
      </c>
      <c r="AM158" t="str">
        <f t="shared" si="42"/>
        <v>Ohio State University</v>
      </c>
      <c r="AN158">
        <v>0</v>
      </c>
      <c r="AO158">
        <v>58</v>
      </c>
      <c r="AP158">
        <f>VLOOKUP(D158, METADATALOOKUP!$A:$AI, 7, FALSE)</f>
        <v>46</v>
      </c>
      <c r="AQ158" t="str">
        <f>VLOOKUP(D158, METADATALOOKUP!$A:$AI, 8, FALSE)</f>
        <v>Male</v>
      </c>
      <c r="AR158" t="str">
        <f>VLOOKUP(D158, METADATALOOKUP!$A:$AI, 9, FALSE)</f>
        <v>White</v>
      </c>
      <c r="AS158" t="str">
        <f>VLOOKUP(D158, METADATALOOKUP!$A:$AI, 11, FALSE)</f>
        <v>Yes</v>
      </c>
      <c r="AT158" t="str">
        <f>VLOOKUP(D158, METADATALOOKUP!$A:$AI, 10, FALSE)</f>
        <v>Non-Hispanic</v>
      </c>
      <c r="AU158" t="str">
        <f>VLOOKUP(D158, METADATALOOKUP!$A:$AI, 12, FALSE)</f>
        <v>Yes</v>
      </c>
      <c r="AV158" t="str">
        <f>VLOOKUP(D158, METADATALOOKUP!$A:$AI, 14, FALSE)</f>
        <v>T4aN2cM0</v>
      </c>
      <c r="AW158" t="str">
        <f>VLOOKUP(D158, METADATALOOKUP!$A:$AI, 6, FALSE)</f>
        <v>High</v>
      </c>
      <c r="AX158" t="str">
        <f>VLOOKUP(D158, METADATALOOKUP!$A:$AI, 19, FALSE)</f>
        <v>Unknown</v>
      </c>
      <c r="AY158">
        <f>LOOKUP(D158, SURVLOOKUP!$A:$A, SURVLOOKUP!$P:$P)</f>
        <v>1</v>
      </c>
      <c r="AZ158" s="46">
        <v>0</v>
      </c>
      <c r="BA158" t="str">
        <f>TEXT(VLOOKUP(D158, METADATALOOKUP!$A:$AI, 34, FALSE), "@")</f>
        <v>&lt;10%</v>
      </c>
      <c r="BB158" s="47" t="str">
        <f t="shared" si="52"/>
        <v>Non-Responder</v>
      </c>
      <c r="BC158">
        <v>0.23400000000000001</v>
      </c>
      <c r="BD158" s="1">
        <v>42998</v>
      </c>
    </row>
    <row r="159" spans="1:56" x14ac:dyDescent="0.2">
      <c r="A159" s="3" t="s">
        <v>466</v>
      </c>
      <c r="B159" t="str">
        <f>VLOOKUP(A159, IDSLOOKUP!C:E, 2, FALSE)</f>
        <v>Adj Wk 1</v>
      </c>
      <c r="C159" t="str">
        <f>VLOOKUP(D159, METADATALOOKUP!$A:$AI, 13, FALSE)</f>
        <v>Oral Cavity</v>
      </c>
      <c r="D159" t="str">
        <f>VLOOKUP(A157, IDSLOOKUP!C:E, 3, FALSE)</f>
        <v>HN02-02</v>
      </c>
      <c r="E159" s="48">
        <f>VLOOKUP(A159,CFDNALOOKUP!AG:AI,2,FALSE)</f>
        <v>43833</v>
      </c>
      <c r="F159" s="48">
        <f>VLOOKUP(A159,CFDNALOOKUP!AG:AI,3,FALSE)</f>
        <v>43887</v>
      </c>
      <c r="G159" s="1">
        <f>VLOOKUP(D159, SURVLOOKUP!$A:$Q, 2, FALSE)</f>
        <v>42970</v>
      </c>
      <c r="H159" s="1">
        <f>VLOOKUP(D159, SURVLOOKUP!$A:$Q, 3, FALSE)</f>
        <v>42984</v>
      </c>
      <c r="I159" s="1">
        <f>VLOOKUP(D159, SURVLOOKUP!$A:$Q, 4, FALSE)</f>
        <v>42990</v>
      </c>
      <c r="J159" s="1">
        <f>VLOOKUP(D159, SURVLOOKUP!$A:$Q, 5, FALSE)</f>
        <v>42997</v>
      </c>
      <c r="K159" s="1">
        <f>VLOOKUP(D159, SURVLOOKUP!$A:$Q, 6, FALSE)</f>
        <v>43046</v>
      </c>
      <c r="L159" s="1">
        <f>VLOOKUP(D159, SURVLOOKUP!$A:$Q, 7, FALSE)</f>
        <v>43096</v>
      </c>
      <c r="M159" s="1">
        <f>VLOOKUP(D159, SURVLOOKUP!$A:$Q, 8, FALSE)</f>
        <v>43038</v>
      </c>
      <c r="N159" s="1">
        <f>VLOOKUP(D159, SURVLOOKUP!$A:$Q, 9, FALSE)</f>
        <v>43144</v>
      </c>
      <c r="O159" s="1" t="str">
        <f>VLOOKUP(D159, SURVLOOKUP!$A:$Q, 10, FALSE)</f>
        <v>NA</v>
      </c>
      <c r="P159" s="1">
        <f>VLOOKUP(D159, OLDSURVLOOKUP!$A:$AA, 19, FALSE)</f>
        <v>43498</v>
      </c>
      <c r="Q159" s="1">
        <f>VLOOKUP(D159, SURVLOOKUP!$A:$Q, 11, FALSE)</f>
        <v>43498</v>
      </c>
      <c r="R159" s="1">
        <f>VLOOKUP(D159, OLDSURVLOOKUP!$A:$AA, 20, FALSE)</f>
        <v>43377</v>
      </c>
      <c r="S159" s="1">
        <f>VLOOKUP(D159, SURVLOOKUP!$A:$Q, 12, FALSE)</f>
        <v>43377</v>
      </c>
      <c r="T159" s="1">
        <f>VLOOKUP(D159, OLDSURVLOOKUP!$A:$AA, 21, FALSE)</f>
        <v>43499</v>
      </c>
      <c r="U159" s="1">
        <f>VLOOKUP(D159, SURVLOOKUP!$A:$Q, 13, FALSE)</f>
        <v>43499</v>
      </c>
      <c r="V159">
        <f>_xlfn.XLOOKUP(D159, OLDSURVLOOKUP!$A:$A, OLDSURVLOOKUP!V:V)</f>
        <v>1</v>
      </c>
      <c r="W159">
        <f>VLOOKUP(D159, SURVLOOKUP!$A:$Q, 14, FALSE)</f>
        <v>1</v>
      </c>
      <c r="X159">
        <f>_xlfn.XLOOKUP(D159, OLDSURVLOOKUP!$A:$A, OLDSURVLOOKUP!X:X)</f>
        <v>1</v>
      </c>
      <c r="Y159">
        <f>VLOOKUP(D159, SURVLOOKUP!$A:$Q, 15, FALSE)</f>
        <v>1</v>
      </c>
      <c r="Z159">
        <f t="shared" si="43"/>
        <v>12.733333333333333</v>
      </c>
      <c r="AA159">
        <f t="shared" si="44"/>
        <v>12.733333333333333</v>
      </c>
      <c r="AB159">
        <f t="shared" si="45"/>
        <v>16.733333333333334</v>
      </c>
      <c r="AC159">
        <f t="shared" si="46"/>
        <v>16.733333333333334</v>
      </c>
      <c r="AD159">
        <f t="shared" si="47"/>
        <v>12.5</v>
      </c>
      <c r="AE159">
        <f t="shared" si="60"/>
        <v>12.5</v>
      </c>
      <c r="AF159">
        <f t="shared" si="58"/>
        <v>16.5</v>
      </c>
      <c r="AG159">
        <f t="shared" si="59"/>
        <v>16.5</v>
      </c>
      <c r="AH159">
        <f t="shared" si="48"/>
        <v>11.129032258064516</v>
      </c>
      <c r="AI159">
        <f t="shared" si="49"/>
        <v>11.129032258064516</v>
      </c>
      <c r="AJ159">
        <f t="shared" si="50"/>
        <v>15.129032258064516</v>
      </c>
      <c r="AK159">
        <f t="shared" si="51"/>
        <v>15.129032258064516</v>
      </c>
      <c r="AL159">
        <f t="shared" si="53"/>
        <v>1</v>
      </c>
      <c r="AM159" t="str">
        <f t="shared" si="42"/>
        <v>Ohio State University</v>
      </c>
      <c r="AN159">
        <v>0</v>
      </c>
      <c r="AO159">
        <v>58</v>
      </c>
      <c r="AP159">
        <f>VLOOKUP(D159, METADATALOOKUP!$A:$AI, 7, FALSE)</f>
        <v>46</v>
      </c>
      <c r="AQ159" t="str">
        <f>VLOOKUP(D159, METADATALOOKUP!$A:$AI, 8, FALSE)</f>
        <v>Male</v>
      </c>
      <c r="AR159" t="str">
        <f>VLOOKUP(D159, METADATALOOKUP!$A:$AI, 9, FALSE)</f>
        <v>White</v>
      </c>
      <c r="AS159" t="str">
        <f>VLOOKUP(D159, METADATALOOKUP!$A:$AI, 11, FALSE)</f>
        <v>Yes</v>
      </c>
      <c r="AT159" t="str">
        <f>VLOOKUP(D159, METADATALOOKUP!$A:$AI, 10, FALSE)</f>
        <v>Non-Hispanic</v>
      </c>
      <c r="AU159" t="str">
        <f>VLOOKUP(D159, METADATALOOKUP!$A:$AI, 12, FALSE)</f>
        <v>Yes</v>
      </c>
      <c r="AV159" t="str">
        <f>VLOOKUP(D159, METADATALOOKUP!$A:$AI, 14, FALSE)</f>
        <v>T4aN2cM0</v>
      </c>
      <c r="AW159" t="str">
        <f>VLOOKUP(D159, METADATALOOKUP!$A:$AI, 6, FALSE)</f>
        <v>High</v>
      </c>
      <c r="AX159" t="str">
        <f>VLOOKUP(D159, METADATALOOKUP!$A:$AI, 19, FALSE)</f>
        <v>Unknown</v>
      </c>
      <c r="AY159">
        <f>LOOKUP(D159, SURVLOOKUP!$A:$A, SURVLOOKUP!$P:$P)</f>
        <v>1</v>
      </c>
      <c r="AZ159" s="46">
        <v>0</v>
      </c>
      <c r="BA159" t="str">
        <f>TEXT(VLOOKUP(D159, METADATALOOKUP!$A:$AI, 34, FALSE), "@")</f>
        <v>&lt;10%</v>
      </c>
      <c r="BB159" s="47" t="str">
        <f t="shared" si="52"/>
        <v>Non-Responder</v>
      </c>
      <c r="BC159">
        <v>0.114</v>
      </c>
      <c r="BD159" s="1">
        <v>43039</v>
      </c>
    </row>
    <row r="160" spans="1:56" x14ac:dyDescent="0.2">
      <c r="A160" s="3" t="s">
        <v>467</v>
      </c>
      <c r="B160" t="str">
        <f>VLOOKUP(A160, IDSLOOKUP!C:E, 2, FALSE)</f>
        <v>Screen</v>
      </c>
      <c r="C160" t="str">
        <f>VLOOKUP(D160, METADATALOOKUP!$A:$AI, 13, FALSE)</f>
        <v>Oral Cavity</v>
      </c>
      <c r="D160" t="str">
        <f>VLOOKUP(A160, IDSLOOKUP!C:E, 3, FALSE)</f>
        <v>HN02-05</v>
      </c>
      <c r="E160" s="48">
        <f>VLOOKUP(A160,CFDNALOOKUP!AG:AI,2,FALSE)</f>
        <v>43833</v>
      </c>
      <c r="F160" s="48">
        <f>VLOOKUP(A160,CFDNALOOKUP!AG:AI,3,FALSE)</f>
        <v>43901</v>
      </c>
      <c r="G160" s="1">
        <f>VLOOKUP(D160, SURVLOOKUP!$A:$Q, 2, FALSE)</f>
        <v>43039</v>
      </c>
      <c r="H160" s="1">
        <f>VLOOKUP(D160, SURVLOOKUP!$A:$Q, 3, FALSE)</f>
        <v>43056</v>
      </c>
      <c r="I160" s="1">
        <f>VLOOKUP(D160, SURVLOOKUP!$A:$Q, 4, FALSE)</f>
        <v>43076</v>
      </c>
      <c r="J160" s="1">
        <f>VLOOKUP(D160, SURVLOOKUP!$A:$Q, 5, FALSE)</f>
        <v>43083</v>
      </c>
      <c r="K160" s="1">
        <f>VLOOKUP(D160, SURVLOOKUP!$A:$Q, 6, FALSE)</f>
        <v>43123</v>
      </c>
      <c r="L160" s="1">
        <f>VLOOKUP(D160, SURVLOOKUP!$A:$Q, 7, FALSE)</f>
        <v>43165</v>
      </c>
      <c r="M160" s="1">
        <f>VLOOKUP(D160, SURVLOOKUP!$A:$Q, 8, FALSE)</f>
        <v>43116</v>
      </c>
      <c r="N160" s="1">
        <f>VLOOKUP(D160, SURVLOOKUP!$A:$Q, 9, FALSE)</f>
        <v>43223</v>
      </c>
      <c r="O160" s="1" t="str">
        <f>VLOOKUP(D160, SURVLOOKUP!$A:$Q, 10, FALSE)</f>
        <v>NA</v>
      </c>
      <c r="P160" s="1">
        <f>VLOOKUP(D160, OLDSURVLOOKUP!$A:$AA, 19, FALSE)</f>
        <v>43563</v>
      </c>
      <c r="Q160" s="1">
        <f>VLOOKUP(D160, SURVLOOKUP!$A:$Q, 11, FALSE)</f>
        <v>43563</v>
      </c>
      <c r="R160" s="1">
        <f>VLOOKUP(D160, OLDSURVLOOKUP!$A:$AA, 20, FALSE)</f>
        <v>43326</v>
      </c>
      <c r="S160" s="1">
        <f>VLOOKUP(D160, SURVLOOKUP!$A:$Q, 12, FALSE)</f>
        <v>43326</v>
      </c>
      <c r="T160" s="1">
        <f>VLOOKUP(D160, OLDSURVLOOKUP!$A:$AA, 21, FALSE)</f>
        <v>43564</v>
      </c>
      <c r="U160" s="1">
        <f>VLOOKUP(D160, SURVLOOKUP!$A:$Q, 13, FALSE)</f>
        <v>43564</v>
      </c>
      <c r="V160">
        <f>_xlfn.XLOOKUP(D160, OLDSURVLOOKUP!$A:$A, OLDSURVLOOKUP!V:V)</f>
        <v>1</v>
      </c>
      <c r="W160">
        <f>VLOOKUP(D160, SURVLOOKUP!$A:$Q, 14, FALSE)</f>
        <v>1</v>
      </c>
      <c r="X160">
        <f>_xlfn.XLOOKUP(D160, OLDSURVLOOKUP!$A:$A, OLDSURVLOOKUP!X:X)</f>
        <v>1</v>
      </c>
      <c r="Y160">
        <f>VLOOKUP(D160, SURVLOOKUP!$A:$Q, 15, FALSE)</f>
        <v>1</v>
      </c>
      <c r="Z160">
        <f t="shared" si="43"/>
        <v>8.2258064516129039</v>
      </c>
      <c r="AA160">
        <f t="shared" si="44"/>
        <v>8.2258064516129039</v>
      </c>
      <c r="AB160">
        <f t="shared" si="45"/>
        <v>16.06451612903226</v>
      </c>
      <c r="AC160">
        <f t="shared" si="46"/>
        <v>16.06451612903226</v>
      </c>
      <c r="AD160">
        <f t="shared" si="47"/>
        <v>8</v>
      </c>
      <c r="AE160">
        <f t="shared" si="60"/>
        <v>8</v>
      </c>
      <c r="AF160">
        <f t="shared" si="58"/>
        <v>15.838709677419354</v>
      </c>
      <c r="AG160">
        <f t="shared" si="59"/>
        <v>15.838709677419354</v>
      </c>
      <c r="AH160">
        <f t="shared" si="48"/>
        <v>6.935483870967742</v>
      </c>
      <c r="AI160">
        <f t="shared" si="49"/>
        <v>6.935483870967742</v>
      </c>
      <c r="AJ160">
        <f t="shared" si="50"/>
        <v>14.774193548387096</v>
      </c>
      <c r="AK160">
        <f t="shared" si="51"/>
        <v>14.774193548387096</v>
      </c>
      <c r="AL160">
        <f t="shared" si="53"/>
        <v>1</v>
      </c>
      <c r="AM160" t="str">
        <f t="shared" si="42"/>
        <v>Ohio State University</v>
      </c>
      <c r="AN160">
        <v>0</v>
      </c>
      <c r="AO160">
        <v>59</v>
      </c>
      <c r="AP160">
        <f>VLOOKUP(D160, METADATALOOKUP!$A:$AI, 7, FALSE)</f>
        <v>37</v>
      </c>
      <c r="AQ160" t="str">
        <f>VLOOKUP(D160, METADATALOOKUP!$A:$AI, 8, FALSE)</f>
        <v>Male</v>
      </c>
      <c r="AR160" t="str">
        <f>VLOOKUP(D160, METADATALOOKUP!$A:$AI, 9, FALSE)</f>
        <v>White</v>
      </c>
      <c r="AS160" t="str">
        <f>VLOOKUP(D160, METADATALOOKUP!$A:$AI, 11, FALSE)</f>
        <v>Yes</v>
      </c>
      <c r="AT160" t="str">
        <f>VLOOKUP(D160, METADATALOOKUP!$A:$AI, 10, FALSE)</f>
        <v>Non-Hispanic</v>
      </c>
      <c r="AU160" t="str">
        <f>VLOOKUP(D160, METADATALOOKUP!$A:$AI, 12, FALSE)</f>
        <v>No</v>
      </c>
      <c r="AV160" t="str">
        <f>VLOOKUP(D160, METADATALOOKUP!$A:$AI, 14, FALSE)</f>
        <v>cT4aN2cM0</v>
      </c>
      <c r="AW160" t="str">
        <f>VLOOKUP(D160, METADATALOOKUP!$A:$AI, 6, FALSE)</f>
        <v>High</v>
      </c>
      <c r="AX160" t="str">
        <f>VLOOKUP(D160, METADATALOOKUP!$A:$AI, 19, FALSE)</f>
        <v>No</v>
      </c>
      <c r="AY160">
        <f>LOOKUP(D160, SURVLOOKUP!$A:$A, SURVLOOKUP!$P:$P)</f>
        <v>0</v>
      </c>
      <c r="AZ160" s="46">
        <v>0</v>
      </c>
      <c r="BA160" t="str">
        <f>TEXT(VLOOKUP(D160, METADATALOOKUP!$A:$AI, 34, FALSE), "@")</f>
        <v>&lt;10%</v>
      </c>
      <c r="BB160" s="47" t="str">
        <f t="shared" si="52"/>
        <v>Non-Responder</v>
      </c>
      <c r="BC160">
        <v>1.04</v>
      </c>
      <c r="BD160" s="1">
        <v>43077</v>
      </c>
    </row>
    <row r="161" spans="1:56" x14ac:dyDescent="0.2">
      <c r="A161" s="3" t="s">
        <v>469</v>
      </c>
      <c r="B161" t="str">
        <f>VLOOKUP(A161, IDSLOOKUP!C:E, 2, FALSE)</f>
        <v>Day 0</v>
      </c>
      <c r="C161" t="str">
        <f>VLOOKUP(D161, METADATALOOKUP!$A:$AI, 13, FALSE)</f>
        <v>Oral Cavity</v>
      </c>
      <c r="D161" t="str">
        <f>VLOOKUP(A161, IDSLOOKUP!C:E, 3, FALSE)</f>
        <v>HN02-05</v>
      </c>
      <c r="E161" s="48">
        <f>VLOOKUP(A161,CFDNALOOKUP!AG:AI,2,FALSE)</f>
        <v>43833</v>
      </c>
      <c r="F161" s="48">
        <f>VLOOKUP(A161,CFDNALOOKUP!AG:AI,3,FALSE)</f>
        <v>43889</v>
      </c>
      <c r="G161" s="1">
        <f>VLOOKUP(D161, SURVLOOKUP!$A:$Q, 2, FALSE)</f>
        <v>43039</v>
      </c>
      <c r="H161" s="1">
        <f>VLOOKUP(D161, SURVLOOKUP!$A:$Q, 3, FALSE)</f>
        <v>43056</v>
      </c>
      <c r="I161" s="1">
        <f>VLOOKUP(D161, SURVLOOKUP!$A:$Q, 4, FALSE)</f>
        <v>43076</v>
      </c>
      <c r="J161" s="1">
        <f>VLOOKUP(D161, SURVLOOKUP!$A:$Q, 5, FALSE)</f>
        <v>43083</v>
      </c>
      <c r="K161" s="1">
        <f>VLOOKUP(D161, SURVLOOKUP!$A:$Q, 6, FALSE)</f>
        <v>43123</v>
      </c>
      <c r="L161" s="1">
        <f>VLOOKUP(D161, SURVLOOKUP!$A:$Q, 7, FALSE)</f>
        <v>43165</v>
      </c>
      <c r="M161" s="1">
        <f>VLOOKUP(D161, SURVLOOKUP!$A:$Q, 8, FALSE)</f>
        <v>43116</v>
      </c>
      <c r="N161" s="1">
        <f>VLOOKUP(D161, SURVLOOKUP!$A:$Q, 9, FALSE)</f>
        <v>43223</v>
      </c>
      <c r="O161" s="1" t="str">
        <f>VLOOKUP(D161, SURVLOOKUP!$A:$Q, 10, FALSE)</f>
        <v>NA</v>
      </c>
      <c r="P161" s="1">
        <f>VLOOKUP(D161, OLDSURVLOOKUP!$A:$AA, 19, FALSE)</f>
        <v>43563</v>
      </c>
      <c r="Q161" s="1">
        <f>VLOOKUP(D161, SURVLOOKUP!$A:$Q, 11, FALSE)</f>
        <v>43563</v>
      </c>
      <c r="R161" s="1">
        <f>VLOOKUP(D161, OLDSURVLOOKUP!$A:$AA, 20, FALSE)</f>
        <v>43326</v>
      </c>
      <c r="S161" s="1">
        <f>VLOOKUP(D161, SURVLOOKUP!$A:$Q, 12, FALSE)</f>
        <v>43326</v>
      </c>
      <c r="T161" s="1">
        <f>VLOOKUP(D161, OLDSURVLOOKUP!$A:$AA, 21, FALSE)</f>
        <v>43564</v>
      </c>
      <c r="U161" s="1">
        <f>VLOOKUP(D161, SURVLOOKUP!$A:$Q, 13, FALSE)</f>
        <v>43564</v>
      </c>
      <c r="V161">
        <f>_xlfn.XLOOKUP(D161, OLDSURVLOOKUP!$A:$A, OLDSURVLOOKUP!V:V)</f>
        <v>1</v>
      </c>
      <c r="W161">
        <f>VLOOKUP(D161, SURVLOOKUP!$A:$Q, 14, FALSE)</f>
        <v>1</v>
      </c>
      <c r="X161">
        <f>_xlfn.XLOOKUP(D161, OLDSURVLOOKUP!$A:$A, OLDSURVLOOKUP!X:X)</f>
        <v>1</v>
      </c>
      <c r="Y161">
        <f>VLOOKUP(D161, SURVLOOKUP!$A:$Q, 15, FALSE)</f>
        <v>1</v>
      </c>
      <c r="Z161">
        <f t="shared" si="43"/>
        <v>8.2258064516129039</v>
      </c>
      <c r="AA161">
        <f t="shared" si="44"/>
        <v>8.2258064516129039</v>
      </c>
      <c r="AB161">
        <f t="shared" si="45"/>
        <v>16.06451612903226</v>
      </c>
      <c r="AC161">
        <f t="shared" si="46"/>
        <v>16.06451612903226</v>
      </c>
      <c r="AD161">
        <f t="shared" si="47"/>
        <v>8</v>
      </c>
      <c r="AE161">
        <f t="shared" si="60"/>
        <v>8</v>
      </c>
      <c r="AF161">
        <f t="shared" si="58"/>
        <v>15.838709677419354</v>
      </c>
      <c r="AG161">
        <f t="shared" si="59"/>
        <v>15.838709677419354</v>
      </c>
      <c r="AH161">
        <f t="shared" si="48"/>
        <v>6.935483870967742</v>
      </c>
      <c r="AI161">
        <f t="shared" si="49"/>
        <v>6.935483870967742</v>
      </c>
      <c r="AJ161">
        <f t="shared" si="50"/>
        <v>14.774193548387096</v>
      </c>
      <c r="AK161">
        <f t="shared" si="51"/>
        <v>14.774193548387096</v>
      </c>
      <c r="AL161">
        <f t="shared" si="53"/>
        <v>1</v>
      </c>
      <c r="AM161" t="str">
        <f t="shared" si="42"/>
        <v>Ohio State University</v>
      </c>
      <c r="AN161">
        <v>0</v>
      </c>
      <c r="AO161">
        <v>59</v>
      </c>
      <c r="AP161">
        <f>VLOOKUP(D161, METADATALOOKUP!$A:$AI, 7, FALSE)</f>
        <v>37</v>
      </c>
      <c r="AQ161" t="str">
        <f>VLOOKUP(D161, METADATALOOKUP!$A:$AI, 8, FALSE)</f>
        <v>Male</v>
      </c>
      <c r="AR161" t="str">
        <f>VLOOKUP(D161, METADATALOOKUP!$A:$AI, 9, FALSE)</f>
        <v>White</v>
      </c>
      <c r="AS161" t="str">
        <f>VLOOKUP(D161, METADATALOOKUP!$A:$AI, 11, FALSE)</f>
        <v>Yes</v>
      </c>
      <c r="AT161" t="str">
        <f>VLOOKUP(D161, METADATALOOKUP!$A:$AI, 10, FALSE)</f>
        <v>Non-Hispanic</v>
      </c>
      <c r="AU161" t="str">
        <f>VLOOKUP(D161, METADATALOOKUP!$A:$AI, 12, FALSE)</f>
        <v>No</v>
      </c>
      <c r="AV161" t="str">
        <f>VLOOKUP(D161, METADATALOOKUP!$A:$AI, 14, FALSE)</f>
        <v>cT4aN2cM0</v>
      </c>
      <c r="AW161" t="str">
        <f>VLOOKUP(D161, METADATALOOKUP!$A:$AI, 6, FALSE)</f>
        <v>High</v>
      </c>
      <c r="AX161" t="str">
        <f>VLOOKUP(D161, METADATALOOKUP!$A:$AI, 19, FALSE)</f>
        <v>No</v>
      </c>
      <c r="AY161">
        <f>LOOKUP(D161, SURVLOOKUP!$A:$A, SURVLOOKUP!$P:$P)</f>
        <v>0</v>
      </c>
      <c r="AZ161" s="46">
        <v>0</v>
      </c>
      <c r="BA161" t="str">
        <f>TEXT(VLOOKUP(D161, METADATALOOKUP!$A:$AI, 34, FALSE), "@")</f>
        <v>&lt;10%</v>
      </c>
      <c r="BB161" s="47" t="str">
        <f t="shared" si="52"/>
        <v>Non-Responder</v>
      </c>
      <c r="BC161">
        <v>0.65600000000000003</v>
      </c>
      <c r="BD161" s="1">
        <v>43084</v>
      </c>
    </row>
    <row r="162" spans="1:56" x14ac:dyDescent="0.2">
      <c r="A162" s="3" t="s">
        <v>470</v>
      </c>
      <c r="B162" t="str">
        <f>VLOOKUP(A162, IDSLOOKUP!C:E, 2, FALSE)</f>
        <v>Adj Wk 1</v>
      </c>
      <c r="C162" t="str">
        <f>VLOOKUP(D162, METADATALOOKUP!$A:$AI, 13, FALSE)</f>
        <v>Oral Cavity</v>
      </c>
      <c r="D162" t="str">
        <f>VLOOKUP(A162, IDSLOOKUP!C:E, 3, FALSE)</f>
        <v>HN02-05</v>
      </c>
      <c r="E162" s="48">
        <f>VLOOKUP(A162,CFDNALOOKUP!AG:AI,2,FALSE)</f>
        <v>43833</v>
      </c>
      <c r="F162" s="48">
        <f>VLOOKUP(A162,CFDNALOOKUP!AG:AI,3,FALSE)</f>
        <v>43898</v>
      </c>
      <c r="G162" s="1">
        <f>VLOOKUP(D162, SURVLOOKUP!$A:$Q, 2, FALSE)</f>
        <v>43039</v>
      </c>
      <c r="H162" s="1">
        <f>VLOOKUP(D162, SURVLOOKUP!$A:$Q, 3, FALSE)</f>
        <v>43056</v>
      </c>
      <c r="I162" s="1">
        <f>VLOOKUP(D162, SURVLOOKUP!$A:$Q, 4, FALSE)</f>
        <v>43076</v>
      </c>
      <c r="J162" s="1">
        <f>VLOOKUP(D162, SURVLOOKUP!$A:$Q, 5, FALSE)</f>
        <v>43083</v>
      </c>
      <c r="K162" s="1">
        <f>VLOOKUP(D162, SURVLOOKUP!$A:$Q, 6, FALSE)</f>
        <v>43123</v>
      </c>
      <c r="L162" s="1">
        <f>VLOOKUP(D162, SURVLOOKUP!$A:$Q, 7, FALSE)</f>
        <v>43165</v>
      </c>
      <c r="M162" s="1">
        <f>VLOOKUP(D162, SURVLOOKUP!$A:$Q, 8, FALSE)</f>
        <v>43116</v>
      </c>
      <c r="N162" s="1">
        <f>VLOOKUP(D162, SURVLOOKUP!$A:$Q, 9, FALSE)</f>
        <v>43223</v>
      </c>
      <c r="O162" s="1" t="str">
        <f>VLOOKUP(D162, SURVLOOKUP!$A:$Q, 10, FALSE)</f>
        <v>NA</v>
      </c>
      <c r="P162" s="1">
        <f>VLOOKUP(D162, OLDSURVLOOKUP!$A:$AA, 19, FALSE)</f>
        <v>43563</v>
      </c>
      <c r="Q162" s="1">
        <f>VLOOKUP(D162, SURVLOOKUP!$A:$Q, 11, FALSE)</f>
        <v>43563</v>
      </c>
      <c r="R162" s="1">
        <f>VLOOKUP(D162, OLDSURVLOOKUP!$A:$AA, 20, FALSE)</f>
        <v>43326</v>
      </c>
      <c r="S162" s="1">
        <f>VLOOKUP(D162, SURVLOOKUP!$A:$Q, 12, FALSE)</f>
        <v>43326</v>
      </c>
      <c r="T162" s="1">
        <f>VLOOKUP(D162, OLDSURVLOOKUP!$A:$AA, 21, FALSE)</f>
        <v>43564</v>
      </c>
      <c r="U162" s="1">
        <f>VLOOKUP(D162, SURVLOOKUP!$A:$Q, 13, FALSE)</f>
        <v>43564</v>
      </c>
      <c r="V162">
        <f>_xlfn.XLOOKUP(D162, OLDSURVLOOKUP!$A:$A, OLDSURVLOOKUP!V:V)</f>
        <v>1</v>
      </c>
      <c r="W162">
        <f>VLOOKUP(D162, SURVLOOKUP!$A:$Q, 14, FALSE)</f>
        <v>1</v>
      </c>
      <c r="X162">
        <f>_xlfn.XLOOKUP(D162, OLDSURVLOOKUP!$A:$A, OLDSURVLOOKUP!X:X)</f>
        <v>1</v>
      </c>
      <c r="Y162">
        <f>VLOOKUP(D162, SURVLOOKUP!$A:$Q, 15, FALSE)</f>
        <v>1</v>
      </c>
      <c r="Z162">
        <f t="shared" si="43"/>
        <v>8.2258064516129039</v>
      </c>
      <c r="AA162">
        <f t="shared" si="44"/>
        <v>8.2258064516129039</v>
      </c>
      <c r="AB162">
        <f t="shared" si="45"/>
        <v>16.06451612903226</v>
      </c>
      <c r="AC162">
        <f t="shared" si="46"/>
        <v>16.06451612903226</v>
      </c>
      <c r="AD162">
        <f t="shared" si="47"/>
        <v>8</v>
      </c>
      <c r="AE162">
        <f t="shared" si="60"/>
        <v>8</v>
      </c>
      <c r="AF162">
        <f t="shared" si="58"/>
        <v>15.838709677419354</v>
      </c>
      <c r="AG162">
        <f t="shared" si="59"/>
        <v>15.838709677419354</v>
      </c>
      <c r="AH162">
        <f t="shared" si="48"/>
        <v>6.935483870967742</v>
      </c>
      <c r="AI162">
        <f t="shared" si="49"/>
        <v>6.935483870967742</v>
      </c>
      <c r="AJ162">
        <f t="shared" si="50"/>
        <v>14.774193548387096</v>
      </c>
      <c r="AK162">
        <f t="shared" si="51"/>
        <v>14.774193548387096</v>
      </c>
      <c r="AL162">
        <f t="shared" si="53"/>
        <v>1</v>
      </c>
      <c r="AM162" t="str">
        <f t="shared" ref="AM162:AM186" si="61">IFERROR(
  CHOOSE(
    VALUE(MID(D162, FIND("-", D162) - 1, 1)),
    "University of Cincinnati",
    "Ohio State University",
    "Medical University of South Carolina",
    "University of Michigan",
    "University of Louisville",
    "MD Anderson"
  ),
  "Unknown"
)</f>
        <v>Ohio State University</v>
      </c>
      <c r="AN162">
        <v>0</v>
      </c>
      <c r="AO162">
        <v>59</v>
      </c>
      <c r="AP162">
        <f>VLOOKUP(D162, METADATALOOKUP!$A:$AI, 7, FALSE)</f>
        <v>37</v>
      </c>
      <c r="AQ162" t="str">
        <f>VLOOKUP(D162, METADATALOOKUP!$A:$AI, 8, FALSE)</f>
        <v>Male</v>
      </c>
      <c r="AR162" t="str">
        <f>VLOOKUP(D162, METADATALOOKUP!$A:$AI, 9, FALSE)</f>
        <v>White</v>
      </c>
      <c r="AS162" t="str">
        <f>VLOOKUP(D162, METADATALOOKUP!$A:$AI, 11, FALSE)</f>
        <v>Yes</v>
      </c>
      <c r="AT162" t="str">
        <f>VLOOKUP(D162, METADATALOOKUP!$A:$AI, 10, FALSE)</f>
        <v>Non-Hispanic</v>
      </c>
      <c r="AU162" t="str">
        <f>VLOOKUP(D162, METADATALOOKUP!$A:$AI, 12, FALSE)</f>
        <v>No</v>
      </c>
      <c r="AV162" t="str">
        <f>VLOOKUP(D162, METADATALOOKUP!$A:$AI, 14, FALSE)</f>
        <v>cT4aN2cM0</v>
      </c>
      <c r="AW162" t="str">
        <f>VLOOKUP(D162, METADATALOOKUP!$A:$AI, 6, FALSE)</f>
        <v>High</v>
      </c>
      <c r="AX162" t="str">
        <f>VLOOKUP(D162, METADATALOOKUP!$A:$AI, 19, FALSE)</f>
        <v>No</v>
      </c>
      <c r="AY162">
        <f>LOOKUP(D162, SURVLOOKUP!$A:$A, SURVLOOKUP!$P:$P)</f>
        <v>0</v>
      </c>
      <c r="AZ162" s="46">
        <v>0</v>
      </c>
      <c r="BA162" t="str">
        <f>TEXT(VLOOKUP(D162, METADATALOOKUP!$A:$AI, 34, FALSE), "@")</f>
        <v>&lt;10%</v>
      </c>
      <c r="BB162" s="47" t="str">
        <f t="shared" si="52"/>
        <v>Non-Responder</v>
      </c>
      <c r="BC162">
        <v>0.192</v>
      </c>
      <c r="BD162" s="1">
        <v>43117</v>
      </c>
    </row>
    <row r="163" spans="1:56" x14ac:dyDescent="0.2">
      <c r="A163" s="3" t="s">
        <v>471</v>
      </c>
      <c r="B163" t="str">
        <f>VLOOKUP(A163, IDSLOOKUP!C:E, 2, FALSE)</f>
        <v>Screen</v>
      </c>
      <c r="C163" t="str">
        <f>VLOOKUP(D163, METADATALOOKUP!$A:$AI, 13, FALSE)</f>
        <v>Larynx</v>
      </c>
      <c r="D163" t="str">
        <f>VLOOKUP(A163, IDSLOOKUP!C:E, 3, FALSE)</f>
        <v>HN04-02</v>
      </c>
      <c r="E163" s="48">
        <f>VLOOKUP(A163,CFDNALOOKUP!AG:AI,2,FALSE)</f>
        <v>43833</v>
      </c>
      <c r="F163" s="48">
        <f>VLOOKUP(A163,CFDNALOOKUP!AG:AI,3,FALSE)</f>
        <v>43898</v>
      </c>
      <c r="G163" s="1">
        <f>VLOOKUP(D163, SURVLOOKUP!$A:$Q, 2, FALSE)</f>
        <v>42370</v>
      </c>
      <c r="H163" s="1">
        <f>VLOOKUP(D163, SURVLOOKUP!$A:$Q, 3, FALSE)</f>
        <v>42922</v>
      </c>
      <c r="I163" s="1">
        <f>VLOOKUP(D163, SURVLOOKUP!$A:$Q, 4, FALSE)</f>
        <v>42926</v>
      </c>
      <c r="J163" s="1">
        <f>VLOOKUP(D163, SURVLOOKUP!$A:$Q, 5, FALSE)</f>
        <v>42934</v>
      </c>
      <c r="K163" s="1">
        <f>VLOOKUP(D163, SURVLOOKUP!$A:$Q, 6, FALSE)</f>
        <v>42976</v>
      </c>
      <c r="L163" s="1">
        <f>VLOOKUP(D163, SURVLOOKUP!$A:$Q, 7, FALSE)</f>
        <v>43010</v>
      </c>
      <c r="M163" s="1">
        <f>VLOOKUP(D163, SURVLOOKUP!$A:$Q, 8, FALSE)</f>
        <v>42969</v>
      </c>
      <c r="N163" s="1">
        <f>VLOOKUP(D163, SURVLOOKUP!$A:$Q, 9, FALSE)</f>
        <v>43074</v>
      </c>
      <c r="O163" s="1" t="str">
        <f>VLOOKUP(D163, SURVLOOKUP!$A:$Q, 10, FALSE)</f>
        <v>NA</v>
      </c>
      <c r="P163" s="1">
        <f>VLOOKUP(D163, OLDSURVLOOKUP!$A:$AA, 19, FALSE)</f>
        <v>44326</v>
      </c>
      <c r="Q163" s="1">
        <f>VLOOKUP(D163, SURVLOOKUP!$A:$Q, 11, FALSE)</f>
        <v>44904</v>
      </c>
      <c r="R163" s="1">
        <f>VLOOKUP(D163, OLDSURVLOOKUP!$A:$AA, 20, FALSE)</f>
        <v>44326</v>
      </c>
      <c r="S163" s="1">
        <f>VLOOKUP(D163, SURVLOOKUP!$A:$Q, 12, FALSE)</f>
        <v>44326</v>
      </c>
      <c r="T163" s="1"/>
      <c r="U163" s="1"/>
      <c r="V163">
        <f>_xlfn.XLOOKUP(D163, OLDSURVLOOKUP!$A:$A, OLDSURVLOOKUP!V:V)</f>
        <v>1</v>
      </c>
      <c r="W163">
        <f>VLOOKUP(D163, SURVLOOKUP!$A:$Q, 14, FALSE)</f>
        <v>1</v>
      </c>
      <c r="X163">
        <f>_xlfn.XLOOKUP(D163, OLDSURVLOOKUP!$A:$A, OLDSURVLOOKUP!X:X)</f>
        <v>0</v>
      </c>
      <c r="Y163">
        <f>VLOOKUP(D163, SURVLOOKUP!$A:$Q, 15, FALSE)</f>
        <v>0</v>
      </c>
      <c r="Z163">
        <f t="shared" si="43"/>
        <v>46</v>
      </c>
      <c r="AA163">
        <f t="shared" si="44"/>
        <v>46</v>
      </c>
      <c r="AB163">
        <f t="shared" si="45"/>
        <v>46</v>
      </c>
      <c r="AC163">
        <f t="shared" si="46"/>
        <v>64.935483870967744</v>
      </c>
      <c r="AD163">
        <f t="shared" si="47"/>
        <v>45.70967741935484</v>
      </c>
      <c r="AE163">
        <f t="shared" si="60"/>
        <v>45.70967741935484</v>
      </c>
      <c r="AF163">
        <f t="shared" si="58"/>
        <v>45.70967741935484</v>
      </c>
      <c r="AG163">
        <f t="shared" si="59"/>
        <v>64.677419354838705</v>
      </c>
      <c r="AH163">
        <f t="shared" si="48"/>
        <v>44.58064516129032</v>
      </c>
      <c r="AI163">
        <f t="shared" si="49"/>
        <v>44.58064516129032</v>
      </c>
      <c r="AJ163">
        <f t="shared" si="50"/>
        <v>44.58064516129032</v>
      </c>
      <c r="AK163">
        <f t="shared" si="51"/>
        <v>63.548387096774192</v>
      </c>
      <c r="AL163">
        <f t="shared" si="53"/>
        <v>1</v>
      </c>
      <c r="AM163" t="str">
        <f t="shared" si="61"/>
        <v>University of Michigan</v>
      </c>
      <c r="AN163">
        <v>0</v>
      </c>
      <c r="AO163">
        <v>60</v>
      </c>
      <c r="AP163">
        <f>VLOOKUP(D163, METADATALOOKUP!$A:$AI, 7, FALSE)</f>
        <v>42</v>
      </c>
      <c r="AQ163" t="str">
        <f>VLOOKUP(D163, METADATALOOKUP!$A:$AI, 8, FALSE)</f>
        <v>Male</v>
      </c>
      <c r="AR163" t="str">
        <f>VLOOKUP(D163, METADATALOOKUP!$A:$AI, 9, FALSE)</f>
        <v>White</v>
      </c>
      <c r="AS163" t="str">
        <f>VLOOKUP(D163, METADATALOOKUP!$A:$AI, 11, FALSE)</f>
        <v>Yes</v>
      </c>
      <c r="AT163" t="str">
        <f>VLOOKUP(D163, METADATALOOKUP!$A:$AI, 10, FALSE)</f>
        <v>Non-Hispanic</v>
      </c>
      <c r="AU163" t="str">
        <f>VLOOKUP(D163, METADATALOOKUP!$A:$AI, 12, FALSE)</f>
        <v>No</v>
      </c>
      <c r="AV163" t="str">
        <f>VLOOKUP(D163, METADATALOOKUP!$A:$AI, 14, FALSE)</f>
        <v>T4aN0M0</v>
      </c>
      <c r="AW163" t="str">
        <f>VLOOKUP(D163, METADATALOOKUP!$A:$AI, 6, FALSE)</f>
        <v>Intermediate</v>
      </c>
      <c r="AX163" t="str">
        <f>VLOOKUP(D163, METADATALOOKUP!$A:$AI, 19, FALSE)</f>
        <v>No</v>
      </c>
      <c r="AY163">
        <f>LOOKUP(D163, SURVLOOKUP!$A:$A, SURVLOOKUP!$P:$P)</f>
        <v>0</v>
      </c>
      <c r="AZ163" s="46">
        <v>0</v>
      </c>
      <c r="BA163" t="str">
        <f>TEXT(VLOOKUP(D163, METADATALOOKUP!$A:$AI, 34, FALSE), "@")</f>
        <v>&lt;10%</v>
      </c>
      <c r="BB163" s="47" t="str">
        <f t="shared" si="52"/>
        <v>Non-Responder</v>
      </c>
      <c r="BC163">
        <v>4.24</v>
      </c>
      <c r="BD163" s="1">
        <v>42927</v>
      </c>
    </row>
    <row r="164" spans="1:56" x14ac:dyDescent="0.2">
      <c r="A164" s="3" t="s">
        <v>473</v>
      </c>
      <c r="B164" t="str">
        <f>VLOOKUP(A164, IDSLOOKUP!C:E, 2, FALSE)</f>
        <v>Day 0</v>
      </c>
      <c r="C164" t="str">
        <f>VLOOKUP(D164, METADATALOOKUP!$A:$AI, 13, FALSE)</f>
        <v>Larynx</v>
      </c>
      <c r="D164" t="str">
        <f>VLOOKUP(A164, IDSLOOKUP!C:E, 3, FALSE)</f>
        <v>HN04-02</v>
      </c>
      <c r="E164" s="48">
        <f>VLOOKUP(A164,CFDNALOOKUP!AG:AI,2,FALSE)</f>
        <v>43833</v>
      </c>
      <c r="F164" s="48">
        <f>VLOOKUP(A164,CFDNALOOKUP!AG:AI,3,FALSE)</f>
        <v>43888</v>
      </c>
      <c r="G164" s="1">
        <f>VLOOKUP(D164, SURVLOOKUP!$A:$Q, 2, FALSE)</f>
        <v>42370</v>
      </c>
      <c r="H164" s="1">
        <f>VLOOKUP(D164, SURVLOOKUP!$A:$Q, 3, FALSE)</f>
        <v>42922</v>
      </c>
      <c r="I164" s="1">
        <f>VLOOKUP(D164, SURVLOOKUP!$A:$Q, 4, FALSE)</f>
        <v>42926</v>
      </c>
      <c r="J164" s="1">
        <f>VLOOKUP(D164, SURVLOOKUP!$A:$Q, 5, FALSE)</f>
        <v>42934</v>
      </c>
      <c r="K164" s="1">
        <f>VLOOKUP(D164, SURVLOOKUP!$A:$Q, 6, FALSE)</f>
        <v>42976</v>
      </c>
      <c r="L164" s="1">
        <f>VLOOKUP(D164, SURVLOOKUP!$A:$Q, 7, FALSE)</f>
        <v>43010</v>
      </c>
      <c r="M164" s="1">
        <f>VLOOKUP(D164, SURVLOOKUP!$A:$Q, 8, FALSE)</f>
        <v>42969</v>
      </c>
      <c r="N164" s="1">
        <f>VLOOKUP(D164, SURVLOOKUP!$A:$Q, 9, FALSE)</f>
        <v>43074</v>
      </c>
      <c r="O164" s="1" t="str">
        <f>VLOOKUP(D164, SURVLOOKUP!$A:$Q, 10, FALSE)</f>
        <v>NA</v>
      </c>
      <c r="P164" s="1">
        <f>VLOOKUP(D164, OLDSURVLOOKUP!$A:$AA, 19, FALSE)</f>
        <v>44326</v>
      </c>
      <c r="Q164" s="1">
        <f>VLOOKUP(D164, SURVLOOKUP!$A:$Q, 11, FALSE)</f>
        <v>44904</v>
      </c>
      <c r="R164" s="1">
        <f>VLOOKUP(D164, OLDSURVLOOKUP!$A:$AA, 20, FALSE)</f>
        <v>44326</v>
      </c>
      <c r="S164" s="1">
        <f>VLOOKUP(D164, SURVLOOKUP!$A:$Q, 12, FALSE)</f>
        <v>44326</v>
      </c>
      <c r="T164" s="1"/>
      <c r="U164" s="1"/>
      <c r="V164">
        <f>_xlfn.XLOOKUP(D164, OLDSURVLOOKUP!$A:$A, OLDSURVLOOKUP!V:V)</f>
        <v>1</v>
      </c>
      <c r="W164">
        <f>VLOOKUP(D164, SURVLOOKUP!$A:$Q, 14, FALSE)</f>
        <v>1</v>
      </c>
      <c r="X164">
        <f>_xlfn.XLOOKUP(D164, OLDSURVLOOKUP!$A:$A, OLDSURVLOOKUP!X:X)</f>
        <v>0</v>
      </c>
      <c r="Y164">
        <f>VLOOKUP(D164, SURVLOOKUP!$A:$Q, 15, FALSE)</f>
        <v>0</v>
      </c>
      <c r="Z164">
        <f t="shared" si="43"/>
        <v>46</v>
      </c>
      <c r="AA164">
        <f t="shared" si="44"/>
        <v>46</v>
      </c>
      <c r="AB164">
        <f t="shared" si="45"/>
        <v>46</v>
      </c>
      <c r="AC164">
        <f t="shared" si="46"/>
        <v>64.935483870967744</v>
      </c>
      <c r="AD164">
        <f t="shared" si="47"/>
        <v>45.70967741935484</v>
      </c>
      <c r="AE164">
        <f t="shared" si="60"/>
        <v>45.70967741935484</v>
      </c>
      <c r="AF164">
        <f t="shared" si="58"/>
        <v>45.70967741935484</v>
      </c>
      <c r="AG164">
        <f t="shared" si="59"/>
        <v>64.677419354838705</v>
      </c>
      <c r="AH164">
        <f t="shared" si="48"/>
        <v>44.58064516129032</v>
      </c>
      <c r="AI164">
        <f t="shared" si="49"/>
        <v>44.58064516129032</v>
      </c>
      <c r="AJ164">
        <f t="shared" si="50"/>
        <v>44.58064516129032</v>
      </c>
      <c r="AK164">
        <f t="shared" si="51"/>
        <v>63.548387096774192</v>
      </c>
      <c r="AL164">
        <f t="shared" si="53"/>
        <v>1</v>
      </c>
      <c r="AM164" t="str">
        <f t="shared" si="61"/>
        <v>University of Michigan</v>
      </c>
      <c r="AN164">
        <v>0</v>
      </c>
      <c r="AO164">
        <v>60</v>
      </c>
      <c r="AP164">
        <f>VLOOKUP(D164, METADATALOOKUP!$A:$AI, 7, FALSE)</f>
        <v>42</v>
      </c>
      <c r="AQ164" t="str">
        <f>VLOOKUP(D164, METADATALOOKUP!$A:$AI, 8, FALSE)</f>
        <v>Male</v>
      </c>
      <c r="AR164" t="str">
        <f>VLOOKUP(D164, METADATALOOKUP!$A:$AI, 9, FALSE)</f>
        <v>White</v>
      </c>
      <c r="AS164" t="str">
        <f>VLOOKUP(D164, METADATALOOKUP!$A:$AI, 11, FALSE)</f>
        <v>Yes</v>
      </c>
      <c r="AT164" t="str">
        <f>VLOOKUP(D164, METADATALOOKUP!$A:$AI, 10, FALSE)</f>
        <v>Non-Hispanic</v>
      </c>
      <c r="AU164" t="str">
        <f>VLOOKUP(D164, METADATALOOKUP!$A:$AI, 12, FALSE)</f>
        <v>No</v>
      </c>
      <c r="AV164" t="str">
        <f>VLOOKUP(D164, METADATALOOKUP!$A:$AI, 14, FALSE)</f>
        <v>T4aN0M0</v>
      </c>
      <c r="AW164" t="str">
        <f>VLOOKUP(D164, METADATALOOKUP!$A:$AI, 6, FALSE)</f>
        <v>Intermediate</v>
      </c>
      <c r="AX164" t="str">
        <f>VLOOKUP(D164, METADATALOOKUP!$A:$AI, 19, FALSE)</f>
        <v>No</v>
      </c>
      <c r="AY164">
        <f>LOOKUP(D164, SURVLOOKUP!$A:$A, SURVLOOKUP!$P:$P)</f>
        <v>0</v>
      </c>
      <c r="AZ164" s="46">
        <v>0</v>
      </c>
      <c r="BA164" t="str">
        <f>TEXT(VLOOKUP(D164, METADATALOOKUP!$A:$AI, 34, FALSE), "@")</f>
        <v>&lt;10%</v>
      </c>
      <c r="BB164" s="47" t="str">
        <f t="shared" si="52"/>
        <v>Non-Responder</v>
      </c>
      <c r="BC164">
        <v>4.92</v>
      </c>
      <c r="BD164" s="1">
        <v>42935</v>
      </c>
    </row>
    <row r="165" spans="1:56" x14ac:dyDescent="0.2">
      <c r="A165" s="3" t="s">
        <v>474</v>
      </c>
      <c r="B165" t="str">
        <f>VLOOKUP(A165, IDSLOOKUP!C:E, 2, FALSE)</f>
        <v>Adj Wk 1</v>
      </c>
      <c r="C165" t="str">
        <f>VLOOKUP(D165, METADATALOOKUP!$A:$AI, 13, FALSE)</f>
        <v>Larynx</v>
      </c>
      <c r="D165" t="str">
        <f>VLOOKUP(A165, IDSLOOKUP!C:E, 3, FALSE)</f>
        <v>HN04-02</v>
      </c>
      <c r="E165" s="48">
        <f>VLOOKUP(A165,CFDNALOOKUP!AG:AI,2,FALSE)</f>
        <v>43833</v>
      </c>
      <c r="F165" s="48">
        <f>VLOOKUP(A165,CFDNALOOKUP!AG:AI,3,FALSE)</f>
        <v>43898</v>
      </c>
      <c r="G165" s="1">
        <f>VLOOKUP(D165, SURVLOOKUP!$A:$Q, 2, FALSE)</f>
        <v>42370</v>
      </c>
      <c r="H165" s="1">
        <f>VLOOKUP(D165, SURVLOOKUP!$A:$Q, 3, FALSE)</f>
        <v>42922</v>
      </c>
      <c r="I165" s="1">
        <f>VLOOKUP(D165, SURVLOOKUP!$A:$Q, 4, FALSE)</f>
        <v>42926</v>
      </c>
      <c r="J165" s="1">
        <f>VLOOKUP(D165, SURVLOOKUP!$A:$Q, 5, FALSE)</f>
        <v>42934</v>
      </c>
      <c r="K165" s="1">
        <f>VLOOKUP(D165, SURVLOOKUP!$A:$Q, 6, FALSE)</f>
        <v>42976</v>
      </c>
      <c r="L165" s="1">
        <f>VLOOKUP(D165, SURVLOOKUP!$A:$Q, 7, FALSE)</f>
        <v>43010</v>
      </c>
      <c r="M165" s="1">
        <f>VLOOKUP(D165, SURVLOOKUP!$A:$Q, 8, FALSE)</f>
        <v>42969</v>
      </c>
      <c r="N165" s="1">
        <f>VLOOKUP(D165, SURVLOOKUP!$A:$Q, 9, FALSE)</f>
        <v>43074</v>
      </c>
      <c r="O165" s="1" t="str">
        <f>VLOOKUP(D165, SURVLOOKUP!$A:$Q, 10, FALSE)</f>
        <v>NA</v>
      </c>
      <c r="P165" s="1">
        <f>VLOOKUP(D165, OLDSURVLOOKUP!$A:$AA, 19, FALSE)</f>
        <v>44326</v>
      </c>
      <c r="Q165" s="1">
        <f>VLOOKUP(D165, SURVLOOKUP!$A:$Q, 11, FALSE)</f>
        <v>44904</v>
      </c>
      <c r="R165" s="1">
        <f>VLOOKUP(D165, OLDSURVLOOKUP!$A:$AA, 20, FALSE)</f>
        <v>44326</v>
      </c>
      <c r="S165" s="1">
        <f>VLOOKUP(D165, SURVLOOKUP!$A:$Q, 12, FALSE)</f>
        <v>44326</v>
      </c>
      <c r="T165" s="1"/>
      <c r="U165" s="1"/>
      <c r="V165">
        <f>_xlfn.XLOOKUP(D165, OLDSURVLOOKUP!$A:$A, OLDSURVLOOKUP!V:V)</f>
        <v>1</v>
      </c>
      <c r="W165">
        <f>VLOOKUP(D165, SURVLOOKUP!$A:$Q, 14, FALSE)</f>
        <v>1</v>
      </c>
      <c r="X165">
        <f>_xlfn.XLOOKUP(D165, OLDSURVLOOKUP!$A:$A, OLDSURVLOOKUP!X:X)</f>
        <v>0</v>
      </c>
      <c r="Y165">
        <f>VLOOKUP(D165, SURVLOOKUP!$A:$Q, 15, FALSE)</f>
        <v>0</v>
      </c>
      <c r="Z165">
        <f t="shared" si="43"/>
        <v>46</v>
      </c>
      <c r="AA165">
        <f t="shared" si="44"/>
        <v>46</v>
      </c>
      <c r="AB165">
        <f t="shared" si="45"/>
        <v>46</v>
      </c>
      <c r="AC165">
        <f t="shared" si="46"/>
        <v>64.935483870967744</v>
      </c>
      <c r="AD165">
        <f t="shared" si="47"/>
        <v>45.70967741935484</v>
      </c>
      <c r="AE165">
        <f t="shared" si="60"/>
        <v>45.70967741935484</v>
      </c>
      <c r="AF165">
        <f t="shared" si="58"/>
        <v>45.70967741935484</v>
      </c>
      <c r="AG165">
        <f t="shared" si="59"/>
        <v>64.677419354838705</v>
      </c>
      <c r="AH165">
        <f t="shared" si="48"/>
        <v>44.58064516129032</v>
      </c>
      <c r="AI165">
        <f t="shared" si="49"/>
        <v>44.58064516129032</v>
      </c>
      <c r="AJ165">
        <f t="shared" si="50"/>
        <v>44.58064516129032</v>
      </c>
      <c r="AK165">
        <f t="shared" si="51"/>
        <v>63.548387096774192</v>
      </c>
      <c r="AL165">
        <f t="shared" si="53"/>
        <v>1</v>
      </c>
      <c r="AM165" t="str">
        <f t="shared" si="61"/>
        <v>University of Michigan</v>
      </c>
      <c r="AN165">
        <v>0</v>
      </c>
      <c r="AO165">
        <v>60</v>
      </c>
      <c r="AP165">
        <f>VLOOKUP(D165, METADATALOOKUP!$A:$AI, 7, FALSE)</f>
        <v>42</v>
      </c>
      <c r="AQ165" t="str">
        <f>VLOOKUP(D165, METADATALOOKUP!$A:$AI, 8, FALSE)</f>
        <v>Male</v>
      </c>
      <c r="AR165" t="str">
        <f>VLOOKUP(D165, METADATALOOKUP!$A:$AI, 9, FALSE)</f>
        <v>White</v>
      </c>
      <c r="AS165" t="str">
        <f>VLOOKUP(D165, METADATALOOKUP!$A:$AI, 11, FALSE)</f>
        <v>Yes</v>
      </c>
      <c r="AT165" t="str">
        <f>VLOOKUP(D165, METADATALOOKUP!$A:$AI, 10, FALSE)</f>
        <v>Non-Hispanic</v>
      </c>
      <c r="AU165" t="str">
        <f>VLOOKUP(D165, METADATALOOKUP!$A:$AI, 12, FALSE)</f>
        <v>No</v>
      </c>
      <c r="AV165" t="str">
        <f>VLOOKUP(D165, METADATALOOKUP!$A:$AI, 14, FALSE)</f>
        <v>T4aN0M0</v>
      </c>
      <c r="AW165" t="str">
        <f>VLOOKUP(D165, METADATALOOKUP!$A:$AI, 6, FALSE)</f>
        <v>Intermediate</v>
      </c>
      <c r="AX165" t="str">
        <f>VLOOKUP(D165, METADATALOOKUP!$A:$AI, 19, FALSE)</f>
        <v>No</v>
      </c>
      <c r="AY165">
        <f>LOOKUP(D165, SURVLOOKUP!$A:$A, SURVLOOKUP!$P:$P)</f>
        <v>0</v>
      </c>
      <c r="AZ165" s="46">
        <v>0</v>
      </c>
      <c r="BA165" t="str">
        <f>TEXT(VLOOKUP(D165, METADATALOOKUP!$A:$AI, 34, FALSE), "@")</f>
        <v>&lt;10%</v>
      </c>
      <c r="BB165" s="47" t="str">
        <f t="shared" si="52"/>
        <v>Non-Responder</v>
      </c>
      <c r="BC165">
        <v>0.98399999999999999</v>
      </c>
      <c r="BD165" s="1">
        <v>42968</v>
      </c>
    </row>
    <row r="166" spans="1:56" x14ac:dyDescent="0.2">
      <c r="A166" s="3" t="s">
        <v>475</v>
      </c>
      <c r="B166" t="str">
        <f>VLOOKUP(A166, IDSLOOKUP!C:E, 2, FALSE)</f>
        <v>Screen</v>
      </c>
      <c r="C166" t="str">
        <f>VLOOKUP(D166, METADATALOOKUP!$A:$AI, 13, FALSE)</f>
        <v>Larynx</v>
      </c>
      <c r="D166" t="str">
        <f>VLOOKUP(A166, IDSLOOKUP!C:E, 3, FALSE)</f>
        <v>HN04-04</v>
      </c>
      <c r="E166" s="48">
        <f>VLOOKUP(A166,CFDNALOOKUP!AG:AI,2,FALSE)</f>
        <v>43833</v>
      </c>
      <c r="F166" s="48">
        <f>VLOOKUP(A166,CFDNALOOKUP!AG:AI,3,FALSE)</f>
        <v>43898</v>
      </c>
      <c r="G166" s="1">
        <f>VLOOKUP(D166, SURVLOOKUP!$A:$Q, 2, FALSE)</f>
        <v>43117</v>
      </c>
      <c r="H166" s="1">
        <f>VLOOKUP(D166, SURVLOOKUP!$A:$Q, 3, FALSE)</f>
        <v>43130</v>
      </c>
      <c r="I166" s="1">
        <f>VLOOKUP(D166, SURVLOOKUP!$A:$Q, 4, FALSE)</f>
        <v>43144</v>
      </c>
      <c r="J166" s="1">
        <f>VLOOKUP(D166, SURVLOOKUP!$A:$Q, 5, FALSE)</f>
        <v>43153</v>
      </c>
      <c r="K166" s="1">
        <f>VLOOKUP(D166, SURVLOOKUP!$A:$Q, 6, FALSE)</f>
        <v>43207</v>
      </c>
      <c r="L166" s="1">
        <f>VLOOKUP(D166, SURVLOOKUP!$A:$Q, 7, FALSE)</f>
        <v>43243</v>
      </c>
      <c r="M166" s="1">
        <f>VLOOKUP(D166, SURVLOOKUP!$A:$Q, 8, FALSE)</f>
        <v>43200</v>
      </c>
      <c r="N166" s="1">
        <f>VLOOKUP(D166, SURVLOOKUP!$A:$Q, 9, FALSE)</f>
        <v>43305</v>
      </c>
      <c r="O166" s="1" t="str">
        <f>VLOOKUP(D166, SURVLOOKUP!$A:$Q, 10, FALSE)</f>
        <v>NA</v>
      </c>
      <c r="P166" s="1">
        <f>VLOOKUP(D166, OLDSURVLOOKUP!$A:$AA, 19, FALSE)</f>
        <v>44315</v>
      </c>
      <c r="Q166" s="1">
        <f>VLOOKUP(D166, SURVLOOKUP!$A:$Q, 11, FALSE)</f>
        <v>44782</v>
      </c>
      <c r="R166" s="1"/>
      <c r="S166" s="1"/>
      <c r="T166" s="1"/>
      <c r="U166" s="1">
        <f>VLOOKUP(D166, SURVLOOKUP!$A:$Q, 13, FALSE)</f>
        <v>44783</v>
      </c>
      <c r="V166">
        <f>_xlfn.XLOOKUP(D166, OLDSURVLOOKUP!$A:$A, OLDSURVLOOKUP!V:V)</f>
        <v>0</v>
      </c>
      <c r="W166">
        <f>VLOOKUP(D166, SURVLOOKUP!$A:$Q, 14, FALSE)</f>
        <v>1</v>
      </c>
      <c r="X166">
        <f>_xlfn.XLOOKUP(D166, OLDSURVLOOKUP!$A:$A, OLDSURVLOOKUP!X:X)</f>
        <v>0</v>
      </c>
      <c r="Y166">
        <f>VLOOKUP(D166, SURVLOOKUP!$A:$Q, 15, FALSE)</f>
        <v>1</v>
      </c>
      <c r="Z166">
        <f t="shared" si="43"/>
        <v>38.571428571428569</v>
      </c>
      <c r="AA166" s="2">
        <v>54</v>
      </c>
      <c r="AB166">
        <f t="shared" si="45"/>
        <v>38.571428571428569</v>
      </c>
      <c r="AC166">
        <f t="shared" si="46"/>
        <v>54</v>
      </c>
      <c r="AD166">
        <f t="shared" si="47"/>
        <v>38.25</v>
      </c>
      <c r="AE166" s="2">
        <v>53.678571429999998</v>
      </c>
      <c r="AF166">
        <f t="shared" si="58"/>
        <v>38.25</v>
      </c>
      <c r="AG166">
        <f t="shared" si="59"/>
        <v>53.678571428571431</v>
      </c>
      <c r="AH166">
        <f t="shared" si="48"/>
        <v>36.633333333333333</v>
      </c>
      <c r="AI166" s="2">
        <v>52</v>
      </c>
      <c r="AJ166">
        <f t="shared" si="50"/>
        <v>36.633333333333333</v>
      </c>
      <c r="AK166">
        <f t="shared" si="51"/>
        <v>52</v>
      </c>
      <c r="AL166">
        <f t="shared" si="53"/>
        <v>1</v>
      </c>
      <c r="AM166" t="str">
        <f t="shared" si="61"/>
        <v>University of Michigan</v>
      </c>
      <c r="AN166">
        <v>0</v>
      </c>
      <c r="AO166">
        <v>61</v>
      </c>
      <c r="AP166">
        <f>VLOOKUP(D166, METADATALOOKUP!$A:$AI, 7, FALSE)</f>
        <v>76</v>
      </c>
      <c r="AQ166" t="str">
        <f>VLOOKUP(D166, METADATALOOKUP!$A:$AI, 8, FALSE)</f>
        <v>Male</v>
      </c>
      <c r="AR166" t="str">
        <f>VLOOKUP(D166, METADATALOOKUP!$A:$AI, 9, FALSE)</f>
        <v>White</v>
      </c>
      <c r="AS166" t="str">
        <f>VLOOKUP(D166, METADATALOOKUP!$A:$AI, 11, FALSE)</f>
        <v>Yes</v>
      </c>
      <c r="AT166" t="str">
        <f>VLOOKUP(D166, METADATALOOKUP!$A:$AI, 10, FALSE)</f>
        <v>Non-Hispanic</v>
      </c>
      <c r="AU166" t="str">
        <f>VLOOKUP(D166, METADATALOOKUP!$A:$AI, 12, FALSE)</f>
        <v>No</v>
      </c>
      <c r="AV166" t="str">
        <f>VLOOKUP(D166, METADATALOOKUP!$A:$AI, 14, FALSE)</f>
        <v>T4aN0M0</v>
      </c>
      <c r="AW166" t="str">
        <f>VLOOKUP(D166, METADATALOOKUP!$A:$AI, 6, FALSE)</f>
        <v>Intermediate</v>
      </c>
      <c r="AX166" t="str">
        <f>VLOOKUP(D166, METADATALOOKUP!$A:$AI, 19, FALSE)</f>
        <v>Unknown</v>
      </c>
      <c r="AY166">
        <f>LOOKUP(D166, SURVLOOKUP!$A:$A, SURVLOOKUP!$P:$P)</f>
        <v>0</v>
      </c>
      <c r="AZ166" s="46">
        <v>2</v>
      </c>
      <c r="BA166" t="str">
        <f>TEXT(VLOOKUP(D166, METADATALOOKUP!$A:$AI, 34, FALSE), "@")</f>
        <v>0.2</v>
      </c>
      <c r="BB166" s="47" t="str">
        <f t="shared" si="52"/>
        <v>Responder</v>
      </c>
      <c r="BC166">
        <v>0.57399999999999995</v>
      </c>
      <c r="BD166" s="1">
        <v>43131</v>
      </c>
    </row>
    <row r="167" spans="1:56" x14ac:dyDescent="0.2">
      <c r="A167" s="3" t="s">
        <v>477</v>
      </c>
      <c r="B167" t="str">
        <f>VLOOKUP(A167, IDSLOOKUP!C:E, 2, FALSE)</f>
        <v>Day 0</v>
      </c>
      <c r="C167" t="str">
        <f>VLOOKUP(D167, METADATALOOKUP!$A:$AI, 13, FALSE)</f>
        <v>Larynx</v>
      </c>
      <c r="D167" t="str">
        <f>VLOOKUP(A167, IDSLOOKUP!C:E, 3, FALSE)</f>
        <v>HN04-04</v>
      </c>
      <c r="E167" s="48">
        <f>VLOOKUP(A167,CFDNALOOKUP!AG:AI,2,FALSE)</f>
        <v>43833</v>
      </c>
      <c r="F167" s="48">
        <f>VLOOKUP(A167,CFDNALOOKUP!AG:AI,3,FALSE)</f>
        <v>43887</v>
      </c>
      <c r="G167" s="1">
        <f>VLOOKUP(D167, SURVLOOKUP!$A:$Q, 2, FALSE)</f>
        <v>43117</v>
      </c>
      <c r="H167" s="1">
        <f>VLOOKUP(D167, SURVLOOKUP!$A:$Q, 3, FALSE)</f>
        <v>43130</v>
      </c>
      <c r="I167" s="1">
        <f>VLOOKUP(D167, SURVLOOKUP!$A:$Q, 4, FALSE)</f>
        <v>43144</v>
      </c>
      <c r="J167" s="1">
        <f>VLOOKUP(D167, SURVLOOKUP!$A:$Q, 5, FALSE)</f>
        <v>43153</v>
      </c>
      <c r="K167" s="1">
        <f>VLOOKUP(D167, SURVLOOKUP!$A:$Q, 6, FALSE)</f>
        <v>43207</v>
      </c>
      <c r="L167" s="1">
        <f>VLOOKUP(D167, SURVLOOKUP!$A:$Q, 7, FALSE)</f>
        <v>43243</v>
      </c>
      <c r="M167" s="1">
        <f>VLOOKUP(D167, SURVLOOKUP!$A:$Q, 8, FALSE)</f>
        <v>43200</v>
      </c>
      <c r="N167" s="1">
        <f>VLOOKUP(D167, SURVLOOKUP!$A:$Q, 9, FALSE)</f>
        <v>43305</v>
      </c>
      <c r="O167" s="1" t="str">
        <f>VLOOKUP(D167, SURVLOOKUP!$A:$Q, 10, FALSE)</f>
        <v>NA</v>
      </c>
      <c r="P167" s="1">
        <f>VLOOKUP(D167, OLDSURVLOOKUP!$A:$AA, 19, FALSE)</f>
        <v>44315</v>
      </c>
      <c r="Q167" s="1">
        <f>VLOOKUP(D167, SURVLOOKUP!$A:$Q, 11, FALSE)</f>
        <v>44782</v>
      </c>
      <c r="R167" s="1"/>
      <c r="S167" s="1"/>
      <c r="T167" s="1"/>
      <c r="U167" s="1">
        <f>VLOOKUP(D167, SURVLOOKUP!$A:$Q, 13, FALSE)</f>
        <v>44783</v>
      </c>
      <c r="V167">
        <f>_xlfn.XLOOKUP(D167, OLDSURVLOOKUP!$A:$A, OLDSURVLOOKUP!V:V)</f>
        <v>0</v>
      </c>
      <c r="W167">
        <f>VLOOKUP(D167, SURVLOOKUP!$A:$Q, 14, FALSE)</f>
        <v>1</v>
      </c>
      <c r="X167">
        <f>_xlfn.XLOOKUP(D167, OLDSURVLOOKUP!$A:$A, OLDSURVLOOKUP!X:X)</f>
        <v>0</v>
      </c>
      <c r="Y167">
        <f>VLOOKUP(D167, SURVLOOKUP!$A:$Q, 15, FALSE)</f>
        <v>1</v>
      </c>
      <c r="Z167">
        <f t="shared" si="43"/>
        <v>38.571428571428569</v>
      </c>
      <c r="AA167" s="2">
        <v>54</v>
      </c>
      <c r="AB167">
        <f t="shared" si="45"/>
        <v>38.571428571428569</v>
      </c>
      <c r="AC167">
        <f t="shared" si="46"/>
        <v>54</v>
      </c>
      <c r="AD167">
        <f t="shared" si="47"/>
        <v>38.25</v>
      </c>
      <c r="AE167" s="2">
        <v>53.678571429999998</v>
      </c>
      <c r="AF167">
        <f t="shared" si="58"/>
        <v>38.25</v>
      </c>
      <c r="AG167">
        <f t="shared" si="59"/>
        <v>53.678571428571431</v>
      </c>
      <c r="AH167">
        <f t="shared" si="48"/>
        <v>36.633333333333333</v>
      </c>
      <c r="AI167" s="2">
        <v>52</v>
      </c>
      <c r="AJ167">
        <f t="shared" si="50"/>
        <v>36.633333333333333</v>
      </c>
      <c r="AK167">
        <f t="shared" si="51"/>
        <v>52</v>
      </c>
      <c r="AL167">
        <f t="shared" si="53"/>
        <v>1</v>
      </c>
      <c r="AM167" t="str">
        <f t="shared" si="61"/>
        <v>University of Michigan</v>
      </c>
      <c r="AN167">
        <v>0</v>
      </c>
      <c r="AO167">
        <v>61</v>
      </c>
      <c r="AP167">
        <f>VLOOKUP(D167, METADATALOOKUP!$A:$AI, 7, FALSE)</f>
        <v>76</v>
      </c>
      <c r="AQ167" t="str">
        <f>VLOOKUP(D167, METADATALOOKUP!$A:$AI, 8, FALSE)</f>
        <v>Male</v>
      </c>
      <c r="AR167" t="str">
        <f>VLOOKUP(D167, METADATALOOKUP!$A:$AI, 9, FALSE)</f>
        <v>White</v>
      </c>
      <c r="AS167" t="str">
        <f>VLOOKUP(D167, METADATALOOKUP!$A:$AI, 11, FALSE)</f>
        <v>Yes</v>
      </c>
      <c r="AT167" t="str">
        <f>VLOOKUP(D167, METADATALOOKUP!$A:$AI, 10, FALSE)</f>
        <v>Non-Hispanic</v>
      </c>
      <c r="AU167" t="str">
        <f>VLOOKUP(D167, METADATALOOKUP!$A:$AI, 12, FALSE)</f>
        <v>No</v>
      </c>
      <c r="AV167" t="str">
        <f>VLOOKUP(D167, METADATALOOKUP!$A:$AI, 14, FALSE)</f>
        <v>T4aN0M0</v>
      </c>
      <c r="AW167" t="str">
        <f>VLOOKUP(D167, METADATALOOKUP!$A:$AI, 6, FALSE)</f>
        <v>Intermediate</v>
      </c>
      <c r="AX167" t="str">
        <f>VLOOKUP(D167, METADATALOOKUP!$A:$AI, 19, FALSE)</f>
        <v>Unknown</v>
      </c>
      <c r="AY167">
        <f>LOOKUP(D167, SURVLOOKUP!$A:$A, SURVLOOKUP!$P:$P)</f>
        <v>0</v>
      </c>
      <c r="AZ167" s="46">
        <v>2</v>
      </c>
      <c r="BA167" t="str">
        <f>TEXT(VLOOKUP(D167, METADATALOOKUP!$A:$AI, 34, FALSE), "@")</f>
        <v>0.2</v>
      </c>
      <c r="BB167" s="47" t="str">
        <f t="shared" si="52"/>
        <v>Responder</v>
      </c>
      <c r="BC167">
        <v>0.26800000000000002</v>
      </c>
      <c r="BD167" s="1">
        <v>43152</v>
      </c>
    </row>
    <row r="168" spans="1:56" x14ac:dyDescent="0.2">
      <c r="A168" s="3" t="s">
        <v>478</v>
      </c>
      <c r="B168" t="str">
        <f>VLOOKUP(A168, IDSLOOKUP!C:E, 2, FALSE)</f>
        <v>Screen</v>
      </c>
      <c r="C168" t="str">
        <f>VLOOKUP(D168, METADATALOOKUP!$A:$AI, 13, FALSE)</f>
        <v>Oral Cavity</v>
      </c>
      <c r="D168" t="str">
        <f>VLOOKUP(A168, IDSLOOKUP!C:E, 3, FALSE)</f>
        <v>HN04-05</v>
      </c>
      <c r="E168" s="48">
        <f>VLOOKUP(A168,CFDNALOOKUP!AG:AI,2,FALSE)</f>
        <v>43833</v>
      </c>
      <c r="F168" s="48">
        <f>VLOOKUP(A168,CFDNALOOKUP!AG:AI,3,FALSE)</f>
        <v>43887</v>
      </c>
      <c r="G168" s="1">
        <f>VLOOKUP(D168, SURVLOOKUP!$A:$Q, 2, FALSE)</f>
        <v>43118</v>
      </c>
      <c r="H168" s="1">
        <f>VLOOKUP(D168, SURVLOOKUP!$A:$Q, 3, FALSE)</f>
        <v>43139</v>
      </c>
      <c r="I168" s="1">
        <f>VLOOKUP(D168, SURVLOOKUP!$A:$Q, 4, FALSE)</f>
        <v>43146</v>
      </c>
      <c r="J168" s="1">
        <f>VLOOKUP(D168, SURVLOOKUP!$A:$Q, 5, FALSE)</f>
        <v>43153</v>
      </c>
      <c r="K168" s="1">
        <f>VLOOKUP(D168, SURVLOOKUP!$A:$Q, 6, FALSE)</f>
        <v>43199</v>
      </c>
      <c r="L168" s="1">
        <f>VLOOKUP(D168, SURVLOOKUP!$A:$Q, 7, FALSE)</f>
        <v>43236</v>
      </c>
      <c r="M168" s="1">
        <f>VLOOKUP(D168, SURVLOOKUP!$A:$Q, 8, FALSE)</f>
        <v>43192</v>
      </c>
      <c r="N168" s="1">
        <f>VLOOKUP(D168, SURVLOOKUP!$A:$Q, 9, FALSE)</f>
        <v>43300</v>
      </c>
      <c r="O168" s="1" t="str">
        <f>VLOOKUP(D168, SURVLOOKUP!$A:$Q, 10, FALSE)</f>
        <v>NA</v>
      </c>
      <c r="P168" s="1">
        <f>VLOOKUP(D168, OLDSURVLOOKUP!$A:$AA, 19, FALSE)</f>
        <v>44354</v>
      </c>
      <c r="Q168" s="1">
        <f>VLOOKUP(D168, SURVLOOKUP!$A:$Q, 11, FALSE)</f>
        <v>45161</v>
      </c>
      <c r="R168" s="1"/>
      <c r="S168" s="1"/>
      <c r="T168" s="1"/>
      <c r="U168" s="1"/>
      <c r="V168">
        <f>_xlfn.XLOOKUP(D168, OLDSURVLOOKUP!$A:$A, OLDSURVLOOKUP!V:V)</f>
        <v>0</v>
      </c>
      <c r="W168">
        <f>VLOOKUP(D168, SURVLOOKUP!$A:$Q, 14, FALSE)</f>
        <v>0</v>
      </c>
      <c r="X168">
        <f>_xlfn.XLOOKUP(D168, OLDSURVLOOKUP!$A:$A, OLDSURVLOOKUP!X:X)</f>
        <v>0</v>
      </c>
      <c r="Y168">
        <f>VLOOKUP(D168, SURVLOOKUP!$A:$Q, 15, FALSE)</f>
        <v>0</v>
      </c>
      <c r="Z168">
        <f t="shared" si="43"/>
        <v>39.821428571428569</v>
      </c>
      <c r="AA168">
        <f t="shared" si="44"/>
        <v>66.285714285714292</v>
      </c>
      <c r="AB168">
        <f t="shared" si="45"/>
        <v>39.821428571428569</v>
      </c>
      <c r="AC168">
        <f t="shared" si="46"/>
        <v>66.285714285714292</v>
      </c>
      <c r="AD168">
        <f t="shared" si="47"/>
        <v>39.571428571428569</v>
      </c>
      <c r="AE168">
        <f t="shared" ref="AE168:AE181" si="62">IF(W168=0, DATEDIF(J168,Q168,"M")+DATEDIF(J168,Q168,"MD")/DAY(EOMONTH(J168,0)), DATEDIF(J168,S168,"M")+DATEDIF(J168,S168,"MD")/DAY(EOMONTH(J168,0)))</f>
        <v>66.035714285714292</v>
      </c>
      <c r="AF168">
        <f t="shared" si="58"/>
        <v>39.571428571428569</v>
      </c>
      <c r="AG168">
        <f t="shared" si="59"/>
        <v>66.035714285714292</v>
      </c>
      <c r="AH168">
        <f t="shared" si="48"/>
        <v>38.166666666666664</v>
      </c>
      <c r="AI168">
        <f t="shared" si="49"/>
        <v>64.7</v>
      </c>
      <c r="AJ168">
        <f t="shared" si="50"/>
        <v>38.166666666666664</v>
      </c>
      <c r="AK168">
        <f t="shared" si="51"/>
        <v>64.7</v>
      </c>
      <c r="AL168">
        <f t="shared" si="53"/>
        <v>1</v>
      </c>
      <c r="AM168" t="str">
        <f t="shared" si="61"/>
        <v>University of Michigan</v>
      </c>
      <c r="AN168">
        <v>0</v>
      </c>
      <c r="AO168">
        <v>62</v>
      </c>
      <c r="AP168">
        <f>VLOOKUP(D168, METADATALOOKUP!$A:$AI, 7, FALSE)</f>
        <v>68</v>
      </c>
      <c r="AQ168" t="str">
        <f>VLOOKUP(D168, METADATALOOKUP!$A:$AI, 8, FALSE)</f>
        <v>Male</v>
      </c>
      <c r="AR168" t="str">
        <f>VLOOKUP(D168, METADATALOOKUP!$A:$AI, 9, FALSE)</f>
        <v>White</v>
      </c>
      <c r="AS168" t="str">
        <f>VLOOKUP(D168, METADATALOOKUP!$A:$AI, 11, FALSE)</f>
        <v>Yes</v>
      </c>
      <c r="AT168" t="str">
        <f>VLOOKUP(D168, METADATALOOKUP!$A:$AI, 10, FALSE)</f>
        <v>Non-Hispanic</v>
      </c>
      <c r="AU168" t="str">
        <f>VLOOKUP(D168, METADATALOOKUP!$A:$AI, 12, FALSE)</f>
        <v>Yes</v>
      </c>
      <c r="AV168" t="str">
        <f>VLOOKUP(D168, METADATALOOKUP!$A:$AI, 14, FALSE)</f>
        <v>T3N1M0</v>
      </c>
      <c r="AW168" t="str">
        <f>VLOOKUP(D168, METADATALOOKUP!$A:$AI, 6, FALSE)</f>
        <v>High</v>
      </c>
      <c r="AX168" t="str">
        <f>VLOOKUP(D168, METADATALOOKUP!$A:$AI, 19, FALSE)</f>
        <v>No</v>
      </c>
      <c r="AY168">
        <f>LOOKUP(D168, SURVLOOKUP!$A:$A, SURVLOOKUP!$P:$P)</f>
        <v>1</v>
      </c>
      <c r="AZ168" s="46">
        <v>0</v>
      </c>
      <c r="BA168" t="str">
        <f>TEXT(VLOOKUP(D168, METADATALOOKUP!$A:$AI, 34, FALSE), "@")</f>
        <v>&lt;10%</v>
      </c>
      <c r="BB168" s="47" t="str">
        <f t="shared" si="52"/>
        <v>Non-Responder</v>
      </c>
      <c r="BC168">
        <v>0.51600000000000001</v>
      </c>
      <c r="BD168" s="1">
        <v>43139</v>
      </c>
    </row>
    <row r="169" spans="1:56" x14ac:dyDescent="0.2">
      <c r="A169" s="3" t="s">
        <v>480</v>
      </c>
      <c r="B169" t="str">
        <f>VLOOKUP(A169, IDSLOOKUP!C:E, 2, FALSE)</f>
        <v>Day 0</v>
      </c>
      <c r="C169" t="str">
        <f>VLOOKUP(D169, METADATALOOKUP!$A:$AI, 13, FALSE)</f>
        <v>Oral Cavity</v>
      </c>
      <c r="D169" t="str">
        <f>VLOOKUP(A169, IDSLOOKUP!C:E, 3, FALSE)</f>
        <v>HN04-05</v>
      </c>
      <c r="E169" s="48">
        <f>VLOOKUP(A169,CFDNALOOKUP!AG:AI,2,FALSE)</f>
        <v>43833</v>
      </c>
      <c r="F169" s="48">
        <f>VLOOKUP(A169,CFDNALOOKUP!AG:AI,3,FALSE)</f>
        <v>43888</v>
      </c>
      <c r="G169" s="1">
        <f>VLOOKUP(D169, SURVLOOKUP!$A:$Q, 2, FALSE)</f>
        <v>43118</v>
      </c>
      <c r="H169" s="1">
        <f>VLOOKUP(D169, SURVLOOKUP!$A:$Q, 3, FALSE)</f>
        <v>43139</v>
      </c>
      <c r="I169" s="1">
        <f>VLOOKUP(D169, SURVLOOKUP!$A:$Q, 4, FALSE)</f>
        <v>43146</v>
      </c>
      <c r="J169" s="1">
        <f>VLOOKUP(D169, SURVLOOKUP!$A:$Q, 5, FALSE)</f>
        <v>43153</v>
      </c>
      <c r="K169" s="1">
        <f>VLOOKUP(D169, SURVLOOKUP!$A:$Q, 6, FALSE)</f>
        <v>43199</v>
      </c>
      <c r="L169" s="1">
        <f>VLOOKUP(D169, SURVLOOKUP!$A:$Q, 7, FALSE)</f>
        <v>43236</v>
      </c>
      <c r="M169" s="1">
        <f>VLOOKUP(D169, SURVLOOKUP!$A:$Q, 8, FALSE)</f>
        <v>43192</v>
      </c>
      <c r="N169" s="1">
        <f>VLOOKUP(D169, SURVLOOKUP!$A:$Q, 9, FALSE)</f>
        <v>43300</v>
      </c>
      <c r="O169" s="1" t="str">
        <f>VLOOKUP(D169, SURVLOOKUP!$A:$Q, 10, FALSE)</f>
        <v>NA</v>
      </c>
      <c r="P169" s="1">
        <f>VLOOKUP(D169, OLDSURVLOOKUP!$A:$AA, 19, FALSE)</f>
        <v>44354</v>
      </c>
      <c r="Q169" s="1">
        <f>VLOOKUP(D169, SURVLOOKUP!$A:$Q, 11, FALSE)</f>
        <v>45161</v>
      </c>
      <c r="R169" s="1"/>
      <c r="S169" s="1"/>
      <c r="T169" s="1"/>
      <c r="U169" s="1"/>
      <c r="V169">
        <f>_xlfn.XLOOKUP(D169, OLDSURVLOOKUP!$A:$A, OLDSURVLOOKUP!V:V)</f>
        <v>0</v>
      </c>
      <c r="W169">
        <f>VLOOKUP(D169, SURVLOOKUP!$A:$Q, 14, FALSE)</f>
        <v>0</v>
      </c>
      <c r="X169">
        <f>_xlfn.XLOOKUP(D169, OLDSURVLOOKUP!$A:$A, OLDSURVLOOKUP!X:X)</f>
        <v>0</v>
      </c>
      <c r="Y169">
        <f>VLOOKUP(D169, SURVLOOKUP!$A:$Q, 15, FALSE)</f>
        <v>0</v>
      </c>
      <c r="Z169">
        <f t="shared" si="43"/>
        <v>39.821428571428569</v>
      </c>
      <c r="AA169">
        <f t="shared" si="44"/>
        <v>66.285714285714292</v>
      </c>
      <c r="AB169">
        <f t="shared" si="45"/>
        <v>39.821428571428569</v>
      </c>
      <c r="AC169">
        <f t="shared" si="46"/>
        <v>66.285714285714292</v>
      </c>
      <c r="AD169">
        <f t="shared" si="47"/>
        <v>39.571428571428569</v>
      </c>
      <c r="AE169">
        <f t="shared" si="62"/>
        <v>66.035714285714292</v>
      </c>
      <c r="AF169">
        <f t="shared" si="58"/>
        <v>39.571428571428569</v>
      </c>
      <c r="AG169">
        <f t="shared" si="59"/>
        <v>66.035714285714292</v>
      </c>
      <c r="AH169">
        <f t="shared" si="48"/>
        <v>38.166666666666664</v>
      </c>
      <c r="AI169">
        <f t="shared" si="49"/>
        <v>64.7</v>
      </c>
      <c r="AJ169">
        <f t="shared" si="50"/>
        <v>38.166666666666664</v>
      </c>
      <c r="AK169">
        <f t="shared" si="51"/>
        <v>64.7</v>
      </c>
      <c r="AL169">
        <f t="shared" si="53"/>
        <v>1</v>
      </c>
      <c r="AM169" t="str">
        <f t="shared" si="61"/>
        <v>University of Michigan</v>
      </c>
      <c r="AN169">
        <v>0</v>
      </c>
      <c r="AO169">
        <v>62</v>
      </c>
      <c r="AP169">
        <f>VLOOKUP(D169, METADATALOOKUP!$A:$AI, 7, FALSE)</f>
        <v>68</v>
      </c>
      <c r="AQ169" t="str">
        <f>VLOOKUP(D169, METADATALOOKUP!$A:$AI, 8, FALSE)</f>
        <v>Male</v>
      </c>
      <c r="AR169" t="str">
        <f>VLOOKUP(D169, METADATALOOKUP!$A:$AI, 9, FALSE)</f>
        <v>White</v>
      </c>
      <c r="AS169" t="str">
        <f>VLOOKUP(D169, METADATALOOKUP!$A:$AI, 11, FALSE)</f>
        <v>Yes</v>
      </c>
      <c r="AT169" t="str">
        <f>VLOOKUP(D169, METADATALOOKUP!$A:$AI, 10, FALSE)</f>
        <v>Non-Hispanic</v>
      </c>
      <c r="AU169" t="str">
        <f>VLOOKUP(D169, METADATALOOKUP!$A:$AI, 12, FALSE)</f>
        <v>Yes</v>
      </c>
      <c r="AV169" t="str">
        <f>VLOOKUP(D169, METADATALOOKUP!$A:$AI, 14, FALSE)</f>
        <v>T3N1M0</v>
      </c>
      <c r="AW169" t="str">
        <f>VLOOKUP(D169, METADATALOOKUP!$A:$AI, 6, FALSE)</f>
        <v>High</v>
      </c>
      <c r="AX169" t="str">
        <f>VLOOKUP(D169, METADATALOOKUP!$A:$AI, 19, FALSE)</f>
        <v>No</v>
      </c>
      <c r="AY169">
        <f>LOOKUP(D169, SURVLOOKUP!$A:$A, SURVLOOKUP!$P:$P)</f>
        <v>1</v>
      </c>
      <c r="AZ169" s="46">
        <v>0</v>
      </c>
      <c r="BA169" t="str">
        <f>TEXT(VLOOKUP(D169, METADATALOOKUP!$A:$AI, 34, FALSE), "@")</f>
        <v>&lt;10%</v>
      </c>
      <c r="BB169" s="47" t="str">
        <f t="shared" si="52"/>
        <v>Non-Responder</v>
      </c>
      <c r="BC169">
        <v>0.26800000000000002</v>
      </c>
      <c r="BD169" s="1">
        <v>43152</v>
      </c>
    </row>
    <row r="170" spans="1:56" x14ac:dyDescent="0.2">
      <c r="A170" s="3" t="s">
        <v>481</v>
      </c>
      <c r="B170" t="str">
        <f>VLOOKUP(A170, IDSLOOKUP!C:E, 2, FALSE)</f>
        <v>Adj Wk 1</v>
      </c>
      <c r="C170" t="str">
        <f>VLOOKUP(D170, METADATALOOKUP!$A:$AI, 13, FALSE)</f>
        <v>Oral Cavity</v>
      </c>
      <c r="D170" t="str">
        <f>VLOOKUP(A170, IDSLOOKUP!C:E, 3, FALSE)</f>
        <v>HN04-05</v>
      </c>
      <c r="E170" s="48">
        <f>VLOOKUP(A170,CFDNALOOKUP!AG:AI,2,FALSE)</f>
        <v>43833</v>
      </c>
      <c r="F170" s="48">
        <f>VLOOKUP(A170,CFDNALOOKUP!AG:AI,3,FALSE)</f>
        <v>43889</v>
      </c>
      <c r="G170" s="1">
        <f>VLOOKUP(D170, SURVLOOKUP!$A:$Q, 2, FALSE)</f>
        <v>43118</v>
      </c>
      <c r="H170" s="1">
        <f>VLOOKUP(D170, SURVLOOKUP!$A:$Q, 3, FALSE)</f>
        <v>43139</v>
      </c>
      <c r="I170" s="1">
        <f>VLOOKUP(D170, SURVLOOKUP!$A:$Q, 4, FALSE)</f>
        <v>43146</v>
      </c>
      <c r="J170" s="1">
        <f>VLOOKUP(D170, SURVLOOKUP!$A:$Q, 5, FALSE)</f>
        <v>43153</v>
      </c>
      <c r="K170" s="1">
        <f>VLOOKUP(D170, SURVLOOKUP!$A:$Q, 6, FALSE)</f>
        <v>43199</v>
      </c>
      <c r="L170" s="1">
        <f>VLOOKUP(D170, SURVLOOKUP!$A:$Q, 7, FALSE)</f>
        <v>43236</v>
      </c>
      <c r="M170" s="1">
        <f>VLOOKUP(D170, SURVLOOKUP!$A:$Q, 8, FALSE)</f>
        <v>43192</v>
      </c>
      <c r="N170" s="1">
        <f>VLOOKUP(D170, SURVLOOKUP!$A:$Q, 9, FALSE)</f>
        <v>43300</v>
      </c>
      <c r="O170" s="1" t="str">
        <f>VLOOKUP(D170, SURVLOOKUP!$A:$Q, 10, FALSE)</f>
        <v>NA</v>
      </c>
      <c r="P170" s="1">
        <f>VLOOKUP(D170, OLDSURVLOOKUP!$A:$AA, 19, FALSE)</f>
        <v>44354</v>
      </c>
      <c r="Q170" s="1">
        <f>VLOOKUP(D170, SURVLOOKUP!$A:$Q, 11, FALSE)</f>
        <v>45161</v>
      </c>
      <c r="R170" s="1"/>
      <c r="S170" s="1"/>
      <c r="T170" s="1"/>
      <c r="U170" s="1"/>
      <c r="V170">
        <f>_xlfn.XLOOKUP(D170, OLDSURVLOOKUP!$A:$A, OLDSURVLOOKUP!V:V)</f>
        <v>0</v>
      </c>
      <c r="W170">
        <f>VLOOKUP(D170, SURVLOOKUP!$A:$Q, 14, FALSE)</f>
        <v>0</v>
      </c>
      <c r="X170">
        <f>_xlfn.XLOOKUP(D170, OLDSURVLOOKUP!$A:$A, OLDSURVLOOKUP!X:X)</f>
        <v>0</v>
      </c>
      <c r="Y170">
        <f>VLOOKUP(D170, SURVLOOKUP!$A:$Q, 15, FALSE)</f>
        <v>0</v>
      </c>
      <c r="Z170">
        <f t="shared" si="43"/>
        <v>39.821428571428569</v>
      </c>
      <c r="AA170">
        <f t="shared" si="44"/>
        <v>66.285714285714292</v>
      </c>
      <c r="AB170">
        <f t="shared" si="45"/>
        <v>39.821428571428569</v>
      </c>
      <c r="AC170">
        <f t="shared" si="46"/>
        <v>66.285714285714292</v>
      </c>
      <c r="AD170">
        <f t="shared" si="47"/>
        <v>39.571428571428569</v>
      </c>
      <c r="AE170">
        <f t="shared" si="62"/>
        <v>66.035714285714292</v>
      </c>
      <c r="AF170">
        <f t="shared" si="58"/>
        <v>39.571428571428569</v>
      </c>
      <c r="AG170">
        <f t="shared" si="59"/>
        <v>66.035714285714292</v>
      </c>
      <c r="AH170">
        <f t="shared" si="48"/>
        <v>38.166666666666664</v>
      </c>
      <c r="AI170">
        <f t="shared" si="49"/>
        <v>64.7</v>
      </c>
      <c r="AJ170">
        <f t="shared" si="50"/>
        <v>38.166666666666664</v>
      </c>
      <c r="AK170">
        <f t="shared" si="51"/>
        <v>64.7</v>
      </c>
      <c r="AL170">
        <f t="shared" si="53"/>
        <v>1</v>
      </c>
      <c r="AM170" t="str">
        <f t="shared" si="61"/>
        <v>University of Michigan</v>
      </c>
      <c r="AN170">
        <v>0</v>
      </c>
      <c r="AO170">
        <v>62</v>
      </c>
      <c r="AP170">
        <f>VLOOKUP(D170, METADATALOOKUP!$A:$AI, 7, FALSE)</f>
        <v>68</v>
      </c>
      <c r="AQ170" t="str">
        <f>VLOOKUP(D170, METADATALOOKUP!$A:$AI, 8, FALSE)</f>
        <v>Male</v>
      </c>
      <c r="AR170" t="str">
        <f>VLOOKUP(D170, METADATALOOKUP!$A:$AI, 9, FALSE)</f>
        <v>White</v>
      </c>
      <c r="AS170" t="str">
        <f>VLOOKUP(D170, METADATALOOKUP!$A:$AI, 11, FALSE)</f>
        <v>Yes</v>
      </c>
      <c r="AT170" t="str">
        <f>VLOOKUP(D170, METADATALOOKUP!$A:$AI, 10, FALSE)</f>
        <v>Non-Hispanic</v>
      </c>
      <c r="AU170" t="str">
        <f>VLOOKUP(D170, METADATALOOKUP!$A:$AI, 12, FALSE)</f>
        <v>Yes</v>
      </c>
      <c r="AV170" t="str">
        <f>VLOOKUP(D170, METADATALOOKUP!$A:$AI, 14, FALSE)</f>
        <v>T3N1M0</v>
      </c>
      <c r="AW170" t="str">
        <f>VLOOKUP(D170, METADATALOOKUP!$A:$AI, 6, FALSE)</f>
        <v>High</v>
      </c>
      <c r="AX170" t="str">
        <f>VLOOKUP(D170, METADATALOOKUP!$A:$AI, 19, FALSE)</f>
        <v>No</v>
      </c>
      <c r="AY170">
        <f>LOOKUP(D170, SURVLOOKUP!$A:$A, SURVLOOKUP!$P:$P)</f>
        <v>1</v>
      </c>
      <c r="AZ170" s="46">
        <v>0</v>
      </c>
      <c r="BA170" t="str">
        <f>TEXT(VLOOKUP(D170, METADATALOOKUP!$A:$AI, 34, FALSE), "@")</f>
        <v>&lt;10%</v>
      </c>
      <c r="BB170" s="47" t="str">
        <f t="shared" si="52"/>
        <v>Non-Responder</v>
      </c>
      <c r="BC170">
        <v>0.69199999999999995</v>
      </c>
      <c r="BD170" s="1">
        <v>43193</v>
      </c>
    </row>
    <row r="171" spans="1:56" x14ac:dyDescent="0.2">
      <c r="A171" s="3" t="s">
        <v>482</v>
      </c>
      <c r="B171" t="str">
        <f>VLOOKUP(A171, IDSLOOKUP!C:E, 2, FALSE)</f>
        <v>Screen</v>
      </c>
      <c r="C171" t="str">
        <f>VLOOKUP(D171, METADATALOOKUP!$A:$AI, 13, FALSE)</f>
        <v>Oral Cavity</v>
      </c>
      <c r="D171" t="str">
        <f>VLOOKUP(A171, IDSLOOKUP!C:E, 3, FALSE)</f>
        <v>HN04-07</v>
      </c>
      <c r="E171" s="48">
        <f>VLOOKUP(A171,CFDNALOOKUP!AG:AI,2,FALSE)</f>
        <v>43833</v>
      </c>
      <c r="F171" s="48">
        <f>VLOOKUP(A171,CFDNALOOKUP!AG:AI,3,FALSE)</f>
        <v>43891</v>
      </c>
      <c r="G171" s="1">
        <f>VLOOKUP(D171, SURVLOOKUP!$A:$Q, 2, FALSE)</f>
        <v>43111</v>
      </c>
      <c r="H171" s="1">
        <f>VLOOKUP(D171, SURVLOOKUP!$A:$Q, 3, FALSE)</f>
        <v>43151</v>
      </c>
      <c r="I171" s="1">
        <f>VLOOKUP(D171, SURVLOOKUP!$A:$Q, 4, FALSE)</f>
        <v>43165</v>
      </c>
      <c r="J171" s="1">
        <f>VLOOKUP(D171, SURVLOOKUP!$A:$Q, 5, FALSE)</f>
        <v>43172</v>
      </c>
      <c r="K171" s="1">
        <f>VLOOKUP(D171, SURVLOOKUP!$A:$Q, 6, FALSE)</f>
        <v>43228</v>
      </c>
      <c r="L171" s="1">
        <f>VLOOKUP(D171, SURVLOOKUP!$A:$Q, 7, FALSE)</f>
        <v>43638</v>
      </c>
      <c r="M171" s="1">
        <f>VLOOKUP(D171, SURVLOOKUP!$A:$Q, 8, FALSE)</f>
        <v>43221</v>
      </c>
      <c r="N171" s="1">
        <f>VLOOKUP(D171, SURVLOOKUP!$A:$Q, 9, FALSE)</f>
        <v>43284</v>
      </c>
      <c r="O171" s="1">
        <f>VLOOKUP(D171, SURVLOOKUP!$A:$Q, 10, FALSE)</f>
        <v>43284</v>
      </c>
      <c r="P171" s="1">
        <f>VLOOKUP(D171, OLDSURVLOOKUP!$A:$AA, 19, FALSE)</f>
        <v>44217</v>
      </c>
      <c r="Q171" s="1">
        <f>VLOOKUP(D171, SURVLOOKUP!$A:$Q, 11, FALSE)</f>
        <v>45090</v>
      </c>
      <c r="R171" s="1"/>
      <c r="S171" s="1"/>
      <c r="T171" s="1"/>
      <c r="U171" s="1"/>
      <c r="V171">
        <f>_xlfn.XLOOKUP(D171, OLDSURVLOOKUP!$A:$A, OLDSURVLOOKUP!V:V)</f>
        <v>0</v>
      </c>
      <c r="W171">
        <f>VLOOKUP(D171, SURVLOOKUP!$A:$Q, 14, FALSE)</f>
        <v>0</v>
      </c>
      <c r="X171">
        <f>_xlfn.XLOOKUP(D171, OLDSURVLOOKUP!$A:$A, OLDSURVLOOKUP!X:X)</f>
        <v>0</v>
      </c>
      <c r="Y171">
        <f>VLOOKUP(D171, SURVLOOKUP!$A:$Q, 15, FALSE)</f>
        <v>0</v>
      </c>
      <c r="Z171">
        <f t="shared" si="43"/>
        <v>34.483870967741936</v>
      </c>
      <c r="AA171">
        <f t="shared" si="44"/>
        <v>63.225806451612904</v>
      </c>
      <c r="AB171">
        <f t="shared" si="45"/>
        <v>34.483870967741936</v>
      </c>
      <c r="AC171">
        <f t="shared" si="46"/>
        <v>63.225806451612904</v>
      </c>
      <c r="AD171">
        <f t="shared" si="47"/>
        <v>34.258064516129032</v>
      </c>
      <c r="AE171">
        <f t="shared" si="62"/>
        <v>63</v>
      </c>
      <c r="AF171">
        <f t="shared" si="58"/>
        <v>34.258064516129032</v>
      </c>
      <c r="AG171">
        <f t="shared" si="59"/>
        <v>63</v>
      </c>
      <c r="AH171">
        <f t="shared" si="48"/>
        <v>32.645161290322584</v>
      </c>
      <c r="AI171">
        <f t="shared" si="49"/>
        <v>61.387096774193552</v>
      </c>
      <c r="AJ171">
        <f t="shared" si="50"/>
        <v>32.645161290322584</v>
      </c>
      <c r="AK171">
        <f t="shared" si="51"/>
        <v>61.387096774193552</v>
      </c>
      <c r="AL171">
        <f t="shared" si="53"/>
        <v>1</v>
      </c>
      <c r="AM171" t="str">
        <f t="shared" si="61"/>
        <v>University of Michigan</v>
      </c>
      <c r="AN171">
        <v>0</v>
      </c>
      <c r="AO171">
        <v>63</v>
      </c>
      <c r="AP171">
        <f>VLOOKUP(D171, METADATALOOKUP!$A:$AI, 7, FALSE)</f>
        <v>39</v>
      </c>
      <c r="AQ171" t="str">
        <f>VLOOKUP(D171, METADATALOOKUP!$A:$AI, 8, FALSE)</f>
        <v>Male</v>
      </c>
      <c r="AR171" t="str">
        <f>VLOOKUP(D171, METADATALOOKUP!$A:$AI, 9, FALSE)</f>
        <v>White</v>
      </c>
      <c r="AS171" t="str">
        <f>VLOOKUP(D171, METADATALOOKUP!$A:$AI, 11, FALSE)</f>
        <v>No</v>
      </c>
      <c r="AT171" t="str">
        <f>VLOOKUP(D171, METADATALOOKUP!$A:$AI, 10, FALSE)</f>
        <v>Non-Hispanic</v>
      </c>
      <c r="AU171" t="str">
        <f>VLOOKUP(D171, METADATALOOKUP!$A:$AI, 12, FALSE)</f>
        <v>No</v>
      </c>
      <c r="AV171" t="str">
        <f>VLOOKUP(D171, METADATALOOKUP!$A:$AI, 14, FALSE)</f>
        <v>T3N1M0</v>
      </c>
      <c r="AW171" t="str">
        <f>VLOOKUP(D171, METADATALOOKUP!$A:$AI, 6, FALSE)</f>
        <v>Intermediate</v>
      </c>
      <c r="AX171" t="str">
        <f>VLOOKUP(D171, METADATALOOKUP!$A:$AI, 19, FALSE)</f>
        <v>No</v>
      </c>
      <c r="AY171">
        <f>LOOKUP(D171, SURVLOOKUP!$A:$A, SURVLOOKUP!$P:$P)</f>
        <v>0</v>
      </c>
      <c r="AZ171" s="46">
        <v>1</v>
      </c>
      <c r="BA171" t="str">
        <f>TEXT(VLOOKUP(D171, METADATALOOKUP!$A:$AI, 34, FALSE), "@")</f>
        <v>0.1</v>
      </c>
      <c r="BB171" s="47" t="str">
        <f t="shared" si="52"/>
        <v>Responder</v>
      </c>
      <c r="BC171">
        <v>1.49</v>
      </c>
      <c r="BD171" s="1">
        <v>43160</v>
      </c>
    </row>
    <row r="172" spans="1:56" x14ac:dyDescent="0.2">
      <c r="A172" s="3" t="s">
        <v>484</v>
      </c>
      <c r="B172" t="str">
        <f>VLOOKUP(A172, IDSLOOKUP!C:E, 2, FALSE)</f>
        <v>Day 0</v>
      </c>
      <c r="C172" t="str">
        <f>VLOOKUP(D172, METADATALOOKUP!$A:$AI, 13, FALSE)</f>
        <v>Oral Cavity</v>
      </c>
      <c r="D172" t="str">
        <f>VLOOKUP(A172, IDSLOOKUP!C:E, 3, FALSE)</f>
        <v>HN04-07</v>
      </c>
      <c r="E172" s="48">
        <f>VLOOKUP(A172,CFDNALOOKUP!AG:AI,2,FALSE)</f>
        <v>43833</v>
      </c>
      <c r="F172" s="48">
        <f>VLOOKUP(A172,CFDNALOOKUP!AG:AI,3,FALSE)</f>
        <v>43898</v>
      </c>
      <c r="G172" s="1">
        <f>VLOOKUP(D172, SURVLOOKUP!$A:$Q, 2, FALSE)</f>
        <v>43111</v>
      </c>
      <c r="H172" s="1">
        <f>VLOOKUP(D172, SURVLOOKUP!$A:$Q, 3, FALSE)</f>
        <v>43151</v>
      </c>
      <c r="I172" s="1">
        <f>VLOOKUP(D172, SURVLOOKUP!$A:$Q, 4, FALSE)</f>
        <v>43165</v>
      </c>
      <c r="J172" s="1">
        <f>VLOOKUP(D172, SURVLOOKUP!$A:$Q, 5, FALSE)</f>
        <v>43172</v>
      </c>
      <c r="K172" s="1">
        <f>VLOOKUP(D172, SURVLOOKUP!$A:$Q, 6, FALSE)</f>
        <v>43228</v>
      </c>
      <c r="L172" s="1">
        <f>VLOOKUP(D172, SURVLOOKUP!$A:$Q, 7, FALSE)</f>
        <v>43638</v>
      </c>
      <c r="M172" s="1">
        <f>VLOOKUP(D172, SURVLOOKUP!$A:$Q, 8, FALSE)</f>
        <v>43221</v>
      </c>
      <c r="N172" s="1">
        <f>VLOOKUP(D172, SURVLOOKUP!$A:$Q, 9, FALSE)</f>
        <v>43284</v>
      </c>
      <c r="O172" s="1">
        <f>VLOOKUP(D172, SURVLOOKUP!$A:$Q, 10, FALSE)</f>
        <v>43284</v>
      </c>
      <c r="P172" s="1">
        <f>VLOOKUP(D172, OLDSURVLOOKUP!$A:$AA, 19, FALSE)</f>
        <v>44217</v>
      </c>
      <c r="Q172" s="1">
        <f>VLOOKUP(D172, SURVLOOKUP!$A:$Q, 11, FALSE)</f>
        <v>45090</v>
      </c>
      <c r="R172" s="1"/>
      <c r="S172" s="1"/>
      <c r="T172" s="1"/>
      <c r="U172" s="1"/>
      <c r="V172">
        <f>_xlfn.XLOOKUP(D172, OLDSURVLOOKUP!$A:$A, OLDSURVLOOKUP!V:V)</f>
        <v>0</v>
      </c>
      <c r="W172">
        <f>VLOOKUP(D172, SURVLOOKUP!$A:$Q, 14, FALSE)</f>
        <v>0</v>
      </c>
      <c r="X172">
        <f>_xlfn.XLOOKUP(D172, OLDSURVLOOKUP!$A:$A, OLDSURVLOOKUP!X:X)</f>
        <v>0</v>
      </c>
      <c r="Y172">
        <f>VLOOKUP(D172, SURVLOOKUP!$A:$Q, 15, FALSE)</f>
        <v>0</v>
      </c>
      <c r="Z172">
        <f t="shared" si="43"/>
        <v>34.483870967741936</v>
      </c>
      <c r="AA172">
        <f t="shared" si="44"/>
        <v>63.225806451612904</v>
      </c>
      <c r="AB172">
        <f t="shared" si="45"/>
        <v>34.483870967741936</v>
      </c>
      <c r="AC172">
        <f t="shared" si="46"/>
        <v>63.225806451612904</v>
      </c>
      <c r="AD172">
        <f t="shared" si="47"/>
        <v>34.258064516129032</v>
      </c>
      <c r="AE172">
        <f t="shared" si="62"/>
        <v>63</v>
      </c>
      <c r="AF172">
        <f t="shared" si="58"/>
        <v>34.258064516129032</v>
      </c>
      <c r="AG172">
        <f t="shared" si="59"/>
        <v>63</v>
      </c>
      <c r="AH172">
        <f t="shared" si="48"/>
        <v>32.645161290322584</v>
      </c>
      <c r="AI172">
        <f t="shared" si="49"/>
        <v>61.387096774193552</v>
      </c>
      <c r="AJ172">
        <f t="shared" si="50"/>
        <v>32.645161290322584</v>
      </c>
      <c r="AK172">
        <f t="shared" si="51"/>
        <v>61.387096774193552</v>
      </c>
      <c r="AL172">
        <f t="shared" si="53"/>
        <v>1</v>
      </c>
      <c r="AM172" t="str">
        <f t="shared" si="61"/>
        <v>University of Michigan</v>
      </c>
      <c r="AN172">
        <v>0</v>
      </c>
      <c r="AO172">
        <v>63</v>
      </c>
      <c r="AP172">
        <f>VLOOKUP(D172, METADATALOOKUP!$A:$AI, 7, FALSE)</f>
        <v>39</v>
      </c>
      <c r="AQ172" t="str">
        <f>VLOOKUP(D172, METADATALOOKUP!$A:$AI, 8, FALSE)</f>
        <v>Male</v>
      </c>
      <c r="AR172" t="str">
        <f>VLOOKUP(D172, METADATALOOKUP!$A:$AI, 9, FALSE)</f>
        <v>White</v>
      </c>
      <c r="AS172" t="str">
        <f>VLOOKUP(D172, METADATALOOKUP!$A:$AI, 11, FALSE)</f>
        <v>No</v>
      </c>
      <c r="AT172" t="str">
        <f>VLOOKUP(D172, METADATALOOKUP!$A:$AI, 10, FALSE)</f>
        <v>Non-Hispanic</v>
      </c>
      <c r="AU172" t="str">
        <f>VLOOKUP(D172, METADATALOOKUP!$A:$AI, 12, FALSE)</f>
        <v>No</v>
      </c>
      <c r="AV172" t="str">
        <f>VLOOKUP(D172, METADATALOOKUP!$A:$AI, 14, FALSE)</f>
        <v>T3N1M0</v>
      </c>
      <c r="AW172" t="str">
        <f>VLOOKUP(D172, METADATALOOKUP!$A:$AI, 6, FALSE)</f>
        <v>Intermediate</v>
      </c>
      <c r="AX172" t="str">
        <f>VLOOKUP(D172, METADATALOOKUP!$A:$AI, 19, FALSE)</f>
        <v>No</v>
      </c>
      <c r="AY172">
        <f>LOOKUP(D172, SURVLOOKUP!$A:$A, SURVLOOKUP!$P:$P)</f>
        <v>0</v>
      </c>
      <c r="AZ172" s="46">
        <v>1</v>
      </c>
      <c r="BA172" t="str">
        <f>TEXT(VLOOKUP(D172, METADATALOOKUP!$A:$AI, 34, FALSE), "@")</f>
        <v>0.1</v>
      </c>
      <c r="BB172" s="47" t="str">
        <f t="shared" si="52"/>
        <v>Responder</v>
      </c>
      <c r="BC172">
        <v>1.01</v>
      </c>
      <c r="BD172" s="1">
        <v>43172</v>
      </c>
    </row>
    <row r="173" spans="1:56" x14ac:dyDescent="0.2">
      <c r="A173" s="3" t="s">
        <v>485</v>
      </c>
      <c r="B173" t="str">
        <f>VLOOKUP(A173, IDSLOOKUP!C:E, 2, FALSE)</f>
        <v>Adj Wk 1</v>
      </c>
      <c r="C173" t="str">
        <f>VLOOKUP(D173, METADATALOOKUP!$A:$AI, 13, FALSE)</f>
        <v>Oral Cavity</v>
      </c>
      <c r="D173" t="str">
        <f>VLOOKUP(A173, IDSLOOKUP!C:E, 3, FALSE)</f>
        <v>HN04-07</v>
      </c>
      <c r="E173" s="48">
        <f>VLOOKUP(A173,CFDNALOOKUP!AG:AI,2,FALSE)</f>
        <v>43833</v>
      </c>
      <c r="F173" s="48">
        <f>VLOOKUP(A173,CFDNALOOKUP!AG:AI,3,FALSE)</f>
        <v>43888</v>
      </c>
      <c r="G173" s="1">
        <f>VLOOKUP(D173, SURVLOOKUP!$A:$Q, 2, FALSE)</f>
        <v>43111</v>
      </c>
      <c r="H173" s="1">
        <f>VLOOKUP(D173, SURVLOOKUP!$A:$Q, 3, FALSE)</f>
        <v>43151</v>
      </c>
      <c r="I173" s="1">
        <f>VLOOKUP(D173, SURVLOOKUP!$A:$Q, 4, FALSE)</f>
        <v>43165</v>
      </c>
      <c r="J173" s="1">
        <f>VLOOKUP(D173, SURVLOOKUP!$A:$Q, 5, FALSE)</f>
        <v>43172</v>
      </c>
      <c r="K173" s="1">
        <f>VLOOKUP(D173, SURVLOOKUP!$A:$Q, 6, FALSE)</f>
        <v>43228</v>
      </c>
      <c r="L173" s="1">
        <f>VLOOKUP(D173, SURVLOOKUP!$A:$Q, 7, FALSE)</f>
        <v>43638</v>
      </c>
      <c r="M173" s="1">
        <f>VLOOKUP(D173, SURVLOOKUP!$A:$Q, 8, FALSE)</f>
        <v>43221</v>
      </c>
      <c r="N173" s="1">
        <f>VLOOKUP(D173, SURVLOOKUP!$A:$Q, 9, FALSE)</f>
        <v>43284</v>
      </c>
      <c r="O173" s="1">
        <f>VLOOKUP(D173, SURVLOOKUP!$A:$Q, 10, FALSE)</f>
        <v>43284</v>
      </c>
      <c r="P173" s="1">
        <f>VLOOKUP(D173, OLDSURVLOOKUP!$A:$AA, 19, FALSE)</f>
        <v>44217</v>
      </c>
      <c r="Q173" s="1">
        <f>VLOOKUP(D173, SURVLOOKUP!$A:$Q, 11, FALSE)</f>
        <v>45090</v>
      </c>
      <c r="R173" s="1"/>
      <c r="S173" s="1"/>
      <c r="T173" s="1"/>
      <c r="U173" s="1"/>
      <c r="V173">
        <f>_xlfn.XLOOKUP(D173, OLDSURVLOOKUP!$A:$A, OLDSURVLOOKUP!V:V)</f>
        <v>0</v>
      </c>
      <c r="W173">
        <f>VLOOKUP(D173, SURVLOOKUP!$A:$Q, 14, FALSE)</f>
        <v>0</v>
      </c>
      <c r="X173">
        <f>_xlfn.XLOOKUP(D173, OLDSURVLOOKUP!$A:$A, OLDSURVLOOKUP!X:X)</f>
        <v>0</v>
      </c>
      <c r="Y173">
        <f>VLOOKUP(D173, SURVLOOKUP!$A:$Q, 15, FALSE)</f>
        <v>0</v>
      </c>
      <c r="Z173">
        <f t="shared" si="43"/>
        <v>34.483870967741936</v>
      </c>
      <c r="AA173">
        <f t="shared" si="44"/>
        <v>63.225806451612904</v>
      </c>
      <c r="AB173">
        <f t="shared" si="45"/>
        <v>34.483870967741936</v>
      </c>
      <c r="AC173">
        <f t="shared" si="46"/>
        <v>63.225806451612904</v>
      </c>
      <c r="AD173">
        <f t="shared" si="47"/>
        <v>34.258064516129032</v>
      </c>
      <c r="AE173">
        <f t="shared" si="62"/>
        <v>63</v>
      </c>
      <c r="AF173">
        <f t="shared" si="58"/>
        <v>34.258064516129032</v>
      </c>
      <c r="AG173">
        <f t="shared" si="59"/>
        <v>63</v>
      </c>
      <c r="AH173">
        <f t="shared" si="48"/>
        <v>32.645161290322584</v>
      </c>
      <c r="AI173">
        <f t="shared" si="49"/>
        <v>61.387096774193552</v>
      </c>
      <c r="AJ173">
        <f t="shared" si="50"/>
        <v>32.645161290322584</v>
      </c>
      <c r="AK173">
        <f t="shared" si="51"/>
        <v>61.387096774193552</v>
      </c>
      <c r="AL173">
        <f t="shared" si="53"/>
        <v>1</v>
      </c>
      <c r="AM173" t="str">
        <f t="shared" si="61"/>
        <v>University of Michigan</v>
      </c>
      <c r="AN173">
        <v>0</v>
      </c>
      <c r="AO173">
        <v>63</v>
      </c>
      <c r="AP173">
        <f>VLOOKUP(D173, METADATALOOKUP!$A:$AI, 7, FALSE)</f>
        <v>39</v>
      </c>
      <c r="AQ173" t="str">
        <f>VLOOKUP(D173, METADATALOOKUP!$A:$AI, 8, FALSE)</f>
        <v>Male</v>
      </c>
      <c r="AR173" t="str">
        <f>VLOOKUP(D173, METADATALOOKUP!$A:$AI, 9, FALSE)</f>
        <v>White</v>
      </c>
      <c r="AS173" t="str">
        <f>VLOOKUP(D173, METADATALOOKUP!$A:$AI, 11, FALSE)</f>
        <v>No</v>
      </c>
      <c r="AT173" t="str">
        <f>VLOOKUP(D173, METADATALOOKUP!$A:$AI, 10, FALSE)</f>
        <v>Non-Hispanic</v>
      </c>
      <c r="AU173" t="str">
        <f>VLOOKUP(D173, METADATALOOKUP!$A:$AI, 12, FALSE)</f>
        <v>No</v>
      </c>
      <c r="AV173" t="str">
        <f>VLOOKUP(D173, METADATALOOKUP!$A:$AI, 14, FALSE)</f>
        <v>T3N1M0</v>
      </c>
      <c r="AW173" t="str">
        <f>VLOOKUP(D173, METADATALOOKUP!$A:$AI, 6, FALSE)</f>
        <v>Intermediate</v>
      </c>
      <c r="AX173" t="str">
        <f>VLOOKUP(D173, METADATALOOKUP!$A:$AI, 19, FALSE)</f>
        <v>No</v>
      </c>
      <c r="AY173">
        <f>LOOKUP(D173, SURVLOOKUP!$A:$A, SURVLOOKUP!$P:$P)</f>
        <v>0</v>
      </c>
      <c r="AZ173" s="46">
        <v>1</v>
      </c>
      <c r="BA173" t="str">
        <f>TEXT(VLOOKUP(D173, METADATALOOKUP!$A:$AI, 34, FALSE), "@")</f>
        <v>0.1</v>
      </c>
      <c r="BB173" s="47" t="str">
        <f t="shared" si="52"/>
        <v>Responder</v>
      </c>
      <c r="BC173">
        <v>0.60399999999999998</v>
      </c>
      <c r="BD173" s="1">
        <v>43222</v>
      </c>
    </row>
    <row r="174" spans="1:56" x14ac:dyDescent="0.2">
      <c r="A174" s="3" t="s">
        <v>486</v>
      </c>
      <c r="B174" t="str">
        <f>VLOOKUP(A174, IDSLOOKUP!C:E, 2, FALSE)</f>
        <v>Screen</v>
      </c>
      <c r="C174" t="str">
        <f>VLOOKUP(D174, METADATALOOKUP!$A:$AI, 13, FALSE)</f>
        <v>Oral Cavity</v>
      </c>
      <c r="D174" t="str">
        <f>VLOOKUP(A174, IDSLOOKUP!C:E, 3, FALSE)</f>
        <v>HN05-01</v>
      </c>
      <c r="E174" s="48">
        <f>VLOOKUP(A174,CFDNALOOKUP!AG:AI,2,FALSE)</f>
        <v>43833</v>
      </c>
      <c r="F174" s="48">
        <f>VLOOKUP(A174,CFDNALOOKUP!AG:AI,3,FALSE)</f>
        <v>43898</v>
      </c>
      <c r="G174" s="1">
        <f>VLOOKUP(D174, SURVLOOKUP!$A:$Q, 2, FALSE)</f>
        <v>43327</v>
      </c>
      <c r="H174" s="1">
        <f>VLOOKUP(D174, SURVLOOKUP!$A:$Q, 3, FALSE)</f>
        <v>43350</v>
      </c>
      <c r="I174" s="1">
        <f>VLOOKUP(D174, SURVLOOKUP!$A:$Q, 4, FALSE)</f>
        <v>43361</v>
      </c>
      <c r="J174" s="1">
        <f>VLOOKUP(D174, SURVLOOKUP!$A:$Q, 5, FALSE)</f>
        <v>43368</v>
      </c>
      <c r="K174" s="1">
        <f>VLOOKUP(D174, SURVLOOKUP!$A:$Q, 6, FALSE)</f>
        <v>43418</v>
      </c>
      <c r="L174" s="1">
        <f>VLOOKUP(D174, SURVLOOKUP!$A:$Q, 7, FALSE)</f>
        <v>43475</v>
      </c>
      <c r="M174" s="1">
        <f>VLOOKUP(D174, SURVLOOKUP!$A:$Q, 8, FALSE)</f>
        <v>43411</v>
      </c>
      <c r="N174" s="1">
        <f>VLOOKUP(D174, SURVLOOKUP!$A:$Q, 9, FALSE)</f>
        <v>43516</v>
      </c>
      <c r="O174" s="1" t="str">
        <f>VLOOKUP(D174, SURVLOOKUP!$A:$Q, 10, FALSE)</f>
        <v>NA</v>
      </c>
      <c r="P174" s="1">
        <f>VLOOKUP(D174, OLDSURVLOOKUP!$A:$AA, 19, FALSE)</f>
        <v>43948</v>
      </c>
      <c r="Q174" s="1">
        <f>VLOOKUP(D174, SURVLOOKUP!$A:$Q, 11, FALSE)</f>
        <v>43948</v>
      </c>
      <c r="R174" s="1">
        <f>VLOOKUP(D174, OLDSURVLOOKUP!$A:$AA, 20, FALSE)</f>
        <v>43846</v>
      </c>
      <c r="S174" s="1">
        <f>VLOOKUP(D174, SURVLOOKUP!$A:$Q, 12, FALSE)</f>
        <v>43846</v>
      </c>
      <c r="T174" s="1">
        <f>VLOOKUP(D174, OLDSURVLOOKUP!$A:$AA, 21, FALSE)</f>
        <v>43949</v>
      </c>
      <c r="U174" s="1">
        <f>VLOOKUP(D174, SURVLOOKUP!$A:$Q, 13, FALSE)</f>
        <v>43949</v>
      </c>
      <c r="V174">
        <f>_xlfn.XLOOKUP(D174, OLDSURVLOOKUP!$A:$A, OLDSURVLOOKUP!V:V)</f>
        <v>1</v>
      </c>
      <c r="W174">
        <f>VLOOKUP(D174, SURVLOOKUP!$A:$Q, 14, FALSE)</f>
        <v>1</v>
      </c>
      <c r="X174">
        <f>_xlfn.XLOOKUP(D174, OLDSURVLOOKUP!$A:$A, OLDSURVLOOKUP!X:X)</f>
        <v>1</v>
      </c>
      <c r="Y174">
        <f>VLOOKUP(D174, SURVLOOKUP!$A:$Q, 15, FALSE)</f>
        <v>1</v>
      </c>
      <c r="Z174">
        <f t="shared" si="43"/>
        <v>15.966666666666667</v>
      </c>
      <c r="AA174">
        <f t="shared" si="44"/>
        <v>15.966666666666667</v>
      </c>
      <c r="AB174">
        <f t="shared" si="45"/>
        <v>19.333333333333332</v>
      </c>
      <c r="AC174">
        <f t="shared" si="46"/>
        <v>19.333333333333332</v>
      </c>
      <c r="AD174">
        <f t="shared" si="47"/>
        <v>15.733333333333333</v>
      </c>
      <c r="AE174">
        <f t="shared" si="62"/>
        <v>15.733333333333333</v>
      </c>
      <c r="AF174">
        <f t="shared" si="58"/>
        <v>19.100000000000001</v>
      </c>
      <c r="AG174">
        <f t="shared" si="59"/>
        <v>19.100000000000001</v>
      </c>
      <c r="AH174">
        <f t="shared" si="48"/>
        <v>14.3</v>
      </c>
      <c r="AI174">
        <f t="shared" si="49"/>
        <v>14.3</v>
      </c>
      <c r="AJ174">
        <f t="shared" si="50"/>
        <v>17.7</v>
      </c>
      <c r="AK174">
        <f t="shared" si="51"/>
        <v>17.7</v>
      </c>
      <c r="AL174">
        <f t="shared" si="53"/>
        <v>1</v>
      </c>
      <c r="AM174" t="str">
        <f t="shared" si="61"/>
        <v>University of Louisville</v>
      </c>
      <c r="AN174">
        <v>0</v>
      </c>
      <c r="AO174">
        <v>64</v>
      </c>
      <c r="AP174">
        <f>VLOOKUP(D174, METADATALOOKUP!$A:$AI, 7, FALSE)</f>
        <v>71</v>
      </c>
      <c r="AQ174" t="str">
        <f>VLOOKUP(D174, METADATALOOKUP!$A:$AI, 8, FALSE)</f>
        <v>Female</v>
      </c>
      <c r="AR174" t="str">
        <f>VLOOKUP(D174, METADATALOOKUP!$A:$AI, 9, FALSE)</f>
        <v>White</v>
      </c>
      <c r="AS174" t="str">
        <f>VLOOKUP(D174, METADATALOOKUP!$A:$AI, 11, FALSE)</f>
        <v>Yes</v>
      </c>
      <c r="AT174" t="str">
        <f>VLOOKUP(D174, METADATALOOKUP!$A:$AI, 10, FALSE)</f>
        <v>Non-Hispanic</v>
      </c>
      <c r="AU174" t="str">
        <f>VLOOKUP(D174, METADATALOOKUP!$A:$AI, 12, FALSE)</f>
        <v>No</v>
      </c>
      <c r="AV174" t="str">
        <f>VLOOKUP(D174, METADATALOOKUP!$A:$AI, 14, FALSE)</f>
        <v>cT4aN2bM0</v>
      </c>
      <c r="AW174" t="str">
        <f>VLOOKUP(D174, METADATALOOKUP!$A:$AI, 6, FALSE)</f>
        <v xml:space="preserve">High </v>
      </c>
      <c r="AX174" t="str">
        <f>VLOOKUP(D174, METADATALOOKUP!$A:$AI, 19, FALSE)</f>
        <v>Unknown</v>
      </c>
      <c r="AY174">
        <f>LOOKUP(D174, SURVLOOKUP!$A:$A, SURVLOOKUP!$P:$P)</f>
        <v>2</v>
      </c>
      <c r="AZ174" s="46">
        <v>6</v>
      </c>
      <c r="BA174" t="str">
        <f>TEXT(VLOOKUP(D174, METADATALOOKUP!$A:$AI, 34, FALSE), "@")</f>
        <v>60-70%</v>
      </c>
      <c r="BB174" s="47" t="str">
        <f t="shared" si="52"/>
        <v>Responder</v>
      </c>
      <c r="BC174">
        <v>0.32600000000000001</v>
      </c>
      <c r="BD174" s="1">
        <v>43362</v>
      </c>
    </row>
    <row r="175" spans="1:56" x14ac:dyDescent="0.2">
      <c r="A175" s="3" t="s">
        <v>489</v>
      </c>
      <c r="B175" t="str">
        <f>VLOOKUP(A175, IDSLOOKUP!C:E, 2, FALSE)</f>
        <v>Day 0</v>
      </c>
      <c r="C175" t="str">
        <f>VLOOKUP(D175, METADATALOOKUP!$A:$AI, 13, FALSE)</f>
        <v>Oral Cavity</v>
      </c>
      <c r="D175" t="str">
        <f>VLOOKUP(A175, IDSLOOKUP!C:E, 3, FALSE)</f>
        <v>HN05-01</v>
      </c>
      <c r="E175" s="48">
        <f>VLOOKUP(A175,CFDNALOOKUP!AG:AI,2,FALSE)</f>
        <v>43833</v>
      </c>
      <c r="F175" s="48">
        <f>VLOOKUP(A175,CFDNALOOKUP!AG:AI,3,FALSE)</f>
        <v>43891</v>
      </c>
      <c r="G175" s="1">
        <f>VLOOKUP(D175, SURVLOOKUP!$A:$Q, 2, FALSE)</f>
        <v>43327</v>
      </c>
      <c r="H175" s="1">
        <f>VLOOKUP(D175, SURVLOOKUP!$A:$Q, 3, FALSE)</f>
        <v>43350</v>
      </c>
      <c r="I175" s="1">
        <f>VLOOKUP(D175, SURVLOOKUP!$A:$Q, 4, FALSE)</f>
        <v>43361</v>
      </c>
      <c r="J175" s="1">
        <f>VLOOKUP(D175, SURVLOOKUP!$A:$Q, 5, FALSE)</f>
        <v>43368</v>
      </c>
      <c r="K175" s="1">
        <f>VLOOKUP(D175, SURVLOOKUP!$A:$Q, 6, FALSE)</f>
        <v>43418</v>
      </c>
      <c r="L175" s="1">
        <f>VLOOKUP(D175, SURVLOOKUP!$A:$Q, 7, FALSE)</f>
        <v>43475</v>
      </c>
      <c r="M175" s="1">
        <f>VLOOKUP(D175, SURVLOOKUP!$A:$Q, 8, FALSE)</f>
        <v>43411</v>
      </c>
      <c r="N175" s="1">
        <f>VLOOKUP(D175, SURVLOOKUP!$A:$Q, 9, FALSE)</f>
        <v>43516</v>
      </c>
      <c r="O175" s="1" t="str">
        <f>VLOOKUP(D175, SURVLOOKUP!$A:$Q, 10, FALSE)</f>
        <v>NA</v>
      </c>
      <c r="P175" s="1">
        <f>VLOOKUP(D175, OLDSURVLOOKUP!$A:$AA, 19, FALSE)</f>
        <v>43948</v>
      </c>
      <c r="Q175" s="1">
        <f>VLOOKUP(D175, SURVLOOKUP!$A:$Q, 11, FALSE)</f>
        <v>43948</v>
      </c>
      <c r="R175" s="1">
        <f>VLOOKUP(D175, OLDSURVLOOKUP!$A:$AA, 20, FALSE)</f>
        <v>43846</v>
      </c>
      <c r="S175" s="1">
        <f>VLOOKUP(D175, SURVLOOKUP!$A:$Q, 12, FALSE)</f>
        <v>43846</v>
      </c>
      <c r="T175" s="1">
        <f>VLOOKUP(D175, OLDSURVLOOKUP!$A:$AA, 21, FALSE)</f>
        <v>43949</v>
      </c>
      <c r="U175" s="1">
        <f>VLOOKUP(D175, SURVLOOKUP!$A:$Q, 13, FALSE)</f>
        <v>43949</v>
      </c>
      <c r="V175">
        <f>_xlfn.XLOOKUP(D175, OLDSURVLOOKUP!$A:$A, OLDSURVLOOKUP!V:V)</f>
        <v>1</v>
      </c>
      <c r="W175">
        <f>VLOOKUP(D175, SURVLOOKUP!$A:$Q, 14, FALSE)</f>
        <v>1</v>
      </c>
      <c r="X175">
        <f>_xlfn.XLOOKUP(D175, OLDSURVLOOKUP!$A:$A, OLDSURVLOOKUP!X:X)</f>
        <v>1</v>
      </c>
      <c r="Y175">
        <f>VLOOKUP(D175, SURVLOOKUP!$A:$Q, 15, FALSE)</f>
        <v>1</v>
      </c>
      <c r="Z175">
        <f t="shared" si="43"/>
        <v>15.966666666666667</v>
      </c>
      <c r="AA175">
        <f t="shared" si="44"/>
        <v>15.966666666666667</v>
      </c>
      <c r="AB175">
        <f t="shared" si="45"/>
        <v>19.333333333333332</v>
      </c>
      <c r="AC175">
        <f t="shared" si="46"/>
        <v>19.333333333333332</v>
      </c>
      <c r="AD175">
        <f t="shared" si="47"/>
        <v>15.733333333333333</v>
      </c>
      <c r="AE175">
        <f t="shared" si="62"/>
        <v>15.733333333333333</v>
      </c>
      <c r="AF175">
        <f t="shared" si="58"/>
        <v>19.100000000000001</v>
      </c>
      <c r="AG175">
        <f t="shared" si="59"/>
        <v>19.100000000000001</v>
      </c>
      <c r="AH175">
        <f t="shared" si="48"/>
        <v>14.3</v>
      </c>
      <c r="AI175">
        <f t="shared" si="49"/>
        <v>14.3</v>
      </c>
      <c r="AJ175">
        <f t="shared" si="50"/>
        <v>17.7</v>
      </c>
      <c r="AK175">
        <f t="shared" si="51"/>
        <v>17.7</v>
      </c>
      <c r="AL175">
        <f t="shared" si="53"/>
        <v>1</v>
      </c>
      <c r="AM175" t="str">
        <f t="shared" si="61"/>
        <v>University of Louisville</v>
      </c>
      <c r="AN175">
        <v>0</v>
      </c>
      <c r="AO175">
        <v>64</v>
      </c>
      <c r="AP175">
        <f>VLOOKUP(D175, METADATALOOKUP!$A:$AI, 7, FALSE)</f>
        <v>71</v>
      </c>
      <c r="AQ175" t="str">
        <f>VLOOKUP(D175, METADATALOOKUP!$A:$AI, 8, FALSE)</f>
        <v>Female</v>
      </c>
      <c r="AR175" t="str">
        <f>VLOOKUP(D175, METADATALOOKUP!$A:$AI, 9, FALSE)</f>
        <v>White</v>
      </c>
      <c r="AS175" t="str">
        <f>VLOOKUP(D175, METADATALOOKUP!$A:$AI, 11, FALSE)</f>
        <v>Yes</v>
      </c>
      <c r="AT175" t="str">
        <f>VLOOKUP(D175, METADATALOOKUP!$A:$AI, 10, FALSE)</f>
        <v>Non-Hispanic</v>
      </c>
      <c r="AU175" t="str">
        <f>VLOOKUP(D175, METADATALOOKUP!$A:$AI, 12, FALSE)</f>
        <v>No</v>
      </c>
      <c r="AV175" t="str">
        <f>VLOOKUP(D175, METADATALOOKUP!$A:$AI, 14, FALSE)</f>
        <v>cT4aN2bM0</v>
      </c>
      <c r="AW175" t="str">
        <f>VLOOKUP(D175, METADATALOOKUP!$A:$AI, 6, FALSE)</f>
        <v xml:space="preserve">High </v>
      </c>
      <c r="AX175" t="str">
        <f>VLOOKUP(D175, METADATALOOKUP!$A:$AI, 19, FALSE)</f>
        <v>Unknown</v>
      </c>
      <c r="AY175">
        <f>LOOKUP(D175, SURVLOOKUP!$A:$A, SURVLOOKUP!$P:$P)</f>
        <v>2</v>
      </c>
      <c r="AZ175" s="46">
        <v>6</v>
      </c>
      <c r="BA175" t="str">
        <f>TEXT(VLOOKUP(D175, METADATALOOKUP!$A:$AI, 34, FALSE), "@")</f>
        <v>60-70%</v>
      </c>
      <c r="BB175" s="47" t="str">
        <f t="shared" si="52"/>
        <v>Responder</v>
      </c>
      <c r="BC175">
        <v>2.04</v>
      </c>
      <c r="BD175" s="1">
        <v>43368</v>
      </c>
    </row>
    <row r="176" spans="1:56" x14ac:dyDescent="0.2">
      <c r="A176" s="3" t="s">
        <v>490</v>
      </c>
      <c r="B176" t="str">
        <f>VLOOKUP(A176, IDSLOOKUP!C:E, 2, FALSE)</f>
        <v>Adj Wk 1</v>
      </c>
      <c r="C176" t="str">
        <f>VLOOKUP(D176, METADATALOOKUP!$A:$AI, 13, FALSE)</f>
        <v>Oral Cavity</v>
      </c>
      <c r="D176" t="str">
        <f>VLOOKUP(A176, IDSLOOKUP!C:E, 3, FALSE)</f>
        <v>HN05-01</v>
      </c>
      <c r="E176" s="48">
        <f>VLOOKUP(A176,CFDNALOOKUP!AG:AI,2,FALSE)</f>
        <v>43833</v>
      </c>
      <c r="F176" s="48">
        <f>VLOOKUP(A176,CFDNALOOKUP!AG:AI,3,FALSE)</f>
        <v>43888</v>
      </c>
      <c r="G176" s="1">
        <f>VLOOKUP(D176, SURVLOOKUP!$A:$Q, 2, FALSE)</f>
        <v>43327</v>
      </c>
      <c r="H176" s="1">
        <f>VLOOKUP(D176, SURVLOOKUP!$A:$Q, 3, FALSE)</f>
        <v>43350</v>
      </c>
      <c r="I176" s="1">
        <f>VLOOKUP(D176, SURVLOOKUP!$A:$Q, 4, FALSE)</f>
        <v>43361</v>
      </c>
      <c r="J176" s="1">
        <f>VLOOKUP(D176, SURVLOOKUP!$A:$Q, 5, FALSE)</f>
        <v>43368</v>
      </c>
      <c r="K176" s="1">
        <f>VLOOKUP(D176, SURVLOOKUP!$A:$Q, 6, FALSE)</f>
        <v>43418</v>
      </c>
      <c r="L176" s="1">
        <f>VLOOKUP(D176, SURVLOOKUP!$A:$Q, 7, FALSE)</f>
        <v>43475</v>
      </c>
      <c r="M176" s="1">
        <f>VLOOKUP(D176, SURVLOOKUP!$A:$Q, 8, FALSE)</f>
        <v>43411</v>
      </c>
      <c r="N176" s="1">
        <f>VLOOKUP(D176, SURVLOOKUP!$A:$Q, 9, FALSE)</f>
        <v>43516</v>
      </c>
      <c r="O176" s="1" t="str">
        <f>VLOOKUP(D176, SURVLOOKUP!$A:$Q, 10, FALSE)</f>
        <v>NA</v>
      </c>
      <c r="P176" s="1">
        <f>VLOOKUP(D176, OLDSURVLOOKUP!$A:$AA, 19, FALSE)</f>
        <v>43948</v>
      </c>
      <c r="Q176" s="1">
        <f>VLOOKUP(D176, SURVLOOKUP!$A:$Q, 11, FALSE)</f>
        <v>43948</v>
      </c>
      <c r="R176" s="1">
        <f>VLOOKUP(D176, OLDSURVLOOKUP!$A:$AA, 20, FALSE)</f>
        <v>43846</v>
      </c>
      <c r="S176" s="1">
        <f>VLOOKUP(D176, SURVLOOKUP!$A:$Q, 12, FALSE)</f>
        <v>43846</v>
      </c>
      <c r="T176" s="1">
        <f>VLOOKUP(D176, OLDSURVLOOKUP!$A:$AA, 21, FALSE)</f>
        <v>43949</v>
      </c>
      <c r="U176" s="1">
        <f>VLOOKUP(D176, SURVLOOKUP!$A:$Q, 13, FALSE)</f>
        <v>43949</v>
      </c>
      <c r="V176">
        <f>_xlfn.XLOOKUP(D176, OLDSURVLOOKUP!$A:$A, OLDSURVLOOKUP!V:V)</f>
        <v>1</v>
      </c>
      <c r="W176">
        <f>VLOOKUP(D176, SURVLOOKUP!$A:$Q, 14, FALSE)</f>
        <v>1</v>
      </c>
      <c r="X176">
        <f>_xlfn.XLOOKUP(D176, OLDSURVLOOKUP!$A:$A, OLDSURVLOOKUP!X:X)</f>
        <v>1</v>
      </c>
      <c r="Y176">
        <f>VLOOKUP(D176, SURVLOOKUP!$A:$Q, 15, FALSE)</f>
        <v>1</v>
      </c>
      <c r="Z176">
        <f t="shared" si="43"/>
        <v>15.966666666666667</v>
      </c>
      <c r="AA176">
        <f t="shared" si="44"/>
        <v>15.966666666666667</v>
      </c>
      <c r="AB176">
        <f t="shared" si="45"/>
        <v>19.333333333333332</v>
      </c>
      <c r="AC176">
        <f t="shared" si="46"/>
        <v>19.333333333333332</v>
      </c>
      <c r="AD176">
        <f t="shared" si="47"/>
        <v>15.733333333333333</v>
      </c>
      <c r="AE176">
        <f t="shared" si="62"/>
        <v>15.733333333333333</v>
      </c>
      <c r="AF176">
        <f t="shared" si="58"/>
        <v>19.100000000000001</v>
      </c>
      <c r="AG176">
        <f t="shared" si="59"/>
        <v>19.100000000000001</v>
      </c>
      <c r="AH176">
        <f t="shared" si="48"/>
        <v>14.3</v>
      </c>
      <c r="AI176">
        <f t="shared" si="49"/>
        <v>14.3</v>
      </c>
      <c r="AJ176">
        <f t="shared" si="50"/>
        <v>17.7</v>
      </c>
      <c r="AK176">
        <f t="shared" si="51"/>
        <v>17.7</v>
      </c>
      <c r="AL176">
        <f t="shared" si="53"/>
        <v>1</v>
      </c>
      <c r="AM176" t="str">
        <f t="shared" si="61"/>
        <v>University of Louisville</v>
      </c>
      <c r="AN176">
        <v>0</v>
      </c>
      <c r="AO176">
        <v>64</v>
      </c>
      <c r="AP176">
        <f>VLOOKUP(D176, METADATALOOKUP!$A:$AI, 7, FALSE)</f>
        <v>71</v>
      </c>
      <c r="AQ176" t="str">
        <f>VLOOKUP(D176, METADATALOOKUP!$A:$AI, 8, FALSE)</f>
        <v>Female</v>
      </c>
      <c r="AR176" t="str">
        <f>VLOOKUP(D176, METADATALOOKUP!$A:$AI, 9, FALSE)</f>
        <v>White</v>
      </c>
      <c r="AS176" t="str">
        <f>VLOOKUP(D176, METADATALOOKUP!$A:$AI, 11, FALSE)</f>
        <v>Yes</v>
      </c>
      <c r="AT176" t="str">
        <f>VLOOKUP(D176, METADATALOOKUP!$A:$AI, 10, FALSE)</f>
        <v>Non-Hispanic</v>
      </c>
      <c r="AU176" t="str">
        <f>VLOOKUP(D176, METADATALOOKUP!$A:$AI, 12, FALSE)</f>
        <v>No</v>
      </c>
      <c r="AV176" t="str">
        <f>VLOOKUP(D176, METADATALOOKUP!$A:$AI, 14, FALSE)</f>
        <v>cT4aN2bM0</v>
      </c>
      <c r="AW176" t="str">
        <f>VLOOKUP(D176, METADATALOOKUP!$A:$AI, 6, FALSE)</f>
        <v xml:space="preserve">High </v>
      </c>
      <c r="AX176" t="str">
        <f>VLOOKUP(D176, METADATALOOKUP!$A:$AI, 19, FALSE)</f>
        <v>Unknown</v>
      </c>
      <c r="AY176">
        <f>LOOKUP(D176, SURVLOOKUP!$A:$A, SURVLOOKUP!$P:$P)</f>
        <v>2</v>
      </c>
      <c r="AZ176" s="46">
        <v>6</v>
      </c>
      <c r="BA176" t="str">
        <f>TEXT(VLOOKUP(D176, METADATALOOKUP!$A:$AI, 34, FALSE), "@")</f>
        <v>60-70%</v>
      </c>
      <c r="BB176" s="47" t="str">
        <f t="shared" si="52"/>
        <v>Responder</v>
      </c>
      <c r="BC176">
        <v>0.05</v>
      </c>
      <c r="BD176" s="1">
        <v>43412</v>
      </c>
    </row>
    <row r="177" spans="1:56" x14ac:dyDescent="0.2">
      <c r="A177" s="3" t="s">
        <v>491</v>
      </c>
      <c r="B177" t="str">
        <f>VLOOKUP(A177, IDSLOOKUP!C:E, 2, FALSE)</f>
        <v>Screen</v>
      </c>
      <c r="C177" t="str">
        <f>VLOOKUP(D177, METADATALOOKUP!$A:$AI, 13, FALSE)</f>
        <v>Oral Cavity</v>
      </c>
      <c r="D177" t="str">
        <f>VLOOKUP(A177, IDSLOOKUP!C:E, 3, FALSE)</f>
        <v>HN05-02</v>
      </c>
      <c r="E177" s="48">
        <f>VLOOKUP(A177,CFDNALOOKUP!AG:AI,2,FALSE)</f>
        <v>43845</v>
      </c>
      <c r="F177" s="48">
        <f>VLOOKUP(A177,CFDNALOOKUP!AG:AI,3,FALSE)</f>
        <v>43888</v>
      </c>
      <c r="G177" s="1">
        <f>VLOOKUP(D177, SURVLOOKUP!$A:$Q, 2, FALSE)</f>
        <v>43341</v>
      </c>
      <c r="H177" s="1">
        <f>VLOOKUP(D177, SURVLOOKUP!$A:$Q, 3, FALSE)</f>
        <v>43357</v>
      </c>
      <c r="I177" s="1">
        <f>VLOOKUP(D177, SURVLOOKUP!$A:$Q, 4, FALSE)</f>
        <v>43374</v>
      </c>
      <c r="J177" s="1">
        <f>VLOOKUP(D177, SURVLOOKUP!$A:$Q, 5, FALSE)</f>
        <v>43381</v>
      </c>
      <c r="K177" s="1">
        <f>VLOOKUP(D177, SURVLOOKUP!$A:$Q, 6, FALSE)</f>
        <v>43411</v>
      </c>
      <c r="L177" s="1">
        <f>VLOOKUP(D177, SURVLOOKUP!$A:$Q, 7, FALSE)</f>
        <v>43453</v>
      </c>
      <c r="M177" s="1">
        <f>VLOOKUP(D177, SURVLOOKUP!$A:$Q, 8, FALSE)</f>
        <v>43404</v>
      </c>
      <c r="N177" s="1">
        <f>VLOOKUP(D177, SURVLOOKUP!$A:$Q, 9, FALSE)</f>
        <v>43509</v>
      </c>
      <c r="O177" s="1" t="str">
        <f>VLOOKUP(D177, SURVLOOKUP!$A:$Q, 10, FALSE)</f>
        <v>NA</v>
      </c>
      <c r="P177" s="1">
        <f>VLOOKUP(D177, OLDSURVLOOKUP!$A:$AA, 19, FALSE)</f>
        <v>44335</v>
      </c>
      <c r="Q177" s="1">
        <f>VLOOKUP(D177, SURVLOOKUP!$A:$Q, 11, FALSE)</f>
        <v>45390</v>
      </c>
      <c r="R177" s="1"/>
      <c r="S177" s="1"/>
      <c r="T177" s="1"/>
      <c r="U177" s="1"/>
      <c r="V177">
        <f>_xlfn.XLOOKUP(D177, OLDSURVLOOKUP!$A:$A, OLDSURVLOOKUP!V:V)</f>
        <v>0</v>
      </c>
      <c r="W177">
        <f>VLOOKUP(D177, SURVLOOKUP!$A:$Q, 14, FALSE)</f>
        <v>0</v>
      </c>
      <c r="X177">
        <f>_xlfn.XLOOKUP(D177, OLDSURVLOOKUP!$A:$A, OLDSURVLOOKUP!X:X)</f>
        <v>0</v>
      </c>
      <c r="Y177">
        <f>VLOOKUP(D177, SURVLOOKUP!$A:$Q, 15, FALSE)</f>
        <v>0</v>
      </c>
      <c r="Z177">
        <f t="shared" si="43"/>
        <v>31.580645161290324</v>
      </c>
      <c r="AA177">
        <f t="shared" si="44"/>
        <v>66.225806451612897</v>
      </c>
      <c r="AB177">
        <f t="shared" si="45"/>
        <v>31.580645161290324</v>
      </c>
      <c r="AC177">
        <f t="shared" si="46"/>
        <v>66.225806451612897</v>
      </c>
      <c r="AD177">
        <f t="shared" si="47"/>
        <v>31.35483870967742</v>
      </c>
      <c r="AE177">
        <f t="shared" si="62"/>
        <v>66</v>
      </c>
      <c r="AF177">
        <f t="shared" si="58"/>
        <v>31.35483870967742</v>
      </c>
      <c r="AG177">
        <f t="shared" si="59"/>
        <v>66</v>
      </c>
      <c r="AH177">
        <f t="shared" si="48"/>
        <v>30.580645161290324</v>
      </c>
      <c r="AI177">
        <f t="shared" si="49"/>
        <v>65.258064516129039</v>
      </c>
      <c r="AJ177">
        <f t="shared" si="50"/>
        <v>30.580645161290324</v>
      </c>
      <c r="AK177">
        <f t="shared" si="51"/>
        <v>65.258064516129039</v>
      </c>
      <c r="AL177">
        <f t="shared" si="53"/>
        <v>1</v>
      </c>
      <c r="AM177" t="str">
        <f t="shared" si="61"/>
        <v>University of Louisville</v>
      </c>
      <c r="AN177">
        <v>0</v>
      </c>
      <c r="AO177">
        <v>65</v>
      </c>
      <c r="AP177">
        <f>VLOOKUP(D177, METADATALOOKUP!$A:$AI, 7, FALSE)</f>
        <v>62</v>
      </c>
      <c r="AQ177" t="str">
        <f>VLOOKUP(D177, METADATALOOKUP!$A:$AI, 8, FALSE)</f>
        <v>Male</v>
      </c>
      <c r="AR177" t="str">
        <f>VLOOKUP(D177, METADATALOOKUP!$A:$AI, 9, FALSE)</f>
        <v>White</v>
      </c>
      <c r="AS177" t="str">
        <f>VLOOKUP(D177, METADATALOOKUP!$A:$AI, 11, FALSE)</f>
        <v>No</v>
      </c>
      <c r="AT177" t="str">
        <f>VLOOKUP(D177, METADATALOOKUP!$A:$AI, 10, FALSE)</f>
        <v>Non-Hispanic</v>
      </c>
      <c r="AU177" t="str">
        <f>VLOOKUP(D177, METADATALOOKUP!$A:$AI, 12, FALSE)</f>
        <v>Yes</v>
      </c>
      <c r="AV177" t="str">
        <f>VLOOKUP(D177, METADATALOOKUP!$A:$AI, 14, FALSE)</f>
        <v>T3N2cMx</v>
      </c>
      <c r="AW177" t="str">
        <f>VLOOKUP(D177, METADATALOOKUP!$A:$AI, 6, FALSE)</f>
        <v>Intermediate</v>
      </c>
      <c r="AX177" t="str">
        <f>VLOOKUP(D177, METADATALOOKUP!$A:$AI, 19, FALSE)</f>
        <v>Unknown</v>
      </c>
      <c r="AY177">
        <f>LOOKUP(D177, SURVLOOKUP!$A:$A, SURVLOOKUP!$P:$P)</f>
        <v>0</v>
      </c>
      <c r="AZ177" s="46">
        <v>2</v>
      </c>
      <c r="BA177" t="str">
        <f>TEXT(VLOOKUP(D177, METADATALOOKUP!$A:$AI, 34, FALSE), "@")</f>
        <v>20-30%</v>
      </c>
      <c r="BB177" s="47" t="str">
        <f t="shared" si="52"/>
        <v>Responder</v>
      </c>
      <c r="BC177">
        <v>3.68</v>
      </c>
      <c r="BD177" s="1">
        <v>43375</v>
      </c>
    </row>
    <row r="178" spans="1:56" x14ac:dyDescent="0.2">
      <c r="A178" s="3" t="s">
        <v>494</v>
      </c>
      <c r="B178" t="str">
        <f>VLOOKUP(A178, IDSLOOKUP!C:E, 2, FALSE)</f>
        <v>Day 0</v>
      </c>
      <c r="C178" t="str">
        <f>VLOOKUP(D178, METADATALOOKUP!$A:$AI, 13, FALSE)</f>
        <v>Oral Cavity</v>
      </c>
      <c r="D178" t="str">
        <f>VLOOKUP(A178, IDSLOOKUP!C:E, 3, FALSE)</f>
        <v>HN05-02</v>
      </c>
      <c r="E178" s="48">
        <f>VLOOKUP(A178,CFDNALOOKUP!AG:AI,2,FALSE)</f>
        <v>43845</v>
      </c>
      <c r="F178" s="48">
        <f>VLOOKUP(A178,CFDNALOOKUP!AG:AI,3,FALSE)</f>
        <v>43889</v>
      </c>
      <c r="G178" s="1">
        <f>VLOOKUP(D178, SURVLOOKUP!$A:$Q, 2, FALSE)</f>
        <v>43341</v>
      </c>
      <c r="H178" s="1">
        <f>VLOOKUP(D178, SURVLOOKUP!$A:$Q, 3, FALSE)</f>
        <v>43357</v>
      </c>
      <c r="I178" s="1">
        <f>VLOOKUP(D178, SURVLOOKUP!$A:$Q, 4, FALSE)</f>
        <v>43374</v>
      </c>
      <c r="J178" s="1">
        <f>VLOOKUP(D178, SURVLOOKUP!$A:$Q, 5, FALSE)</f>
        <v>43381</v>
      </c>
      <c r="K178" s="1">
        <f>VLOOKUP(D178, SURVLOOKUP!$A:$Q, 6, FALSE)</f>
        <v>43411</v>
      </c>
      <c r="L178" s="1">
        <f>VLOOKUP(D178, SURVLOOKUP!$A:$Q, 7, FALSE)</f>
        <v>43453</v>
      </c>
      <c r="M178" s="1">
        <f>VLOOKUP(D178, SURVLOOKUP!$A:$Q, 8, FALSE)</f>
        <v>43404</v>
      </c>
      <c r="N178" s="1">
        <f>VLOOKUP(D178, SURVLOOKUP!$A:$Q, 9, FALSE)</f>
        <v>43509</v>
      </c>
      <c r="O178" s="1" t="str">
        <f>VLOOKUP(D178, SURVLOOKUP!$A:$Q, 10, FALSE)</f>
        <v>NA</v>
      </c>
      <c r="P178" s="1">
        <f>VLOOKUP(D178, OLDSURVLOOKUP!$A:$AA, 19, FALSE)</f>
        <v>44335</v>
      </c>
      <c r="Q178" s="1">
        <f>VLOOKUP(D178, SURVLOOKUP!$A:$Q, 11, FALSE)</f>
        <v>45390</v>
      </c>
      <c r="R178" s="1"/>
      <c r="S178" s="1"/>
      <c r="T178" s="1"/>
      <c r="U178" s="1"/>
      <c r="V178">
        <f>_xlfn.XLOOKUP(D178, OLDSURVLOOKUP!$A:$A, OLDSURVLOOKUP!V:V)</f>
        <v>0</v>
      </c>
      <c r="W178">
        <f>VLOOKUP(D178, SURVLOOKUP!$A:$Q, 14, FALSE)</f>
        <v>0</v>
      </c>
      <c r="X178">
        <f>_xlfn.XLOOKUP(D178, OLDSURVLOOKUP!$A:$A, OLDSURVLOOKUP!X:X)</f>
        <v>0</v>
      </c>
      <c r="Y178">
        <f>VLOOKUP(D178, SURVLOOKUP!$A:$Q, 15, FALSE)</f>
        <v>0</v>
      </c>
      <c r="Z178">
        <f t="shared" si="43"/>
        <v>31.580645161290324</v>
      </c>
      <c r="AA178">
        <f t="shared" si="44"/>
        <v>66.225806451612897</v>
      </c>
      <c r="AB178">
        <f t="shared" si="45"/>
        <v>31.580645161290324</v>
      </c>
      <c r="AC178">
        <f t="shared" si="46"/>
        <v>66.225806451612897</v>
      </c>
      <c r="AD178">
        <f t="shared" si="47"/>
        <v>31.35483870967742</v>
      </c>
      <c r="AE178">
        <f t="shared" si="62"/>
        <v>66</v>
      </c>
      <c r="AF178">
        <f t="shared" si="58"/>
        <v>31.35483870967742</v>
      </c>
      <c r="AG178">
        <f t="shared" si="59"/>
        <v>66</v>
      </c>
      <c r="AH178">
        <f t="shared" si="48"/>
        <v>30.580645161290324</v>
      </c>
      <c r="AI178">
        <f t="shared" si="49"/>
        <v>65.258064516129039</v>
      </c>
      <c r="AJ178">
        <f t="shared" si="50"/>
        <v>30.580645161290324</v>
      </c>
      <c r="AK178">
        <f t="shared" si="51"/>
        <v>65.258064516129039</v>
      </c>
      <c r="AL178">
        <f t="shared" si="53"/>
        <v>1</v>
      </c>
      <c r="AM178" t="str">
        <f t="shared" si="61"/>
        <v>University of Louisville</v>
      </c>
      <c r="AN178">
        <v>0</v>
      </c>
      <c r="AO178">
        <v>65</v>
      </c>
      <c r="AP178">
        <f>VLOOKUP(D178, METADATALOOKUP!$A:$AI, 7, FALSE)</f>
        <v>62</v>
      </c>
      <c r="AQ178" t="str">
        <f>VLOOKUP(D178, METADATALOOKUP!$A:$AI, 8, FALSE)</f>
        <v>Male</v>
      </c>
      <c r="AR178" t="str">
        <f>VLOOKUP(D178, METADATALOOKUP!$A:$AI, 9, FALSE)</f>
        <v>White</v>
      </c>
      <c r="AS178" t="str">
        <f>VLOOKUP(D178, METADATALOOKUP!$A:$AI, 11, FALSE)</f>
        <v>No</v>
      </c>
      <c r="AT178" t="str">
        <f>VLOOKUP(D178, METADATALOOKUP!$A:$AI, 10, FALSE)</f>
        <v>Non-Hispanic</v>
      </c>
      <c r="AU178" t="str">
        <f>VLOOKUP(D178, METADATALOOKUP!$A:$AI, 12, FALSE)</f>
        <v>Yes</v>
      </c>
      <c r="AV178" t="str">
        <f>VLOOKUP(D178, METADATALOOKUP!$A:$AI, 14, FALSE)</f>
        <v>T3N2cMx</v>
      </c>
      <c r="AW178" t="str">
        <f>VLOOKUP(D178, METADATALOOKUP!$A:$AI, 6, FALSE)</f>
        <v>Intermediate</v>
      </c>
      <c r="AX178" t="str">
        <f>VLOOKUP(D178, METADATALOOKUP!$A:$AI, 19, FALSE)</f>
        <v>Unknown</v>
      </c>
      <c r="AY178">
        <f>LOOKUP(D178, SURVLOOKUP!$A:$A, SURVLOOKUP!$P:$P)</f>
        <v>0</v>
      </c>
      <c r="AZ178" s="46">
        <v>2</v>
      </c>
      <c r="BA178" t="str">
        <f>TEXT(VLOOKUP(D178, METADATALOOKUP!$A:$AI, 34, FALSE), "@")</f>
        <v>20-30%</v>
      </c>
      <c r="BB178" s="47" t="str">
        <f t="shared" si="52"/>
        <v>Responder</v>
      </c>
      <c r="BC178">
        <v>4.62</v>
      </c>
      <c r="BD178" s="1">
        <v>43382</v>
      </c>
    </row>
    <row r="179" spans="1:56" x14ac:dyDescent="0.2">
      <c r="A179" s="3" t="s">
        <v>495</v>
      </c>
      <c r="B179" t="str">
        <f>VLOOKUP(A179, IDSLOOKUP!C:E, 2, FALSE)</f>
        <v>Adj Wk 1</v>
      </c>
      <c r="C179" t="str">
        <f>VLOOKUP(D179, METADATALOOKUP!$A:$AI, 13, FALSE)</f>
        <v>Oral Cavity</v>
      </c>
      <c r="D179" t="str">
        <f>VLOOKUP(A179, IDSLOOKUP!C:E, 3, FALSE)</f>
        <v>HN05-02</v>
      </c>
      <c r="E179" s="48">
        <f>VLOOKUP(A179,CFDNALOOKUP!AG:AI,2,FALSE)</f>
        <v>43845</v>
      </c>
      <c r="F179" s="48">
        <f>VLOOKUP(A179,CFDNALOOKUP!AG:AI,3,FALSE)</f>
        <v>43891</v>
      </c>
      <c r="G179" s="1">
        <f>VLOOKUP(D179, SURVLOOKUP!$A:$Q, 2, FALSE)</f>
        <v>43341</v>
      </c>
      <c r="H179" s="1">
        <f>VLOOKUP(D179, SURVLOOKUP!$A:$Q, 3, FALSE)</f>
        <v>43357</v>
      </c>
      <c r="I179" s="1">
        <f>VLOOKUP(D179, SURVLOOKUP!$A:$Q, 4, FALSE)</f>
        <v>43374</v>
      </c>
      <c r="J179" s="1">
        <f>VLOOKUP(D179, SURVLOOKUP!$A:$Q, 5, FALSE)</f>
        <v>43381</v>
      </c>
      <c r="K179" s="1">
        <f>VLOOKUP(D179, SURVLOOKUP!$A:$Q, 6, FALSE)</f>
        <v>43411</v>
      </c>
      <c r="L179" s="1">
        <f>VLOOKUP(D179, SURVLOOKUP!$A:$Q, 7, FALSE)</f>
        <v>43453</v>
      </c>
      <c r="M179" s="1">
        <f>VLOOKUP(D179, SURVLOOKUP!$A:$Q, 8, FALSE)</f>
        <v>43404</v>
      </c>
      <c r="N179" s="1">
        <f>VLOOKUP(D179, SURVLOOKUP!$A:$Q, 9, FALSE)</f>
        <v>43509</v>
      </c>
      <c r="O179" s="1" t="str">
        <f>VLOOKUP(D179, SURVLOOKUP!$A:$Q, 10, FALSE)</f>
        <v>NA</v>
      </c>
      <c r="P179" s="1">
        <f>VLOOKUP(D179, OLDSURVLOOKUP!$A:$AA, 19, FALSE)</f>
        <v>44335</v>
      </c>
      <c r="Q179" s="1">
        <f>VLOOKUP(D179, SURVLOOKUP!$A:$Q, 11, FALSE)</f>
        <v>45390</v>
      </c>
      <c r="R179" s="1"/>
      <c r="S179" s="1"/>
      <c r="T179" s="1"/>
      <c r="U179" s="1"/>
      <c r="V179">
        <f>_xlfn.XLOOKUP(D179, OLDSURVLOOKUP!$A:$A, OLDSURVLOOKUP!V:V)</f>
        <v>0</v>
      </c>
      <c r="W179">
        <f>VLOOKUP(D179, SURVLOOKUP!$A:$Q, 14, FALSE)</f>
        <v>0</v>
      </c>
      <c r="X179">
        <f>_xlfn.XLOOKUP(D179, OLDSURVLOOKUP!$A:$A, OLDSURVLOOKUP!X:X)</f>
        <v>0</v>
      </c>
      <c r="Y179">
        <f>VLOOKUP(D179, SURVLOOKUP!$A:$Q, 15, FALSE)</f>
        <v>0</v>
      </c>
      <c r="Z179">
        <f t="shared" si="43"/>
        <v>31.580645161290324</v>
      </c>
      <c r="AA179">
        <f t="shared" si="44"/>
        <v>66.225806451612897</v>
      </c>
      <c r="AB179">
        <f t="shared" si="45"/>
        <v>31.580645161290324</v>
      </c>
      <c r="AC179">
        <f t="shared" si="46"/>
        <v>66.225806451612897</v>
      </c>
      <c r="AD179">
        <f t="shared" si="47"/>
        <v>31.35483870967742</v>
      </c>
      <c r="AE179">
        <f t="shared" si="62"/>
        <v>66</v>
      </c>
      <c r="AF179">
        <f t="shared" si="58"/>
        <v>31.35483870967742</v>
      </c>
      <c r="AG179">
        <f t="shared" si="59"/>
        <v>66</v>
      </c>
      <c r="AH179">
        <f t="shared" si="48"/>
        <v>30.580645161290324</v>
      </c>
      <c r="AI179">
        <f t="shared" si="49"/>
        <v>65.258064516129039</v>
      </c>
      <c r="AJ179">
        <f t="shared" si="50"/>
        <v>30.580645161290324</v>
      </c>
      <c r="AK179">
        <f t="shared" si="51"/>
        <v>65.258064516129039</v>
      </c>
      <c r="AL179">
        <f t="shared" si="53"/>
        <v>1</v>
      </c>
      <c r="AM179" t="str">
        <f t="shared" si="61"/>
        <v>University of Louisville</v>
      </c>
      <c r="AN179">
        <v>0</v>
      </c>
      <c r="AO179">
        <v>65</v>
      </c>
      <c r="AP179">
        <f>VLOOKUP(D179, METADATALOOKUP!$A:$AI, 7, FALSE)</f>
        <v>62</v>
      </c>
      <c r="AQ179" t="str">
        <f>VLOOKUP(D179, METADATALOOKUP!$A:$AI, 8, FALSE)</f>
        <v>Male</v>
      </c>
      <c r="AR179" t="str">
        <f>VLOOKUP(D179, METADATALOOKUP!$A:$AI, 9, FALSE)</f>
        <v>White</v>
      </c>
      <c r="AS179" t="str">
        <f>VLOOKUP(D179, METADATALOOKUP!$A:$AI, 11, FALSE)</f>
        <v>No</v>
      </c>
      <c r="AT179" t="str">
        <f>VLOOKUP(D179, METADATALOOKUP!$A:$AI, 10, FALSE)</f>
        <v>Non-Hispanic</v>
      </c>
      <c r="AU179" t="str">
        <f>VLOOKUP(D179, METADATALOOKUP!$A:$AI, 12, FALSE)</f>
        <v>Yes</v>
      </c>
      <c r="AV179" t="str">
        <f>VLOOKUP(D179, METADATALOOKUP!$A:$AI, 14, FALSE)</f>
        <v>T3N2cMx</v>
      </c>
      <c r="AW179" t="str">
        <f>VLOOKUP(D179, METADATALOOKUP!$A:$AI, 6, FALSE)</f>
        <v>Intermediate</v>
      </c>
      <c r="AX179" t="str">
        <f>VLOOKUP(D179, METADATALOOKUP!$A:$AI, 19, FALSE)</f>
        <v>Unknown</v>
      </c>
      <c r="AY179">
        <f>LOOKUP(D179, SURVLOOKUP!$A:$A, SURVLOOKUP!$P:$P)</f>
        <v>0</v>
      </c>
      <c r="AZ179" s="46">
        <v>2</v>
      </c>
      <c r="BA179" t="str">
        <f>TEXT(VLOOKUP(D179, METADATALOOKUP!$A:$AI, 34, FALSE), "@")</f>
        <v>20-30%</v>
      </c>
      <c r="BB179" s="47" t="str">
        <f t="shared" si="52"/>
        <v>Responder</v>
      </c>
      <c r="BC179">
        <v>0.59799999999999998</v>
      </c>
      <c r="BD179" s="1">
        <v>43405</v>
      </c>
    </row>
    <row r="180" spans="1:56" x14ac:dyDescent="0.2">
      <c r="A180" s="3" t="s">
        <v>496</v>
      </c>
      <c r="B180" t="str">
        <f>VLOOKUP(A180, IDSLOOKUP!C:E, 2, FALSE)</f>
        <v>Screen</v>
      </c>
      <c r="C180" t="str">
        <f>(_xlfn.XLOOKUP(D180,RAWMETADATALOOKUP_P1!A:A,RAWMETADATALOOKUP_P1!M:M))</f>
        <v>Oral Cavity</v>
      </c>
      <c r="D180" t="str">
        <f>VLOOKUP(A180, IDSLOOKUP!C:E, 3, FALSE)</f>
        <v>HN01-31</v>
      </c>
      <c r="E180" s="48">
        <f>VLOOKUP(A180,CFDNALOOKUP!AG:AI,2,FALSE)</f>
        <v>43830</v>
      </c>
      <c r="F180" s="48">
        <f>VLOOKUP(A180,CFDNALOOKUP!AG:AI,3,FALSE)</f>
        <v>43888</v>
      </c>
      <c r="G180" s="1">
        <f>VLOOKUP(D180, SURVLOOKUP!$A:$Q, 2, FALSE)</f>
        <v>43440</v>
      </c>
      <c r="H180" s="1">
        <f>VLOOKUP(D180, SURVLOOKUP!$A:$Q, 3, FALSE)</f>
        <v>43440</v>
      </c>
      <c r="I180" s="1">
        <f>VLOOKUP(D180, SURVLOOKUP!$A:$Q, 4, FALSE)</f>
        <v>43453</v>
      </c>
      <c r="J180" s="1">
        <f>VLOOKUP(D180, SURVLOOKUP!$A:$Q, 5, FALSE)</f>
        <v>43469</v>
      </c>
      <c r="K180" s="1">
        <f>VLOOKUP(D180, SURVLOOKUP!$A:$Q, 6, FALSE)</f>
        <v>43515</v>
      </c>
      <c r="L180" s="1">
        <f>VLOOKUP(D180, SURVLOOKUP!$A:$Q, 7, FALSE)</f>
        <v>43559</v>
      </c>
      <c r="M180" s="1" t="str">
        <f>VLOOKUP(D180, SURVLOOKUP!$A:$Q, 8, FALSE)</f>
        <v>NA</v>
      </c>
      <c r="N180" s="1" t="str">
        <f>VLOOKUP(D180, SURVLOOKUP!$A:$Q, 9, FALSE)</f>
        <v>NA</v>
      </c>
      <c r="O180" s="1">
        <f>VLOOKUP(D180, SURVLOOKUP!$A:$Q, 10, FALSE)</f>
        <v>43521</v>
      </c>
      <c r="P180" s="1">
        <f>VLOOKUP(D180, OLDSURVLOOKUP!$A:$AA, 19, FALSE)</f>
        <v>44273</v>
      </c>
      <c r="Q180" s="1">
        <f>VLOOKUP(D180, SURVLOOKUP!$A:$Q, 11, FALSE)</f>
        <v>45280</v>
      </c>
      <c r="R180" s="1"/>
      <c r="S180" s="1"/>
      <c r="T180" s="1"/>
      <c r="U180" s="1"/>
      <c r="V180">
        <f>_xlfn.XLOOKUP(D180, OLDSURVLOOKUP!$A:$A, OLDSURVLOOKUP!V:V)</f>
        <v>0</v>
      </c>
      <c r="W180">
        <f>VLOOKUP(D180, SURVLOOKUP!$A:$Q, 14, FALSE)</f>
        <v>0</v>
      </c>
      <c r="X180">
        <f>_xlfn.XLOOKUP(D180, OLDSURVLOOKUP!$A:$A, OLDSURVLOOKUP!X:X)</f>
        <v>0</v>
      </c>
      <c r="Y180">
        <f>VLOOKUP(D180, SURVLOOKUP!$A:$Q, 15, FALSE)</f>
        <v>0</v>
      </c>
      <c r="Z180">
        <f t="shared" si="43"/>
        <v>26.870967741935484</v>
      </c>
      <c r="AA180">
        <f t="shared" si="44"/>
        <v>60.032258064516128</v>
      </c>
      <c r="AB180">
        <f t="shared" si="45"/>
        <v>26.870967741935484</v>
      </c>
      <c r="AC180">
        <f t="shared" si="46"/>
        <v>60.032258064516128</v>
      </c>
      <c r="AD180">
        <f t="shared" si="47"/>
        <v>26.451612903225808</v>
      </c>
      <c r="AE180">
        <f t="shared" si="62"/>
        <v>59.516129032258064</v>
      </c>
      <c r="AF180">
        <f t="shared" si="58"/>
        <v>26.451612903225808</v>
      </c>
      <c r="AG180">
        <f t="shared" si="59"/>
        <v>59.516129032258064</v>
      </c>
      <c r="AL180">
        <f t="shared" si="53"/>
        <v>1</v>
      </c>
      <c r="AM180" t="str">
        <f t="shared" si="61"/>
        <v>University of Cincinnati</v>
      </c>
      <c r="AN180">
        <v>1</v>
      </c>
      <c r="AO180">
        <v>66</v>
      </c>
      <c r="AP180">
        <f>(_xlfn.XLOOKUP($D180,RAWMETADATALOOKUP_P1!$A:$A,RAWMETADATALOOKUP_P1!F:F))</f>
        <v>57</v>
      </c>
      <c r="AQ180" t="str">
        <f>(_xlfn.XLOOKUP($D180,RAWMETADATALOOKUP_P1!$A:$A,RAWMETADATALOOKUP_P1!G:G))</f>
        <v>Female</v>
      </c>
      <c r="AR180" t="str">
        <f>(_xlfn.XLOOKUP($D180,RAWMETADATALOOKUP_P1!$A:$A,RAWMETADATALOOKUP_P1!H:H))</f>
        <v>White</v>
      </c>
      <c r="AS180" t="str">
        <f>(_xlfn.XLOOKUP($D180,RAWMETADATALOOKUP_P1!$A:$A,RAWMETADATALOOKUP_P1!I:I))</f>
        <v>Yes</v>
      </c>
      <c r="AT180" t="str">
        <f>(_xlfn.XLOOKUP($D180,RAWMETADATALOOKUP_P1!$A:$A,RAWMETADATALOOKUP_P1!J:J))</f>
        <v>Non-Hispanic</v>
      </c>
      <c r="AU180" t="str">
        <f>(_xlfn.XLOOKUP($D180,RAWMETADATALOOKUP_P1!$A:$A,RAWMETADATALOOKUP_P1!K:K))</f>
        <v>Yes</v>
      </c>
      <c r="AV180" t="str">
        <f>(_xlfn.XLOOKUP($D180,RAWMETADATALOOKUP_P1!$A:$A,RAWMETADATALOOKUP_P1!Q:Q))</f>
        <v>T4N2bM0</v>
      </c>
      <c r="AW180" t="str">
        <f>LEFT(_xlfn.XLOOKUP(D180, RAWMETADATALOOKUP_P2!A:A,RAWMETADATALOOKUP_P2!G:G), FIND(" ", _xlfn.XLOOKUP(D180, RAWMETADATALOOKUP_P2!A:A,RAWMETADATALOOKUP_P2!G:G)&amp;" ")-1)</f>
        <v>Intermediate</v>
      </c>
      <c r="AX180" t="str">
        <f>(_xlfn.XLOOKUP($D180,RAWMETADATALOOKUP_P1!$A:$A,RAWMETADATALOOKUP_P1!R:R))</f>
        <v>Unknown</v>
      </c>
      <c r="AY180">
        <f>LOOKUP(D180, SURVLOOKUP!$A:$A, SURVLOOKUP!$P:$P)</f>
        <v>1</v>
      </c>
      <c r="AZ180" s="46">
        <v>5</v>
      </c>
      <c r="BA180" s="21">
        <v>0.5</v>
      </c>
      <c r="BB180" s="47" t="str">
        <f t="shared" si="52"/>
        <v>Responder</v>
      </c>
      <c r="BC180">
        <v>0.05</v>
      </c>
      <c r="BD180" s="1">
        <v>43440</v>
      </c>
    </row>
    <row r="181" spans="1:56" x14ac:dyDescent="0.2">
      <c r="A181" s="3" t="s">
        <v>498</v>
      </c>
      <c r="B181" t="str">
        <f>VLOOKUP(A181, IDSLOOKUP!C:E, 2, FALSE)</f>
        <v>Day 0</v>
      </c>
      <c r="C181" t="str">
        <f>(_xlfn.XLOOKUP(D181,RAWMETADATALOOKUP_P1!A:A,RAWMETADATALOOKUP_P1!M:M))</f>
        <v>Oral Cavity</v>
      </c>
      <c r="D181" t="str">
        <f>VLOOKUP(A181, IDSLOOKUP!C:E, 3, FALSE)</f>
        <v>HN01-31</v>
      </c>
      <c r="E181" s="48">
        <f>VLOOKUP(A181,CFDNALOOKUP!AG:AI,2,FALSE)</f>
        <v>43830</v>
      </c>
      <c r="F181" s="48">
        <f>VLOOKUP(A181,CFDNALOOKUP!AG:AI,3,FALSE)</f>
        <v>43887</v>
      </c>
      <c r="G181" s="1">
        <f>VLOOKUP(D181, SURVLOOKUP!$A:$Q, 2, FALSE)</f>
        <v>43440</v>
      </c>
      <c r="H181" s="1">
        <f>VLOOKUP(D181, SURVLOOKUP!$A:$Q, 3, FALSE)</f>
        <v>43440</v>
      </c>
      <c r="I181" s="1">
        <f>VLOOKUP(D181, SURVLOOKUP!$A:$Q, 4, FALSE)</f>
        <v>43453</v>
      </c>
      <c r="J181" s="1">
        <f>VLOOKUP(D181, SURVLOOKUP!$A:$Q, 5, FALSE)</f>
        <v>43469</v>
      </c>
      <c r="K181" s="1">
        <f>VLOOKUP(D181, SURVLOOKUP!$A:$Q, 6, FALSE)</f>
        <v>43515</v>
      </c>
      <c r="L181" s="1">
        <f>VLOOKUP(D181, SURVLOOKUP!$A:$Q, 7, FALSE)</f>
        <v>43559</v>
      </c>
      <c r="M181" s="1" t="str">
        <f>VLOOKUP(D181, SURVLOOKUP!$A:$Q, 8, FALSE)</f>
        <v>NA</v>
      </c>
      <c r="N181" s="1" t="str">
        <f>VLOOKUP(D181, SURVLOOKUP!$A:$Q, 9, FALSE)</f>
        <v>NA</v>
      </c>
      <c r="O181" s="1">
        <f>VLOOKUP(D181, SURVLOOKUP!$A:$Q, 10, FALSE)</f>
        <v>43521</v>
      </c>
      <c r="P181" s="1">
        <f>VLOOKUP(D181, OLDSURVLOOKUP!$A:$AA, 19, FALSE)</f>
        <v>44273</v>
      </c>
      <c r="Q181" s="1">
        <f>VLOOKUP(D181, SURVLOOKUP!$A:$Q, 11, FALSE)</f>
        <v>45280</v>
      </c>
      <c r="R181" s="1"/>
      <c r="S181" s="1"/>
      <c r="T181" s="1"/>
      <c r="U181" s="1"/>
      <c r="V181">
        <f>_xlfn.XLOOKUP(D181, OLDSURVLOOKUP!$A:$A, OLDSURVLOOKUP!V:V)</f>
        <v>0</v>
      </c>
      <c r="W181">
        <f>VLOOKUP(D181, SURVLOOKUP!$A:$Q, 14, FALSE)</f>
        <v>0</v>
      </c>
      <c r="X181">
        <f>_xlfn.XLOOKUP(D181, OLDSURVLOOKUP!$A:$A, OLDSURVLOOKUP!X:X)</f>
        <v>0</v>
      </c>
      <c r="Y181">
        <f>VLOOKUP(D181, SURVLOOKUP!$A:$Q, 15, FALSE)</f>
        <v>0</v>
      </c>
      <c r="Z181">
        <f t="shared" si="43"/>
        <v>26.870967741935484</v>
      </c>
      <c r="AA181">
        <f t="shared" si="44"/>
        <v>60.032258064516128</v>
      </c>
      <c r="AB181">
        <f t="shared" si="45"/>
        <v>26.870967741935484</v>
      </c>
      <c r="AC181">
        <f t="shared" si="46"/>
        <v>60.032258064516128</v>
      </c>
      <c r="AD181">
        <f t="shared" si="47"/>
        <v>26.451612903225808</v>
      </c>
      <c r="AE181">
        <f t="shared" si="62"/>
        <v>59.516129032258064</v>
      </c>
      <c r="AF181">
        <f t="shared" si="58"/>
        <v>26.451612903225808</v>
      </c>
      <c r="AG181">
        <f t="shared" si="59"/>
        <v>59.516129032258064</v>
      </c>
      <c r="AL181">
        <f t="shared" si="53"/>
        <v>1</v>
      </c>
      <c r="AM181" t="str">
        <f t="shared" si="61"/>
        <v>University of Cincinnati</v>
      </c>
      <c r="AN181">
        <v>1</v>
      </c>
      <c r="AO181">
        <v>66</v>
      </c>
      <c r="AP181">
        <f>(_xlfn.XLOOKUP($D181,RAWMETADATALOOKUP_P1!$A:$A,RAWMETADATALOOKUP_P1!F:F))</f>
        <v>57</v>
      </c>
      <c r="AQ181" t="str">
        <f>(_xlfn.XLOOKUP($D181,RAWMETADATALOOKUP_P1!$A:$A,RAWMETADATALOOKUP_P1!G:G))</f>
        <v>Female</v>
      </c>
      <c r="AR181" t="str">
        <f>(_xlfn.XLOOKUP($D181,RAWMETADATALOOKUP_P1!$A:$A,RAWMETADATALOOKUP_P1!H:H))</f>
        <v>White</v>
      </c>
      <c r="AS181" t="str">
        <f>(_xlfn.XLOOKUP($D181,RAWMETADATALOOKUP_P1!$A:$A,RAWMETADATALOOKUP_P1!I:I))</f>
        <v>Yes</v>
      </c>
      <c r="AT181" t="str">
        <f>(_xlfn.XLOOKUP($D181,RAWMETADATALOOKUP_P1!$A:$A,RAWMETADATALOOKUP_P1!J:J))</f>
        <v>Non-Hispanic</v>
      </c>
      <c r="AU181" t="str">
        <f>(_xlfn.XLOOKUP($D181,RAWMETADATALOOKUP_P1!$A:$A,RAWMETADATALOOKUP_P1!K:K))</f>
        <v>Yes</v>
      </c>
      <c r="AV181" t="str">
        <f>(_xlfn.XLOOKUP($D181,RAWMETADATALOOKUP_P1!$A:$A,RAWMETADATALOOKUP_P1!Q:Q))</f>
        <v>T4N2bM0</v>
      </c>
      <c r="AW181" t="str">
        <f>LEFT(_xlfn.XLOOKUP(D181, RAWMETADATALOOKUP_P2!A:A,RAWMETADATALOOKUP_P2!G:G), FIND(" ", _xlfn.XLOOKUP(D181, RAWMETADATALOOKUP_P2!A:A,RAWMETADATALOOKUP_P2!G:G)&amp;" ")-1)</f>
        <v>Intermediate</v>
      </c>
      <c r="AX181" t="str">
        <f>(_xlfn.XLOOKUP($D181,RAWMETADATALOOKUP_P1!$A:$A,RAWMETADATALOOKUP_P1!R:R))</f>
        <v>Unknown</v>
      </c>
      <c r="AY181">
        <f>LOOKUP(D181, SURVLOOKUP!$A:$A, SURVLOOKUP!$P:$P)</f>
        <v>1</v>
      </c>
      <c r="AZ181" s="46">
        <v>5</v>
      </c>
      <c r="BA181" s="21">
        <v>0.5</v>
      </c>
      <c r="BB181" s="47" t="str">
        <f t="shared" si="52"/>
        <v>Responder</v>
      </c>
      <c r="BC181">
        <v>0.05</v>
      </c>
      <c r="BD181" s="1">
        <v>43469</v>
      </c>
    </row>
    <row r="182" spans="1:56" x14ac:dyDescent="0.2">
      <c r="A182" s="3" t="s">
        <v>499</v>
      </c>
      <c r="B182" t="str">
        <f>VLOOKUP(A182, IDSLOOKUP!C:E, 2, FALSE)</f>
        <v>Screen</v>
      </c>
      <c r="C182" t="str">
        <f>VLOOKUP(D182, METADATALOOKUP!$A:$AI, 13, FALSE)</f>
        <v>Oral Cavity</v>
      </c>
      <c r="D182" t="str">
        <f>VLOOKUP(A182, IDSLOOKUP!C:E, 3, FALSE)</f>
        <v>HN01-36</v>
      </c>
      <c r="E182" s="48">
        <f>VLOOKUP(A182,CFDNALOOKUP!AG:AI,2,FALSE)</f>
        <v>43830</v>
      </c>
      <c r="F182" s="48">
        <f>VLOOKUP(A182,CFDNALOOKUP!AG:AI,3,FALSE)</f>
        <v>43887</v>
      </c>
      <c r="G182" s="1">
        <f>VLOOKUP(D182, SURVLOOKUP!$A:$Q, 2, FALSE)</f>
        <v>43510</v>
      </c>
      <c r="H182" s="1">
        <f>VLOOKUP(D182, SURVLOOKUP!$A:$Q, 3, FALSE)</f>
        <v>43535</v>
      </c>
      <c r="I182" s="1">
        <f>VLOOKUP(D182, SURVLOOKUP!$A:$Q, 4, FALSE)</f>
        <v>43536</v>
      </c>
      <c r="J182" s="1">
        <f>VLOOKUP(D182, SURVLOOKUP!$A:$Q, 5, FALSE)</f>
        <v>43543</v>
      </c>
      <c r="K182" s="1">
        <f>VLOOKUP(D182, SURVLOOKUP!$A:$Q, 6, FALSE)</f>
        <v>43593</v>
      </c>
      <c r="L182" s="1">
        <f>VLOOKUP(D182, SURVLOOKUP!$A:$Q, 7, FALSE)</f>
        <v>43636</v>
      </c>
      <c r="M182" s="1">
        <f>VLOOKUP(D182, SURVLOOKUP!$A:$Q, 8, FALSE)</f>
        <v>43586</v>
      </c>
      <c r="N182" s="1">
        <f>VLOOKUP(D182, SURVLOOKUP!$A:$Q, 9, FALSE)</f>
        <v>43691</v>
      </c>
      <c r="O182" s="1" t="str">
        <f>VLOOKUP(D182, SURVLOOKUP!$A:$Q, 10, FALSE)</f>
        <v>NA</v>
      </c>
      <c r="P182" s="1">
        <f>VLOOKUP(D182, OLDSURVLOOKUP!$A:$AA, 19, FALSE)</f>
        <v>44348</v>
      </c>
      <c r="Q182" s="1">
        <f>VLOOKUP(D182, SURVLOOKUP!$A:$Q, 11, FALSE)</f>
        <v>44558</v>
      </c>
      <c r="R182" s="1"/>
      <c r="S182" s="1"/>
      <c r="T182" s="1"/>
      <c r="U182" s="1">
        <f>VLOOKUP(D182, SURVLOOKUP!$A:$Q, 13, FALSE)</f>
        <v>44559</v>
      </c>
      <c r="V182">
        <f>_xlfn.XLOOKUP(D182, OLDSURVLOOKUP!$A:$A, OLDSURVLOOKUP!V:V)</f>
        <v>0</v>
      </c>
      <c r="W182">
        <f>VLOOKUP(D182, SURVLOOKUP!$A:$Q, 14, FALSE)</f>
        <v>1</v>
      </c>
      <c r="X182">
        <f>_xlfn.XLOOKUP(D182, OLDSURVLOOKUP!$A:$A, OLDSURVLOOKUP!X:X)</f>
        <v>0</v>
      </c>
      <c r="Y182">
        <f>VLOOKUP(D182, SURVLOOKUP!$A:$Q, 15, FALSE)</f>
        <v>1</v>
      </c>
      <c r="Z182">
        <f t="shared" si="43"/>
        <v>26.64516129032258</v>
      </c>
      <c r="AA182" s="2">
        <v>33.548387099999999</v>
      </c>
      <c r="AB182">
        <f t="shared" si="45"/>
        <v>26.64516129032258</v>
      </c>
      <c r="AC182">
        <f t="shared" si="46"/>
        <v>33.548387096774192</v>
      </c>
      <c r="AD182">
        <f t="shared" si="47"/>
        <v>26.419354838709676</v>
      </c>
      <c r="AE182">
        <v>33.322580645161288</v>
      </c>
      <c r="AF182">
        <f t="shared" si="58"/>
        <v>26.419354838709676</v>
      </c>
      <c r="AG182">
        <f t="shared" si="59"/>
        <v>33.322580645161288</v>
      </c>
      <c r="AH182">
        <f t="shared" si="48"/>
        <v>25</v>
      </c>
      <c r="AI182" s="2">
        <v>31.903225809999999</v>
      </c>
      <c r="AJ182">
        <f t="shared" si="50"/>
        <v>25</v>
      </c>
      <c r="AK182">
        <f t="shared" si="51"/>
        <v>31.903225806451612</v>
      </c>
      <c r="AL182">
        <f t="shared" si="53"/>
        <v>1</v>
      </c>
      <c r="AM182" t="str">
        <f t="shared" si="61"/>
        <v>University of Cincinnati</v>
      </c>
      <c r="AN182">
        <v>0</v>
      </c>
      <c r="AO182">
        <v>67</v>
      </c>
      <c r="AP182">
        <f>VLOOKUP(D182, METADATALOOKUP!$A:$AI, 7, FALSE)</f>
        <v>68</v>
      </c>
      <c r="AQ182" t="str">
        <f>VLOOKUP(D182, METADATALOOKUP!$A:$AI, 8, FALSE)</f>
        <v>Female</v>
      </c>
      <c r="AR182" t="str">
        <f>VLOOKUP(D182, METADATALOOKUP!$A:$AI, 9, FALSE)</f>
        <v>White</v>
      </c>
      <c r="AS182" t="str">
        <f>VLOOKUP(D182, METADATALOOKUP!$A:$AI, 11, FALSE)</f>
        <v>No</v>
      </c>
      <c r="AT182" t="str">
        <f>VLOOKUP(D182, METADATALOOKUP!$A:$AI, 10, FALSE)</f>
        <v>Non-Hispanic</v>
      </c>
      <c r="AU182" t="str">
        <f>VLOOKUP(D182, METADATALOOKUP!$A:$AI, 12, FALSE)</f>
        <v>No</v>
      </c>
      <c r="AV182" t="str">
        <f>VLOOKUP(D182, METADATALOOKUP!$A:$AI, 14, FALSE)</f>
        <v>T2N2bM0</v>
      </c>
      <c r="AW182" t="str">
        <f>VLOOKUP(D182, METADATALOOKUP!$A:$AI, 6, FALSE)</f>
        <v>Intermediate</v>
      </c>
      <c r="AX182" t="str">
        <f>VLOOKUP(D182, METADATALOOKUP!$A:$AI, 19, FALSE)</f>
        <v>Unknown</v>
      </c>
      <c r="AY182">
        <f>LOOKUP(D182, SURVLOOKUP!$A:$A, SURVLOOKUP!$P:$P)</f>
        <v>2</v>
      </c>
      <c r="AZ182" s="46">
        <v>2</v>
      </c>
      <c r="BA182" t="str">
        <f>TEXT(VLOOKUP(D182, METADATALOOKUP!$A:$AI, 34, FALSE), "@")</f>
        <v>20-30%</v>
      </c>
      <c r="BB182" s="47" t="str">
        <f t="shared" si="52"/>
        <v>Responder</v>
      </c>
      <c r="BC182">
        <v>0.14599999999999999</v>
      </c>
      <c r="BD182" s="1">
        <v>43532</v>
      </c>
    </row>
    <row r="183" spans="1:56" x14ac:dyDescent="0.2">
      <c r="A183" s="3" t="s">
        <v>501</v>
      </c>
      <c r="B183" t="str">
        <f>VLOOKUP(A183, IDSLOOKUP!C:E, 2, FALSE)</f>
        <v>Day 0</v>
      </c>
      <c r="C183" t="str">
        <f>VLOOKUP(D183, METADATALOOKUP!$A:$AI, 13, FALSE)</f>
        <v>Oral Cavity</v>
      </c>
      <c r="D183" t="str">
        <f>VLOOKUP(A183, IDSLOOKUP!C:E, 3, FALSE)</f>
        <v>HN01-36</v>
      </c>
      <c r="E183" s="48">
        <f>VLOOKUP(A183,CFDNALOOKUP!AG:AI,2,FALSE)</f>
        <v>43830</v>
      </c>
      <c r="F183" s="48">
        <f>VLOOKUP(A183,CFDNALOOKUP!AG:AI,3,FALSE)</f>
        <v>43898</v>
      </c>
      <c r="G183" s="1">
        <f>VLOOKUP(D183, SURVLOOKUP!$A:$Q, 2, FALSE)</f>
        <v>43510</v>
      </c>
      <c r="H183" s="1">
        <f>VLOOKUP(D183, SURVLOOKUP!$A:$Q, 3, FALSE)</f>
        <v>43535</v>
      </c>
      <c r="I183" s="1">
        <f>VLOOKUP(D183, SURVLOOKUP!$A:$Q, 4, FALSE)</f>
        <v>43536</v>
      </c>
      <c r="J183" s="1">
        <f>VLOOKUP(D183, SURVLOOKUP!$A:$Q, 5, FALSE)</f>
        <v>43543</v>
      </c>
      <c r="K183" s="1">
        <f>VLOOKUP(D183, SURVLOOKUP!$A:$Q, 6, FALSE)</f>
        <v>43593</v>
      </c>
      <c r="L183" s="1">
        <f>VLOOKUP(D183, SURVLOOKUP!$A:$Q, 7, FALSE)</f>
        <v>43636</v>
      </c>
      <c r="M183" s="1">
        <f>VLOOKUP(D183, SURVLOOKUP!$A:$Q, 8, FALSE)</f>
        <v>43586</v>
      </c>
      <c r="N183" s="1">
        <f>VLOOKUP(D183, SURVLOOKUP!$A:$Q, 9, FALSE)</f>
        <v>43691</v>
      </c>
      <c r="O183" s="1" t="str">
        <f>VLOOKUP(D183, SURVLOOKUP!$A:$Q, 10, FALSE)</f>
        <v>NA</v>
      </c>
      <c r="P183" s="1">
        <f>VLOOKUP(D183, OLDSURVLOOKUP!$A:$AA, 19, FALSE)</f>
        <v>44348</v>
      </c>
      <c r="Q183" s="1">
        <f>VLOOKUP(D183, SURVLOOKUP!$A:$Q, 11, FALSE)</f>
        <v>44558</v>
      </c>
      <c r="R183" s="1"/>
      <c r="S183" s="1"/>
      <c r="T183" s="1"/>
      <c r="U183" s="1">
        <f>VLOOKUP(D183, SURVLOOKUP!$A:$Q, 13, FALSE)</f>
        <v>44559</v>
      </c>
      <c r="V183">
        <f>_xlfn.XLOOKUP(D183, OLDSURVLOOKUP!$A:$A, OLDSURVLOOKUP!V:V)</f>
        <v>0</v>
      </c>
      <c r="W183">
        <f>VLOOKUP(D183, SURVLOOKUP!$A:$Q, 14, FALSE)</f>
        <v>1</v>
      </c>
      <c r="X183">
        <f>_xlfn.XLOOKUP(D183, OLDSURVLOOKUP!$A:$A, OLDSURVLOOKUP!X:X)</f>
        <v>0</v>
      </c>
      <c r="Y183">
        <f>VLOOKUP(D183, SURVLOOKUP!$A:$Q, 15, FALSE)</f>
        <v>1</v>
      </c>
      <c r="Z183">
        <f t="shared" si="43"/>
        <v>26.64516129032258</v>
      </c>
      <c r="AA183" s="2">
        <v>33.548387099999999</v>
      </c>
      <c r="AB183">
        <f t="shared" si="45"/>
        <v>26.64516129032258</v>
      </c>
      <c r="AC183">
        <f t="shared" si="46"/>
        <v>33.548387096774192</v>
      </c>
      <c r="AD183">
        <f t="shared" si="47"/>
        <v>26.419354838709676</v>
      </c>
      <c r="AE183">
        <v>33.322580645161288</v>
      </c>
      <c r="AF183">
        <f t="shared" si="58"/>
        <v>26.419354838709676</v>
      </c>
      <c r="AG183">
        <f t="shared" si="59"/>
        <v>33.322580645161288</v>
      </c>
      <c r="AH183">
        <f t="shared" si="48"/>
        <v>25</v>
      </c>
      <c r="AI183" s="2">
        <v>31.903225809999999</v>
      </c>
      <c r="AJ183">
        <f t="shared" si="50"/>
        <v>25</v>
      </c>
      <c r="AK183">
        <f t="shared" si="51"/>
        <v>31.903225806451612</v>
      </c>
      <c r="AL183">
        <f t="shared" si="53"/>
        <v>1</v>
      </c>
      <c r="AM183" t="str">
        <f t="shared" si="61"/>
        <v>University of Cincinnati</v>
      </c>
      <c r="AN183">
        <v>0</v>
      </c>
      <c r="AO183">
        <v>67</v>
      </c>
      <c r="AP183">
        <f>VLOOKUP(D183, METADATALOOKUP!$A:$AI, 7, FALSE)</f>
        <v>68</v>
      </c>
      <c r="AQ183" t="str">
        <f>VLOOKUP(D183, METADATALOOKUP!$A:$AI, 8, FALSE)</f>
        <v>Female</v>
      </c>
      <c r="AR183" t="str">
        <f>VLOOKUP(D183, METADATALOOKUP!$A:$AI, 9, FALSE)</f>
        <v>White</v>
      </c>
      <c r="AS183" t="str">
        <f>VLOOKUP(D183, METADATALOOKUP!$A:$AI, 11, FALSE)</f>
        <v>No</v>
      </c>
      <c r="AT183" t="str">
        <f>VLOOKUP(D183, METADATALOOKUP!$A:$AI, 10, FALSE)</f>
        <v>Non-Hispanic</v>
      </c>
      <c r="AU183" t="str">
        <f>VLOOKUP(D183, METADATALOOKUP!$A:$AI, 12, FALSE)</f>
        <v>No</v>
      </c>
      <c r="AV183" t="str">
        <f>VLOOKUP(D183, METADATALOOKUP!$A:$AI, 14, FALSE)</f>
        <v>T2N2bM0</v>
      </c>
      <c r="AW183" t="str">
        <f>VLOOKUP(D183, METADATALOOKUP!$A:$AI, 6, FALSE)</f>
        <v>Intermediate</v>
      </c>
      <c r="AX183" t="str">
        <f>VLOOKUP(D183, METADATALOOKUP!$A:$AI, 19, FALSE)</f>
        <v>Unknown</v>
      </c>
      <c r="AY183">
        <f>LOOKUP(D183, SURVLOOKUP!$A:$A, SURVLOOKUP!$P:$P)</f>
        <v>2</v>
      </c>
      <c r="AZ183" s="46">
        <v>2</v>
      </c>
      <c r="BA183" t="str">
        <f>TEXT(VLOOKUP(D183, METADATALOOKUP!$A:$AI, 34, FALSE), "@")</f>
        <v>20-30%</v>
      </c>
      <c r="BB183" s="47" t="str">
        <f t="shared" si="52"/>
        <v>Responder</v>
      </c>
      <c r="BC183">
        <v>0.16800000000000001</v>
      </c>
      <c r="BD183" s="1">
        <v>43543</v>
      </c>
    </row>
    <row r="184" spans="1:56" x14ac:dyDescent="0.2">
      <c r="A184" s="3" t="s">
        <v>502</v>
      </c>
      <c r="B184" t="str">
        <f>VLOOKUP(A184, IDSLOOKUP!C:E, 2, FALSE)</f>
        <v>Adj Wk 1</v>
      </c>
      <c r="C184" t="str">
        <f>VLOOKUP(D184, METADATALOOKUP!$A:$AI, 13, FALSE)</f>
        <v>Oral Cavity</v>
      </c>
      <c r="D184" t="str">
        <f>VLOOKUP(A184, IDSLOOKUP!C:E, 3, FALSE)</f>
        <v>HN01-36</v>
      </c>
      <c r="E184" s="48">
        <f>VLOOKUP(A184,CFDNALOOKUP!AG:AI,2,FALSE)</f>
        <v>43830</v>
      </c>
      <c r="F184" s="48">
        <f>VLOOKUP(A184,CFDNALOOKUP!AG:AI,3,FALSE)</f>
        <v>43888</v>
      </c>
      <c r="G184" s="1">
        <f>VLOOKUP(D184, SURVLOOKUP!$A:$Q, 2, FALSE)</f>
        <v>43510</v>
      </c>
      <c r="H184" s="1">
        <f>VLOOKUP(D184, SURVLOOKUP!$A:$Q, 3, FALSE)</f>
        <v>43535</v>
      </c>
      <c r="I184" s="1">
        <f>VLOOKUP(D184, SURVLOOKUP!$A:$Q, 4, FALSE)</f>
        <v>43536</v>
      </c>
      <c r="J184" s="1">
        <f>VLOOKUP(D184, SURVLOOKUP!$A:$Q, 5, FALSE)</f>
        <v>43543</v>
      </c>
      <c r="K184" s="1">
        <f>VLOOKUP(D184, SURVLOOKUP!$A:$Q, 6, FALSE)</f>
        <v>43593</v>
      </c>
      <c r="L184" s="1">
        <f>VLOOKUP(D184, SURVLOOKUP!$A:$Q, 7, FALSE)</f>
        <v>43636</v>
      </c>
      <c r="M184" s="1">
        <f>VLOOKUP(D184, SURVLOOKUP!$A:$Q, 8, FALSE)</f>
        <v>43586</v>
      </c>
      <c r="N184" s="1">
        <f>VLOOKUP(D184, SURVLOOKUP!$A:$Q, 9, FALSE)</f>
        <v>43691</v>
      </c>
      <c r="O184" s="1" t="str">
        <f>VLOOKUP(D184, SURVLOOKUP!$A:$Q, 10, FALSE)</f>
        <v>NA</v>
      </c>
      <c r="P184" s="1">
        <f>VLOOKUP(D184, OLDSURVLOOKUP!$A:$AA, 19, FALSE)</f>
        <v>44348</v>
      </c>
      <c r="Q184" s="1">
        <f>VLOOKUP(D184, SURVLOOKUP!$A:$Q, 11, FALSE)</f>
        <v>44558</v>
      </c>
      <c r="R184" s="1"/>
      <c r="S184" s="1"/>
      <c r="T184" s="1"/>
      <c r="U184" s="1">
        <f>VLOOKUP(D184, SURVLOOKUP!$A:$Q, 13, FALSE)</f>
        <v>44559</v>
      </c>
      <c r="V184">
        <f>_xlfn.XLOOKUP(D184, OLDSURVLOOKUP!$A:$A, OLDSURVLOOKUP!V:V)</f>
        <v>0</v>
      </c>
      <c r="W184">
        <f>VLOOKUP(D184, SURVLOOKUP!$A:$Q, 14, FALSE)</f>
        <v>1</v>
      </c>
      <c r="X184">
        <f>_xlfn.XLOOKUP(D184, OLDSURVLOOKUP!$A:$A, OLDSURVLOOKUP!X:X)</f>
        <v>0</v>
      </c>
      <c r="Y184">
        <f>VLOOKUP(D184, SURVLOOKUP!$A:$Q, 15, FALSE)</f>
        <v>1</v>
      </c>
      <c r="Z184">
        <f t="shared" si="43"/>
        <v>26.64516129032258</v>
      </c>
      <c r="AA184" s="2">
        <v>33.548387099999999</v>
      </c>
      <c r="AB184">
        <f t="shared" si="45"/>
        <v>26.64516129032258</v>
      </c>
      <c r="AC184">
        <f t="shared" si="46"/>
        <v>33.548387096774192</v>
      </c>
      <c r="AD184">
        <f t="shared" si="47"/>
        <v>26.419354838709676</v>
      </c>
      <c r="AE184">
        <v>33.322580645161288</v>
      </c>
      <c r="AF184">
        <f t="shared" si="58"/>
        <v>26.419354838709676</v>
      </c>
      <c r="AG184">
        <f t="shared" si="59"/>
        <v>33.322580645161288</v>
      </c>
      <c r="AH184">
        <f t="shared" si="48"/>
        <v>25</v>
      </c>
      <c r="AI184" s="2">
        <v>31.903225809999999</v>
      </c>
      <c r="AJ184">
        <f t="shared" si="50"/>
        <v>25</v>
      </c>
      <c r="AK184">
        <f t="shared" si="51"/>
        <v>31.903225806451612</v>
      </c>
      <c r="AL184">
        <f t="shared" si="53"/>
        <v>1</v>
      </c>
      <c r="AM184" t="str">
        <f t="shared" si="61"/>
        <v>University of Cincinnati</v>
      </c>
      <c r="AN184">
        <v>0</v>
      </c>
      <c r="AO184">
        <v>67</v>
      </c>
      <c r="AP184">
        <f>VLOOKUP(D184, METADATALOOKUP!$A:$AI, 7, FALSE)</f>
        <v>68</v>
      </c>
      <c r="AQ184" t="str">
        <f>VLOOKUP(D184, METADATALOOKUP!$A:$AI, 8, FALSE)</f>
        <v>Female</v>
      </c>
      <c r="AR184" t="str">
        <f>VLOOKUP(D184, METADATALOOKUP!$A:$AI, 9, FALSE)</f>
        <v>White</v>
      </c>
      <c r="AS184" t="str">
        <f>VLOOKUP(D184, METADATALOOKUP!$A:$AI, 11, FALSE)</f>
        <v>No</v>
      </c>
      <c r="AT184" t="str">
        <f>VLOOKUP(D184, METADATALOOKUP!$A:$AI, 10, FALSE)</f>
        <v>Non-Hispanic</v>
      </c>
      <c r="AU184" t="str">
        <f>VLOOKUP(D184, METADATALOOKUP!$A:$AI, 12, FALSE)</f>
        <v>No</v>
      </c>
      <c r="AV184" t="str">
        <f>VLOOKUP(D184, METADATALOOKUP!$A:$AI, 14, FALSE)</f>
        <v>T2N2bM0</v>
      </c>
      <c r="AW184" t="str">
        <f>VLOOKUP(D184, METADATALOOKUP!$A:$AI, 6, FALSE)</f>
        <v>Intermediate</v>
      </c>
      <c r="AX184" t="str">
        <f>VLOOKUP(D184, METADATALOOKUP!$A:$AI, 19, FALSE)</f>
        <v>Unknown</v>
      </c>
      <c r="AY184">
        <f>LOOKUP(D184, SURVLOOKUP!$A:$A, SURVLOOKUP!$P:$P)</f>
        <v>2</v>
      </c>
      <c r="AZ184" s="46">
        <v>2</v>
      </c>
      <c r="BA184" t="str">
        <f>TEXT(VLOOKUP(D184, METADATALOOKUP!$A:$AI, 34, FALSE), "@")</f>
        <v>20-30%</v>
      </c>
      <c r="BB184" s="47" t="str">
        <f t="shared" si="52"/>
        <v>Responder</v>
      </c>
      <c r="BC184">
        <v>0.05</v>
      </c>
      <c r="BD184" s="1">
        <v>43586</v>
      </c>
    </row>
    <row r="185" spans="1:56" x14ac:dyDescent="0.2">
      <c r="A185" s="3" t="s">
        <v>503</v>
      </c>
      <c r="B185" t="str">
        <f>VLOOKUP(A185, IDSLOOKUP!C:E, 2, FALSE)</f>
        <v>Screen</v>
      </c>
      <c r="C185" t="str">
        <f>(_xlfn.XLOOKUP(D185,RAWMETADATALOOKUP_P1!A:A,RAWMETADATALOOKUP_P1!M:M))</f>
        <v>Oral Cavity</v>
      </c>
      <c r="D185" t="str">
        <f>VLOOKUP(A185, IDSLOOKUP!C:E, 3, FALSE)</f>
        <v>HN01-39</v>
      </c>
      <c r="E185" s="48">
        <f>VLOOKUP(A185,CFDNALOOKUP!AG:AI,2,FALSE)</f>
        <v>43830</v>
      </c>
      <c r="F185" s="48">
        <f>VLOOKUP(A185,CFDNALOOKUP!AG:AI,3,FALSE)</f>
        <v>43898</v>
      </c>
      <c r="G185" s="1">
        <f>VLOOKUP(D185, SURVLOOKUP!$A:$Q, 2, FALSE)</f>
        <v>43536</v>
      </c>
      <c r="H185" s="1">
        <f>VLOOKUP(D185, SURVLOOKUP!$A:$Q, 3, FALSE)</f>
        <v>43571</v>
      </c>
      <c r="I185" s="1">
        <f>VLOOKUP(D185, SURVLOOKUP!$A:$Q, 4, FALSE)</f>
        <v>43578</v>
      </c>
      <c r="J185" s="1">
        <f>VLOOKUP(D185, SURVLOOKUP!$A:$Q, 5, FALSE)</f>
        <v>43591</v>
      </c>
      <c r="K185" s="1" t="str">
        <f>VLOOKUP(D185, SURVLOOKUP!$A:$Q, 6, FALSE)</f>
        <v>NA</v>
      </c>
      <c r="L185" s="1" t="str">
        <f>VLOOKUP(D185, SURVLOOKUP!$A:$Q, 7, FALSE)</f>
        <v>NA</v>
      </c>
      <c r="M185" s="1" t="str">
        <f>VLOOKUP(D185, SURVLOOKUP!$A:$Q, 8, FALSE)</f>
        <v>NA</v>
      </c>
      <c r="N185" s="1" t="str">
        <f>VLOOKUP(D185, SURVLOOKUP!$A:$Q, 9, FALSE)</f>
        <v>NA</v>
      </c>
      <c r="O185" s="1" t="str">
        <f>VLOOKUP(D185, SURVLOOKUP!$A:$Q, 10, FALSE)</f>
        <v>NA</v>
      </c>
      <c r="P185" s="1">
        <f>VLOOKUP(D185, OLDSURVLOOKUP!$A:$AA, 19, FALSE)</f>
        <v>43607</v>
      </c>
      <c r="Q185" s="1">
        <f>VLOOKUP(D185, SURVLOOKUP!$A:$Q, 11, FALSE)</f>
        <v>43607</v>
      </c>
      <c r="R185" s="1"/>
      <c r="S185" s="1"/>
      <c r="T185" s="1">
        <f>VLOOKUP(D185, OLDSURVLOOKUP!$A:$AA, 21, FALSE)</f>
        <v>43608</v>
      </c>
      <c r="U185" s="1">
        <f>VLOOKUP(D185, SURVLOOKUP!$A:$Q, 13, FALSE)</f>
        <v>43608</v>
      </c>
      <c r="V185">
        <f>_xlfn.XLOOKUP(D185, OLDSURVLOOKUP!$A:$A, OLDSURVLOOKUP!V:V)</f>
        <v>1</v>
      </c>
      <c r="W185">
        <f>VLOOKUP(D185, SURVLOOKUP!$A:$Q, 14, FALSE)</f>
        <v>1</v>
      </c>
      <c r="X185">
        <f>_xlfn.XLOOKUP(D185, OLDSURVLOOKUP!$A:$A, OLDSURVLOOKUP!X:X)</f>
        <v>1</v>
      </c>
      <c r="Y185">
        <f>VLOOKUP(D185, SURVLOOKUP!$A:$Q, 15, FALSE)</f>
        <v>1</v>
      </c>
      <c r="Z185" s="2">
        <v>1</v>
      </c>
      <c r="AA185" s="2">
        <v>1</v>
      </c>
      <c r="AB185">
        <f t="shared" si="45"/>
        <v>1</v>
      </c>
      <c r="AC185">
        <f t="shared" si="46"/>
        <v>1</v>
      </c>
      <c r="AD185" s="2">
        <v>0.54838709699999999</v>
      </c>
      <c r="AE185">
        <v>0.54838709677419351</v>
      </c>
      <c r="AF185">
        <f t="shared" si="58"/>
        <v>0.54838709677419351</v>
      </c>
      <c r="AG185">
        <f t="shared" si="59"/>
        <v>0.54838709677419351</v>
      </c>
      <c r="AL185">
        <f t="shared" si="53"/>
        <v>1</v>
      </c>
      <c r="AM185" t="str">
        <f t="shared" si="61"/>
        <v>University of Cincinnati</v>
      </c>
      <c r="AN185">
        <v>0</v>
      </c>
      <c r="AO185">
        <v>68</v>
      </c>
      <c r="AP185">
        <f>(_xlfn.XLOOKUP($D185,RAWMETADATALOOKUP_P1!$A:$A,RAWMETADATALOOKUP_P1!F:F))</f>
        <v>73</v>
      </c>
      <c r="AQ185" t="str">
        <f>(_xlfn.XLOOKUP($D185,RAWMETADATALOOKUP_P1!$A:$A,RAWMETADATALOOKUP_P1!G:G))</f>
        <v>Male</v>
      </c>
      <c r="AR185" t="str">
        <f>(_xlfn.XLOOKUP($D185,RAWMETADATALOOKUP_P1!$A:$A,RAWMETADATALOOKUP_P1!H:H))</f>
        <v>White</v>
      </c>
      <c r="AS185" t="str">
        <f>(_xlfn.XLOOKUP($D185,RAWMETADATALOOKUP_P1!$A:$A,RAWMETADATALOOKUP_P1!I:I))</f>
        <v>Yes</v>
      </c>
      <c r="AT185" t="str">
        <f>(_xlfn.XLOOKUP($D185,RAWMETADATALOOKUP_P1!$A:$A,RAWMETADATALOOKUP_P1!J:J))</f>
        <v>Non-Hispanic</v>
      </c>
      <c r="AU185" t="str">
        <f>(_xlfn.XLOOKUP($D185,RAWMETADATALOOKUP_P1!$A:$A,RAWMETADATALOOKUP_P1!K:K))</f>
        <v>Yes</v>
      </c>
      <c r="AV185" t="str">
        <f>(_xlfn.XLOOKUP($D185,RAWMETADATALOOKUP_P1!$A:$A,RAWMETADATALOOKUP_P1!Q:Q))</f>
        <v>T2N2bM0</v>
      </c>
      <c r="AW185" t="str">
        <f>LEFT(_xlfn.XLOOKUP(D185, RAWMETADATALOOKUP_P2!A:A,RAWMETADATALOOKUP_P2!G:G), FIND(" ", _xlfn.XLOOKUP(D185, RAWMETADATALOOKUP_P2!A:A,RAWMETADATALOOKUP_P2!G:G)&amp;" ")-1)</f>
        <v>High</v>
      </c>
      <c r="AX185" t="str">
        <f>(_xlfn.XLOOKUP($D185,RAWMETADATALOOKUP_P1!$A:$A,RAWMETADATALOOKUP_P1!R:R))</f>
        <v>Unknown</v>
      </c>
      <c r="AY185">
        <f>LOOKUP(D185, SURVLOOKUP!$A:$A, SURVLOOKUP!$P:$P)</f>
        <v>0</v>
      </c>
      <c r="AZ185" s="46">
        <v>2</v>
      </c>
      <c r="BA185" s="21">
        <v>0.2</v>
      </c>
      <c r="BB185" s="47" t="str">
        <f t="shared" si="52"/>
        <v>Responder</v>
      </c>
      <c r="BC185">
        <v>0.154</v>
      </c>
      <c r="BD185" s="1">
        <v>43578</v>
      </c>
    </row>
    <row r="186" spans="1:56" x14ac:dyDescent="0.2">
      <c r="A186" s="3" t="s">
        <v>505</v>
      </c>
      <c r="B186" t="str">
        <f>VLOOKUP(A186, IDSLOOKUP!C:E, 2, FALSE)</f>
        <v>Day 0</v>
      </c>
      <c r="C186" t="str">
        <f>(_xlfn.XLOOKUP(D186,RAWMETADATALOOKUP_P1!A:A,RAWMETADATALOOKUP_P1!M:M))</f>
        <v>Oral Cavity</v>
      </c>
      <c r="D186" t="str">
        <f>VLOOKUP(A186, IDSLOOKUP!C:E, 3, FALSE)</f>
        <v>HN01-39</v>
      </c>
      <c r="E186" s="48">
        <f>VLOOKUP(A186,CFDNALOOKUP!AG:AI,2,FALSE)</f>
        <v>43830</v>
      </c>
      <c r="F186" s="48">
        <f>VLOOKUP(A186,CFDNALOOKUP!AG:AI,3,FALSE)</f>
        <v>43891</v>
      </c>
      <c r="G186" s="1">
        <f>VLOOKUP(D186, SURVLOOKUP!$A:$Q, 2, FALSE)</f>
        <v>43536</v>
      </c>
      <c r="H186" s="1">
        <f>VLOOKUP(D186, SURVLOOKUP!$A:$Q, 3, FALSE)</f>
        <v>43571</v>
      </c>
      <c r="I186" s="1">
        <f>VLOOKUP(D186, SURVLOOKUP!$A:$Q, 4, FALSE)</f>
        <v>43578</v>
      </c>
      <c r="J186" s="1">
        <f>VLOOKUP(D186, SURVLOOKUP!$A:$Q, 5, FALSE)</f>
        <v>43591</v>
      </c>
      <c r="K186" s="1" t="str">
        <f>VLOOKUP(D186, SURVLOOKUP!$A:$Q, 6, FALSE)</f>
        <v>NA</v>
      </c>
      <c r="L186" s="1" t="str">
        <f>VLOOKUP(D186, SURVLOOKUP!$A:$Q, 7, FALSE)</f>
        <v>NA</v>
      </c>
      <c r="M186" s="1" t="str">
        <f>VLOOKUP(D186, SURVLOOKUP!$A:$Q, 8, FALSE)</f>
        <v>NA</v>
      </c>
      <c r="N186" s="1" t="str">
        <f>VLOOKUP(D186, SURVLOOKUP!$A:$Q, 9, FALSE)</f>
        <v>NA</v>
      </c>
      <c r="O186" s="1" t="str">
        <f>VLOOKUP(D186, SURVLOOKUP!$A:$Q, 10, FALSE)</f>
        <v>NA</v>
      </c>
      <c r="P186" s="1">
        <f>VLOOKUP(D186, OLDSURVLOOKUP!$A:$AA, 19, FALSE)</f>
        <v>43607</v>
      </c>
      <c r="Q186" s="1">
        <f>VLOOKUP(D186, SURVLOOKUP!$A:$Q, 11, FALSE)</f>
        <v>43607</v>
      </c>
      <c r="R186" s="1"/>
      <c r="S186" s="1"/>
      <c r="T186" s="1">
        <f>VLOOKUP(D186, OLDSURVLOOKUP!$A:$AA, 21, FALSE)</f>
        <v>43608</v>
      </c>
      <c r="U186" s="1">
        <f>VLOOKUP(D186, SURVLOOKUP!$A:$Q, 13, FALSE)</f>
        <v>43608</v>
      </c>
      <c r="V186">
        <f>_xlfn.XLOOKUP(D186, OLDSURVLOOKUP!$A:$A, OLDSURVLOOKUP!V:V)</f>
        <v>1</v>
      </c>
      <c r="W186">
        <f>VLOOKUP(D186, SURVLOOKUP!$A:$Q, 14, FALSE)</f>
        <v>1</v>
      </c>
      <c r="X186">
        <f>_xlfn.XLOOKUP(D186, OLDSURVLOOKUP!$A:$A, OLDSURVLOOKUP!X:X)</f>
        <v>1</v>
      </c>
      <c r="Y186">
        <f>VLOOKUP(D186, SURVLOOKUP!$A:$Q, 15, FALSE)</f>
        <v>1</v>
      </c>
      <c r="Z186" s="2">
        <v>1</v>
      </c>
      <c r="AA186" s="2">
        <v>1</v>
      </c>
      <c r="AB186">
        <f t="shared" si="45"/>
        <v>1</v>
      </c>
      <c r="AC186">
        <f t="shared" si="46"/>
        <v>1</v>
      </c>
      <c r="AD186" s="2">
        <v>0.54838709699999999</v>
      </c>
      <c r="AE186">
        <v>0.54838709677419351</v>
      </c>
      <c r="AF186">
        <f t="shared" si="58"/>
        <v>0.54838709677419351</v>
      </c>
      <c r="AG186">
        <f t="shared" si="59"/>
        <v>0.54838709677419351</v>
      </c>
      <c r="AL186">
        <f t="shared" si="53"/>
        <v>1</v>
      </c>
      <c r="AM186" t="str">
        <f t="shared" si="61"/>
        <v>University of Cincinnati</v>
      </c>
      <c r="AN186">
        <v>0</v>
      </c>
      <c r="AO186">
        <v>68</v>
      </c>
      <c r="AP186">
        <f>(_xlfn.XLOOKUP($D186,RAWMETADATALOOKUP_P1!$A:$A,RAWMETADATALOOKUP_P1!F:F))</f>
        <v>73</v>
      </c>
      <c r="AQ186" t="str">
        <f>(_xlfn.XLOOKUP($D186,RAWMETADATALOOKUP_P1!$A:$A,RAWMETADATALOOKUP_P1!G:G))</f>
        <v>Male</v>
      </c>
      <c r="AR186" t="str">
        <f>(_xlfn.XLOOKUP($D186,RAWMETADATALOOKUP_P1!$A:$A,RAWMETADATALOOKUP_P1!H:H))</f>
        <v>White</v>
      </c>
      <c r="AS186" t="str">
        <f>(_xlfn.XLOOKUP($D186,RAWMETADATALOOKUP_P1!$A:$A,RAWMETADATALOOKUP_P1!I:I))</f>
        <v>Yes</v>
      </c>
      <c r="AT186" t="str">
        <f>(_xlfn.XLOOKUP($D186,RAWMETADATALOOKUP_P1!$A:$A,RAWMETADATALOOKUP_P1!J:J))</f>
        <v>Non-Hispanic</v>
      </c>
      <c r="AU186" t="str">
        <f>(_xlfn.XLOOKUP($D186,RAWMETADATALOOKUP_P1!$A:$A,RAWMETADATALOOKUP_P1!K:K))</f>
        <v>Yes</v>
      </c>
      <c r="AV186" t="str">
        <f>(_xlfn.XLOOKUP($D186,RAWMETADATALOOKUP_P1!$A:$A,RAWMETADATALOOKUP_P1!Q:Q))</f>
        <v>T2N2bM0</v>
      </c>
      <c r="AW186" t="str">
        <f>LEFT(_xlfn.XLOOKUP(D186, RAWMETADATALOOKUP_P2!A:A,RAWMETADATALOOKUP_P2!G:G), FIND(" ", _xlfn.XLOOKUP(D186, RAWMETADATALOOKUP_P2!A:A,RAWMETADATALOOKUP_P2!G:G)&amp;" ")-1)</f>
        <v>High</v>
      </c>
      <c r="AX186" t="str">
        <f>(_xlfn.XLOOKUP($D186,RAWMETADATALOOKUP_P1!$A:$A,RAWMETADATALOOKUP_P1!R:R))</f>
        <v>Unknown</v>
      </c>
      <c r="AY186">
        <f>LOOKUP(D186, SURVLOOKUP!$A:$A, SURVLOOKUP!$P:$P)</f>
        <v>0</v>
      </c>
      <c r="AZ186" s="46">
        <v>2</v>
      </c>
      <c r="BA186" s="21">
        <v>0.2</v>
      </c>
      <c r="BB186" s="47" t="str">
        <f t="shared" si="52"/>
        <v>Responder</v>
      </c>
      <c r="BC186">
        <v>0.24</v>
      </c>
      <c r="BD186" s="1">
        <v>43588</v>
      </c>
    </row>
    <row r="187" spans="1:56" x14ac:dyDescent="0.2">
      <c r="BB187" s="47"/>
    </row>
    <row r="188" spans="1:56" x14ac:dyDescent="0.2">
      <c r="BB188" s="47"/>
    </row>
    <row r="189" spans="1:56" x14ac:dyDescent="0.2">
      <c r="BB189" s="47"/>
    </row>
    <row r="190" spans="1:56" x14ac:dyDescent="0.2">
      <c r="BB190" s="47"/>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82C3-F6A3-E34B-85BA-79BCCC3D04A0}">
  <dimension ref="A1:U97"/>
  <sheetViews>
    <sheetView workbookViewId="0">
      <selection activeCell="U28" sqref="U28"/>
    </sheetView>
  </sheetViews>
  <sheetFormatPr baseColWidth="10" defaultRowHeight="16" x14ac:dyDescent="0.2"/>
  <sheetData>
    <row r="1" spans="1:21" x14ac:dyDescent="0.2">
      <c r="A1" s="62" t="s">
        <v>1140</v>
      </c>
      <c r="B1" s="62" t="s">
        <v>1141</v>
      </c>
      <c r="C1" s="62" t="s">
        <v>1142</v>
      </c>
      <c r="D1" s="62" t="s">
        <v>1143</v>
      </c>
      <c r="E1" s="62" t="s">
        <v>1144</v>
      </c>
      <c r="F1" s="62" t="s">
        <v>1145</v>
      </c>
      <c r="G1" s="62" t="s">
        <v>23</v>
      </c>
      <c r="H1" s="62" t="s">
        <v>24</v>
      </c>
      <c r="I1" s="62" t="s">
        <v>950</v>
      </c>
      <c r="J1" s="62" t="s">
        <v>26</v>
      </c>
      <c r="K1" s="62" t="s">
        <v>951</v>
      </c>
      <c r="L1" s="62" t="s">
        <v>952</v>
      </c>
      <c r="M1" s="62" t="s">
        <v>849</v>
      </c>
      <c r="N1" s="62" t="s">
        <v>953</v>
      </c>
      <c r="O1" s="62" t="s">
        <v>997</v>
      </c>
      <c r="P1" s="62" t="s">
        <v>997</v>
      </c>
      <c r="Q1" s="62" t="s">
        <v>1146</v>
      </c>
      <c r="R1" s="62" t="s">
        <v>1147</v>
      </c>
      <c r="S1" s="62" t="s">
        <v>854</v>
      </c>
      <c r="T1" s="62" t="s">
        <v>1148</v>
      </c>
      <c r="U1" s="62" t="s">
        <v>954</v>
      </c>
    </row>
    <row r="2" spans="1:21" x14ac:dyDescent="0.2">
      <c r="A2" s="62" t="s">
        <v>412</v>
      </c>
      <c r="B2" s="62" t="s">
        <v>1149</v>
      </c>
      <c r="C2" s="62"/>
      <c r="D2" s="62"/>
      <c r="E2" s="62" t="s">
        <v>1150</v>
      </c>
      <c r="F2" s="62">
        <v>47</v>
      </c>
      <c r="G2" s="62" t="s">
        <v>71</v>
      </c>
      <c r="H2" s="62" t="s">
        <v>49</v>
      </c>
      <c r="I2" s="62" t="s">
        <v>52</v>
      </c>
      <c r="J2" s="62" t="s">
        <v>51</v>
      </c>
      <c r="K2" s="62" t="s">
        <v>52</v>
      </c>
      <c r="L2" s="63">
        <v>42374</v>
      </c>
      <c r="M2" s="62" t="s">
        <v>872</v>
      </c>
      <c r="N2" s="62" t="s">
        <v>980</v>
      </c>
      <c r="O2" s="62"/>
      <c r="P2" s="62"/>
      <c r="Q2" s="62" t="s">
        <v>99</v>
      </c>
      <c r="R2" s="62" t="s">
        <v>55</v>
      </c>
      <c r="S2" s="62" t="s">
        <v>55</v>
      </c>
      <c r="T2" s="62" t="s">
        <v>50</v>
      </c>
      <c r="U2" s="62" t="s">
        <v>975</v>
      </c>
    </row>
    <row r="3" spans="1:21" x14ac:dyDescent="0.2">
      <c r="A3" s="62" t="s">
        <v>353</v>
      </c>
      <c r="B3" s="62" t="s">
        <v>1149</v>
      </c>
      <c r="C3" s="62"/>
      <c r="D3" s="62"/>
      <c r="E3" s="62" t="s">
        <v>1150</v>
      </c>
      <c r="F3" s="62">
        <v>55</v>
      </c>
      <c r="G3" s="62" t="s">
        <v>48</v>
      </c>
      <c r="H3" s="62" t="s">
        <v>49</v>
      </c>
      <c r="I3" s="62" t="s">
        <v>52</v>
      </c>
      <c r="J3" s="62" t="s">
        <v>51</v>
      </c>
      <c r="K3" s="62" t="s">
        <v>52</v>
      </c>
      <c r="L3" s="63">
        <v>42460</v>
      </c>
      <c r="M3" s="62" t="s">
        <v>872</v>
      </c>
      <c r="N3" s="62" t="s">
        <v>964</v>
      </c>
      <c r="O3" s="62"/>
      <c r="P3" s="62"/>
      <c r="Q3" s="62" t="s">
        <v>354</v>
      </c>
      <c r="R3" s="62" t="s">
        <v>55</v>
      </c>
      <c r="S3" s="62" t="s">
        <v>55</v>
      </c>
      <c r="T3" s="62" t="s">
        <v>50</v>
      </c>
      <c r="U3" s="62" t="s">
        <v>975</v>
      </c>
    </row>
    <row r="4" spans="1:21" x14ac:dyDescent="0.2">
      <c r="A4" s="62" t="s">
        <v>1151</v>
      </c>
      <c r="B4" s="62" t="s">
        <v>1149</v>
      </c>
      <c r="C4" s="62"/>
      <c r="D4" s="62"/>
      <c r="E4" s="62" t="s">
        <v>1150</v>
      </c>
      <c r="F4" s="62">
        <v>51</v>
      </c>
      <c r="G4" s="62" t="s">
        <v>71</v>
      </c>
      <c r="H4" s="62" t="s">
        <v>49</v>
      </c>
      <c r="I4" s="62" t="s">
        <v>50</v>
      </c>
      <c r="J4" s="62" t="s">
        <v>51</v>
      </c>
      <c r="K4" s="62" t="s">
        <v>52</v>
      </c>
      <c r="L4" s="63">
        <v>42539</v>
      </c>
      <c r="M4" s="62" t="s">
        <v>919</v>
      </c>
      <c r="N4" s="62" t="s">
        <v>980</v>
      </c>
      <c r="O4" s="62"/>
      <c r="P4" s="62"/>
      <c r="Q4" s="62" t="s">
        <v>87</v>
      </c>
      <c r="R4" s="62" t="s">
        <v>55</v>
      </c>
      <c r="S4" s="62" t="s">
        <v>52</v>
      </c>
      <c r="T4" s="62" t="s">
        <v>50</v>
      </c>
      <c r="U4" s="62" t="s">
        <v>1152</v>
      </c>
    </row>
    <row r="5" spans="1:21" x14ac:dyDescent="0.2">
      <c r="A5" s="62" t="s">
        <v>358</v>
      </c>
      <c r="B5" s="62" t="s">
        <v>1149</v>
      </c>
      <c r="C5" s="62"/>
      <c r="D5" s="62"/>
      <c r="E5" s="62" t="s">
        <v>1150</v>
      </c>
      <c r="F5" s="62">
        <v>58</v>
      </c>
      <c r="G5" s="62" t="s">
        <v>48</v>
      </c>
      <c r="H5" s="62" t="s">
        <v>49</v>
      </c>
      <c r="I5" s="62" t="s">
        <v>52</v>
      </c>
      <c r="J5" s="62" t="s">
        <v>51</v>
      </c>
      <c r="K5" s="62" t="s">
        <v>52</v>
      </c>
      <c r="L5" s="63">
        <v>42579</v>
      </c>
      <c r="M5" s="62" t="s">
        <v>872</v>
      </c>
      <c r="N5" s="62" t="s">
        <v>980</v>
      </c>
      <c r="O5" s="62"/>
      <c r="P5" s="62"/>
      <c r="Q5" s="62" t="s">
        <v>878</v>
      </c>
      <c r="R5" s="62" t="s">
        <v>55</v>
      </c>
      <c r="S5" s="62" t="s">
        <v>55</v>
      </c>
      <c r="T5" s="62" t="s">
        <v>50</v>
      </c>
      <c r="U5" s="62" t="s">
        <v>975</v>
      </c>
    </row>
    <row r="6" spans="1:21" x14ac:dyDescent="0.2">
      <c r="A6" s="62" t="s">
        <v>514</v>
      </c>
      <c r="B6" s="62" t="s">
        <v>1149</v>
      </c>
      <c r="C6" s="62"/>
      <c r="D6" s="62"/>
      <c r="E6" s="62" t="s">
        <v>1150</v>
      </c>
      <c r="F6" s="62">
        <v>63</v>
      </c>
      <c r="G6" s="62" t="s">
        <v>71</v>
      </c>
      <c r="H6" s="62" t="s">
        <v>49</v>
      </c>
      <c r="I6" s="62" t="s">
        <v>50</v>
      </c>
      <c r="J6" s="62" t="s">
        <v>51</v>
      </c>
      <c r="K6" s="62" t="s">
        <v>52</v>
      </c>
      <c r="L6" s="63">
        <v>42640</v>
      </c>
      <c r="M6" s="62" t="s">
        <v>872</v>
      </c>
      <c r="N6" s="62" t="s">
        <v>980</v>
      </c>
      <c r="O6" s="62"/>
      <c r="P6" s="62"/>
      <c r="Q6" s="62" t="s">
        <v>1153</v>
      </c>
      <c r="R6" s="62" t="s">
        <v>55</v>
      </c>
      <c r="S6" s="62" t="s">
        <v>55</v>
      </c>
      <c r="T6" s="62" t="s">
        <v>50</v>
      </c>
      <c r="U6" s="62" t="s">
        <v>1154</v>
      </c>
    </row>
    <row r="7" spans="1:21" x14ac:dyDescent="0.2">
      <c r="A7" s="62" t="s">
        <v>363</v>
      </c>
      <c r="B7" s="62" t="s">
        <v>1149</v>
      </c>
      <c r="C7" s="62"/>
      <c r="D7" s="62"/>
      <c r="E7" s="62" t="s">
        <v>1150</v>
      </c>
      <c r="F7" s="62">
        <v>65</v>
      </c>
      <c r="G7" s="62" t="s">
        <v>71</v>
      </c>
      <c r="H7" s="62" t="s">
        <v>49</v>
      </c>
      <c r="I7" s="62" t="s">
        <v>50</v>
      </c>
      <c r="J7" s="62" t="s">
        <v>51</v>
      </c>
      <c r="K7" s="62" t="s">
        <v>50</v>
      </c>
      <c r="L7" s="63">
        <v>42644</v>
      </c>
      <c r="M7" s="62" t="s">
        <v>872</v>
      </c>
      <c r="N7" s="62" t="s">
        <v>980</v>
      </c>
      <c r="O7" s="62"/>
      <c r="P7" s="62"/>
      <c r="Q7" s="62" t="s">
        <v>200</v>
      </c>
      <c r="R7" s="62" t="s">
        <v>55</v>
      </c>
      <c r="S7" s="62" t="s">
        <v>55</v>
      </c>
      <c r="T7" s="62" t="s">
        <v>50</v>
      </c>
      <c r="U7" s="62" t="s">
        <v>975</v>
      </c>
    </row>
    <row r="8" spans="1:21" x14ac:dyDescent="0.2">
      <c r="A8" s="62" t="s">
        <v>417</v>
      </c>
      <c r="B8" s="62" t="s">
        <v>1149</v>
      </c>
      <c r="C8" s="62"/>
      <c r="D8" s="62"/>
      <c r="E8" s="62" t="s">
        <v>1150</v>
      </c>
      <c r="F8" s="62">
        <v>54</v>
      </c>
      <c r="G8" s="62" t="s">
        <v>48</v>
      </c>
      <c r="H8" s="62" t="s">
        <v>49</v>
      </c>
      <c r="I8" s="62" t="s">
        <v>52</v>
      </c>
      <c r="J8" s="62" t="s">
        <v>51</v>
      </c>
      <c r="K8" s="62" t="s">
        <v>52</v>
      </c>
      <c r="L8" s="63">
        <v>42709</v>
      </c>
      <c r="M8" s="62" t="s">
        <v>872</v>
      </c>
      <c r="N8" s="62" t="s">
        <v>1053</v>
      </c>
      <c r="O8" s="62"/>
      <c r="P8" s="62"/>
      <c r="Q8" s="62" t="s">
        <v>87</v>
      </c>
      <c r="R8" s="62" t="s">
        <v>55</v>
      </c>
      <c r="S8" s="62" t="s">
        <v>55</v>
      </c>
      <c r="T8" s="62" t="s">
        <v>50</v>
      </c>
      <c r="U8" s="62" t="s">
        <v>1154</v>
      </c>
    </row>
    <row r="9" spans="1:21" x14ac:dyDescent="0.2">
      <c r="A9" s="62" t="s">
        <v>515</v>
      </c>
      <c r="B9" s="62" t="s">
        <v>1149</v>
      </c>
      <c r="C9" s="62"/>
      <c r="D9" s="62"/>
      <c r="E9" s="62" t="s">
        <v>1150</v>
      </c>
      <c r="F9" s="62">
        <v>50</v>
      </c>
      <c r="G9" s="62" t="s">
        <v>71</v>
      </c>
      <c r="H9" s="62" t="s">
        <v>49</v>
      </c>
      <c r="I9" s="62" t="s">
        <v>50</v>
      </c>
      <c r="J9" s="62" t="s">
        <v>51</v>
      </c>
      <c r="K9" s="62" t="s">
        <v>50</v>
      </c>
      <c r="L9" s="63">
        <v>42737</v>
      </c>
      <c r="M9" s="62" t="s">
        <v>872</v>
      </c>
      <c r="N9" s="62" t="s">
        <v>980</v>
      </c>
      <c r="O9" s="62"/>
      <c r="P9" s="62"/>
      <c r="Q9" s="62" t="s">
        <v>382</v>
      </c>
      <c r="R9" s="62" t="s">
        <v>55</v>
      </c>
      <c r="S9" s="62" t="s">
        <v>55</v>
      </c>
      <c r="T9" s="62" t="s">
        <v>50</v>
      </c>
      <c r="U9" s="62" t="s">
        <v>975</v>
      </c>
    </row>
    <row r="10" spans="1:21" x14ac:dyDescent="0.2">
      <c r="A10" s="62" t="s">
        <v>1155</v>
      </c>
      <c r="B10" s="62" t="s">
        <v>1149</v>
      </c>
      <c r="C10" s="62"/>
      <c r="D10" s="62"/>
      <c r="E10" s="62" t="s">
        <v>1150</v>
      </c>
      <c r="F10" s="62">
        <v>58</v>
      </c>
      <c r="G10" s="62" t="s">
        <v>71</v>
      </c>
      <c r="H10" s="62" t="s">
        <v>49</v>
      </c>
      <c r="I10" s="62" t="s">
        <v>50</v>
      </c>
      <c r="J10" s="62" t="s">
        <v>51</v>
      </c>
      <c r="K10" s="62" t="s">
        <v>52</v>
      </c>
      <c r="L10" s="63">
        <v>42830</v>
      </c>
      <c r="M10" s="62" t="s">
        <v>872</v>
      </c>
      <c r="N10" s="62" t="s">
        <v>980</v>
      </c>
      <c r="O10" s="62"/>
      <c r="P10" s="62"/>
      <c r="Q10" s="62" t="s">
        <v>1156</v>
      </c>
      <c r="R10" s="62"/>
      <c r="S10" s="62" t="s">
        <v>52</v>
      </c>
      <c r="T10" s="62" t="s">
        <v>50</v>
      </c>
      <c r="U10" s="62"/>
    </row>
    <row r="11" spans="1:21" x14ac:dyDescent="0.2">
      <c r="A11" s="62" t="s">
        <v>367</v>
      </c>
      <c r="B11" s="62" t="s">
        <v>1149</v>
      </c>
      <c r="C11" s="62"/>
      <c r="D11" s="62"/>
      <c r="E11" s="62" t="s">
        <v>1150</v>
      </c>
      <c r="F11" s="62">
        <v>68</v>
      </c>
      <c r="G11" s="62" t="s">
        <v>48</v>
      </c>
      <c r="H11" s="62" t="s">
        <v>49</v>
      </c>
      <c r="I11" s="62" t="s">
        <v>52</v>
      </c>
      <c r="J11" s="62" t="s">
        <v>51</v>
      </c>
      <c r="K11" s="62" t="s">
        <v>52</v>
      </c>
      <c r="L11" s="63">
        <v>42874</v>
      </c>
      <c r="M11" s="62" t="s">
        <v>872</v>
      </c>
      <c r="N11" s="62" t="s">
        <v>980</v>
      </c>
      <c r="O11" s="62"/>
      <c r="P11" s="62"/>
      <c r="Q11" s="62" t="s">
        <v>235</v>
      </c>
      <c r="R11" s="62" t="s">
        <v>55</v>
      </c>
      <c r="S11" s="62" t="s">
        <v>55</v>
      </c>
      <c r="T11" s="62" t="s">
        <v>50</v>
      </c>
      <c r="U11" s="62" t="s">
        <v>1154</v>
      </c>
    </row>
    <row r="12" spans="1:21" x14ac:dyDescent="0.2">
      <c r="A12" s="62" t="s">
        <v>372</v>
      </c>
      <c r="B12" s="62" t="s">
        <v>1149</v>
      </c>
      <c r="C12" s="62"/>
      <c r="D12" s="62"/>
      <c r="E12" s="62" t="s">
        <v>1150</v>
      </c>
      <c r="F12" s="62">
        <v>28</v>
      </c>
      <c r="G12" s="62" t="s">
        <v>71</v>
      </c>
      <c r="H12" s="62" t="s">
        <v>49</v>
      </c>
      <c r="I12" s="62" t="s">
        <v>52</v>
      </c>
      <c r="J12" s="62" t="s">
        <v>51</v>
      </c>
      <c r="K12" s="62" t="s">
        <v>52</v>
      </c>
      <c r="L12" s="63">
        <v>42522</v>
      </c>
      <c r="M12" s="62" t="s">
        <v>872</v>
      </c>
      <c r="N12" s="62" t="s">
        <v>980</v>
      </c>
      <c r="O12" s="62"/>
      <c r="P12" s="62"/>
      <c r="Q12" s="62" t="s">
        <v>886</v>
      </c>
      <c r="R12" s="62" t="s">
        <v>55</v>
      </c>
      <c r="S12" s="62" t="s">
        <v>50</v>
      </c>
      <c r="T12" s="62" t="s">
        <v>50</v>
      </c>
      <c r="U12" s="62" t="s">
        <v>975</v>
      </c>
    </row>
    <row r="13" spans="1:21" x14ac:dyDescent="0.2">
      <c r="A13" s="62" t="s">
        <v>376</v>
      </c>
      <c r="B13" s="62" t="s">
        <v>1149</v>
      </c>
      <c r="C13" s="62"/>
      <c r="D13" s="62"/>
      <c r="E13" s="62" t="s">
        <v>1150</v>
      </c>
      <c r="F13" s="62">
        <v>60</v>
      </c>
      <c r="G13" s="62" t="s">
        <v>48</v>
      </c>
      <c r="H13" s="62" t="s">
        <v>49</v>
      </c>
      <c r="I13" s="62" t="s">
        <v>52</v>
      </c>
      <c r="J13" s="62" t="s">
        <v>51</v>
      </c>
      <c r="K13" s="62" t="s">
        <v>52</v>
      </c>
      <c r="L13" s="63">
        <v>42949</v>
      </c>
      <c r="M13" s="62" t="s">
        <v>872</v>
      </c>
      <c r="N13" s="62" t="s">
        <v>980</v>
      </c>
      <c r="O13" s="62"/>
      <c r="P13" s="62"/>
      <c r="Q13" s="62" t="s">
        <v>377</v>
      </c>
      <c r="R13" s="62" t="s">
        <v>55</v>
      </c>
      <c r="S13" s="62" t="s">
        <v>55</v>
      </c>
      <c r="T13" s="62" t="s">
        <v>50</v>
      </c>
      <c r="U13" s="62" t="s">
        <v>975</v>
      </c>
    </row>
    <row r="14" spans="1:21" x14ac:dyDescent="0.2">
      <c r="A14" s="62" t="s">
        <v>421</v>
      </c>
      <c r="B14" s="62" t="s">
        <v>1149</v>
      </c>
      <c r="C14" s="62"/>
      <c r="D14" s="62"/>
      <c r="E14" s="62" t="s">
        <v>1150</v>
      </c>
      <c r="F14" s="62">
        <v>47</v>
      </c>
      <c r="G14" s="62" t="s">
        <v>48</v>
      </c>
      <c r="H14" s="62" t="s">
        <v>49</v>
      </c>
      <c r="I14" s="62" t="s">
        <v>50</v>
      </c>
      <c r="J14" s="62" t="s">
        <v>51</v>
      </c>
      <c r="K14" s="62" t="s">
        <v>50</v>
      </c>
      <c r="L14" s="63">
        <v>42958</v>
      </c>
      <c r="M14" s="62" t="s">
        <v>872</v>
      </c>
      <c r="N14" s="62" t="s">
        <v>980</v>
      </c>
      <c r="O14" s="62"/>
      <c r="P14" s="62"/>
      <c r="Q14" s="62" t="s">
        <v>382</v>
      </c>
      <c r="R14" s="62" t="s">
        <v>55</v>
      </c>
      <c r="S14" s="62" t="s">
        <v>55</v>
      </c>
      <c r="T14" s="62" t="s">
        <v>50</v>
      </c>
      <c r="U14" s="62" t="s">
        <v>975</v>
      </c>
    </row>
    <row r="15" spans="1:21" x14ac:dyDescent="0.2">
      <c r="A15" s="62" t="s">
        <v>381</v>
      </c>
      <c r="B15" s="62" t="s">
        <v>1149</v>
      </c>
      <c r="C15" s="62"/>
      <c r="D15" s="62"/>
      <c r="E15" s="62" t="s">
        <v>1150</v>
      </c>
      <c r="F15" s="62">
        <v>53</v>
      </c>
      <c r="G15" s="62" t="s">
        <v>71</v>
      </c>
      <c r="H15" s="62" t="s">
        <v>49</v>
      </c>
      <c r="I15" s="62" t="s">
        <v>52</v>
      </c>
      <c r="J15" s="62" t="s">
        <v>51</v>
      </c>
      <c r="K15" s="62" t="s">
        <v>50</v>
      </c>
      <c r="L15" s="63">
        <v>42978</v>
      </c>
      <c r="M15" s="62" t="s">
        <v>872</v>
      </c>
      <c r="N15" s="62" t="s">
        <v>980</v>
      </c>
      <c r="O15" s="62"/>
      <c r="P15" s="62"/>
      <c r="Q15" s="62" t="s">
        <v>382</v>
      </c>
      <c r="R15" s="62" t="s">
        <v>55</v>
      </c>
      <c r="S15" s="62" t="s">
        <v>52</v>
      </c>
      <c r="T15" s="62" t="s">
        <v>50</v>
      </c>
      <c r="U15" s="62" t="s">
        <v>975</v>
      </c>
    </row>
    <row r="16" spans="1:21" x14ac:dyDescent="0.2">
      <c r="A16" s="62" t="s">
        <v>387</v>
      </c>
      <c r="B16" s="62" t="s">
        <v>1149</v>
      </c>
      <c r="C16" s="62"/>
      <c r="D16" s="62"/>
      <c r="E16" s="62" t="s">
        <v>1150</v>
      </c>
      <c r="F16" s="62">
        <v>68</v>
      </c>
      <c r="G16" s="62" t="s">
        <v>71</v>
      </c>
      <c r="H16" s="62" t="s">
        <v>49</v>
      </c>
      <c r="I16" s="62" t="s">
        <v>50</v>
      </c>
      <c r="J16" s="62" t="s">
        <v>51</v>
      </c>
      <c r="K16" s="62" t="s">
        <v>50</v>
      </c>
      <c r="L16" s="63">
        <v>43060</v>
      </c>
      <c r="M16" s="62" t="s">
        <v>872</v>
      </c>
      <c r="N16" s="62" t="s">
        <v>980</v>
      </c>
      <c r="O16" s="62"/>
      <c r="P16" s="62"/>
      <c r="Q16" s="62" t="s">
        <v>377</v>
      </c>
      <c r="R16" s="62" t="s">
        <v>55</v>
      </c>
      <c r="S16" s="62" t="s">
        <v>55</v>
      </c>
      <c r="T16" s="62" t="s">
        <v>50</v>
      </c>
      <c r="U16" s="62" t="s">
        <v>975</v>
      </c>
    </row>
    <row r="17" spans="1:21" x14ac:dyDescent="0.2">
      <c r="A17" s="62" t="s">
        <v>425</v>
      </c>
      <c r="B17" s="62" t="s">
        <v>1149</v>
      </c>
      <c r="C17" s="62"/>
      <c r="D17" s="62"/>
      <c r="E17" s="62" t="s">
        <v>1150</v>
      </c>
      <c r="F17" s="62">
        <v>27</v>
      </c>
      <c r="G17" s="62" t="s">
        <v>71</v>
      </c>
      <c r="H17" s="62" t="s">
        <v>49</v>
      </c>
      <c r="I17" s="62" t="s">
        <v>52</v>
      </c>
      <c r="J17" s="62" t="s">
        <v>51</v>
      </c>
      <c r="K17" s="62" t="s">
        <v>52</v>
      </c>
      <c r="L17" s="63">
        <v>43077</v>
      </c>
      <c r="M17" s="62" t="s">
        <v>872</v>
      </c>
      <c r="N17" s="62" t="s">
        <v>964</v>
      </c>
      <c r="O17" s="62"/>
      <c r="P17" s="62"/>
      <c r="Q17" s="62" t="s">
        <v>53</v>
      </c>
      <c r="R17" s="62" t="s">
        <v>55</v>
      </c>
      <c r="S17" s="62" t="s">
        <v>52</v>
      </c>
      <c r="T17" s="62" t="s">
        <v>50</v>
      </c>
      <c r="U17" s="62" t="s">
        <v>975</v>
      </c>
    </row>
    <row r="18" spans="1:21" x14ac:dyDescent="0.2">
      <c r="A18" s="62" t="s">
        <v>390</v>
      </c>
      <c r="B18" s="62" t="s">
        <v>1149</v>
      </c>
      <c r="C18" s="62"/>
      <c r="D18" s="62"/>
      <c r="E18" s="62" t="s">
        <v>1150</v>
      </c>
      <c r="F18" s="62">
        <v>55</v>
      </c>
      <c r="G18" s="62" t="s">
        <v>71</v>
      </c>
      <c r="H18" s="62" t="s">
        <v>49</v>
      </c>
      <c r="I18" s="62" t="s">
        <v>50</v>
      </c>
      <c r="J18" s="62" t="s">
        <v>51</v>
      </c>
      <c r="K18" s="62" t="s">
        <v>50</v>
      </c>
      <c r="L18" s="63">
        <v>43060</v>
      </c>
      <c r="M18" s="62" t="s">
        <v>872</v>
      </c>
      <c r="N18" s="62" t="s">
        <v>980</v>
      </c>
      <c r="O18" s="62"/>
      <c r="P18" s="62"/>
      <c r="Q18" s="62" t="s">
        <v>87</v>
      </c>
      <c r="R18" s="62" t="s">
        <v>55</v>
      </c>
      <c r="S18" s="62" t="s">
        <v>55</v>
      </c>
      <c r="T18" s="62" t="s">
        <v>50</v>
      </c>
      <c r="U18" s="62" t="s">
        <v>1154</v>
      </c>
    </row>
    <row r="19" spans="1:21" x14ac:dyDescent="0.2">
      <c r="A19" s="62" t="s">
        <v>429</v>
      </c>
      <c r="B19" s="62" t="s">
        <v>1149</v>
      </c>
      <c r="C19" s="62"/>
      <c r="D19" s="62"/>
      <c r="E19" s="62" t="s">
        <v>1150</v>
      </c>
      <c r="F19" s="62">
        <v>48</v>
      </c>
      <c r="G19" s="62" t="s">
        <v>71</v>
      </c>
      <c r="H19" s="62" t="s">
        <v>49</v>
      </c>
      <c r="I19" s="62" t="s">
        <v>52</v>
      </c>
      <c r="J19" s="62" t="s">
        <v>51</v>
      </c>
      <c r="K19" s="62" t="s">
        <v>52</v>
      </c>
      <c r="L19" s="63">
        <v>37653</v>
      </c>
      <c r="M19" s="62" t="s">
        <v>872</v>
      </c>
      <c r="N19" s="62" t="s">
        <v>964</v>
      </c>
      <c r="O19" s="62"/>
      <c r="P19" s="62"/>
      <c r="Q19" s="62" t="s">
        <v>896</v>
      </c>
      <c r="R19" s="62" t="s">
        <v>55</v>
      </c>
      <c r="S19" s="62" t="s">
        <v>52</v>
      </c>
      <c r="T19" s="62" t="s">
        <v>50</v>
      </c>
      <c r="U19" s="62" t="s">
        <v>975</v>
      </c>
    </row>
    <row r="20" spans="1:21" x14ac:dyDescent="0.2">
      <c r="A20" s="62" t="s">
        <v>395</v>
      </c>
      <c r="B20" s="62" t="s">
        <v>1149</v>
      </c>
      <c r="C20" s="62"/>
      <c r="D20" s="62"/>
      <c r="E20" s="62" t="s">
        <v>1150</v>
      </c>
      <c r="F20" s="62">
        <v>45</v>
      </c>
      <c r="G20" s="62" t="s">
        <v>71</v>
      </c>
      <c r="H20" s="62" t="s">
        <v>49</v>
      </c>
      <c r="I20" s="62" t="s">
        <v>50</v>
      </c>
      <c r="J20" s="62" t="s">
        <v>51</v>
      </c>
      <c r="K20" s="62" t="s">
        <v>50</v>
      </c>
      <c r="L20" s="63">
        <v>43102</v>
      </c>
      <c r="M20" s="62" t="s">
        <v>872</v>
      </c>
      <c r="N20" s="62" t="s">
        <v>1053</v>
      </c>
      <c r="O20" s="62"/>
      <c r="P20" s="62"/>
      <c r="Q20" s="62" t="s">
        <v>72</v>
      </c>
      <c r="R20" s="62" t="s">
        <v>55</v>
      </c>
      <c r="S20" s="62" t="s">
        <v>55</v>
      </c>
      <c r="T20" s="62" t="s">
        <v>50</v>
      </c>
      <c r="U20" s="62" t="s">
        <v>975</v>
      </c>
    </row>
    <row r="21" spans="1:21" x14ac:dyDescent="0.2">
      <c r="A21" s="62" t="s">
        <v>433</v>
      </c>
      <c r="B21" s="62" t="s">
        <v>1149</v>
      </c>
      <c r="C21" s="62"/>
      <c r="D21" s="62"/>
      <c r="E21" s="62" t="s">
        <v>1150</v>
      </c>
      <c r="F21" s="62">
        <v>64</v>
      </c>
      <c r="G21" s="62" t="s">
        <v>71</v>
      </c>
      <c r="H21" s="62" t="s">
        <v>49</v>
      </c>
      <c r="I21" s="62" t="s">
        <v>50</v>
      </c>
      <c r="J21" s="62" t="s">
        <v>51</v>
      </c>
      <c r="K21" s="62" t="s">
        <v>50</v>
      </c>
      <c r="L21" s="63">
        <v>43117</v>
      </c>
      <c r="M21" s="62" t="s">
        <v>872</v>
      </c>
      <c r="N21" s="62" t="s">
        <v>997</v>
      </c>
      <c r="O21" s="62"/>
      <c r="P21" s="62" t="s">
        <v>1157</v>
      </c>
      <c r="Q21" s="62" t="s">
        <v>382</v>
      </c>
      <c r="R21" s="62" t="s">
        <v>55</v>
      </c>
      <c r="S21" s="62" t="s">
        <v>55</v>
      </c>
      <c r="T21" s="62" t="s">
        <v>50</v>
      </c>
      <c r="U21" s="62" t="s">
        <v>975</v>
      </c>
    </row>
    <row r="22" spans="1:21" x14ac:dyDescent="0.2">
      <c r="A22" s="62" t="s">
        <v>437</v>
      </c>
      <c r="B22" s="62" t="s">
        <v>1149</v>
      </c>
      <c r="C22" s="62"/>
      <c r="D22" s="62"/>
      <c r="E22" s="62" t="s">
        <v>1150</v>
      </c>
      <c r="F22" s="62">
        <v>72</v>
      </c>
      <c r="G22" s="62" t="s">
        <v>48</v>
      </c>
      <c r="H22" s="62" t="s">
        <v>55</v>
      </c>
      <c r="I22" s="62" t="s">
        <v>50</v>
      </c>
      <c r="J22" s="62" t="s">
        <v>438</v>
      </c>
      <c r="K22" s="62" t="s">
        <v>50</v>
      </c>
      <c r="L22" s="63">
        <v>43160</v>
      </c>
      <c r="M22" s="62" t="s">
        <v>872</v>
      </c>
      <c r="N22" s="62" t="s">
        <v>997</v>
      </c>
      <c r="O22" s="62"/>
      <c r="P22" s="62" t="s">
        <v>55</v>
      </c>
      <c r="Q22" s="62" t="s">
        <v>87</v>
      </c>
      <c r="R22" s="62" t="s">
        <v>55</v>
      </c>
      <c r="S22" s="62" t="s">
        <v>55</v>
      </c>
      <c r="T22" s="62" t="s">
        <v>50</v>
      </c>
      <c r="U22" s="62" t="s">
        <v>1154</v>
      </c>
    </row>
    <row r="23" spans="1:21" x14ac:dyDescent="0.2">
      <c r="A23" s="62" t="s">
        <v>442</v>
      </c>
      <c r="B23" s="62" t="s">
        <v>1149</v>
      </c>
      <c r="C23" s="62"/>
      <c r="D23" s="62"/>
      <c r="E23" s="62" t="s">
        <v>1150</v>
      </c>
      <c r="F23" s="62">
        <v>70</v>
      </c>
      <c r="G23" s="62" t="s">
        <v>71</v>
      </c>
      <c r="H23" s="62" t="s">
        <v>49</v>
      </c>
      <c r="I23" s="62" t="s">
        <v>52</v>
      </c>
      <c r="J23" s="62" t="s">
        <v>51</v>
      </c>
      <c r="K23" s="62" t="s">
        <v>52</v>
      </c>
      <c r="L23" s="63">
        <v>43146</v>
      </c>
      <c r="M23" s="62" t="s">
        <v>872</v>
      </c>
      <c r="N23" s="62" t="s">
        <v>980</v>
      </c>
      <c r="O23" s="62"/>
      <c r="P23" s="62"/>
      <c r="Q23" s="62" t="s">
        <v>87</v>
      </c>
      <c r="R23" s="62" t="s">
        <v>55</v>
      </c>
      <c r="S23" s="62" t="s">
        <v>52</v>
      </c>
      <c r="T23" s="62" t="s">
        <v>50</v>
      </c>
      <c r="U23" s="62" t="s">
        <v>975</v>
      </c>
    </row>
    <row r="24" spans="1:21" x14ac:dyDescent="0.2">
      <c r="A24" s="62" t="s">
        <v>399</v>
      </c>
      <c r="B24" s="62" t="s">
        <v>1149</v>
      </c>
      <c r="C24" s="62"/>
      <c r="D24" s="62"/>
      <c r="E24" s="62" t="s">
        <v>1150</v>
      </c>
      <c r="F24" s="62">
        <v>61</v>
      </c>
      <c r="G24" s="62" t="s">
        <v>71</v>
      </c>
      <c r="H24" s="62" t="s">
        <v>49</v>
      </c>
      <c r="I24" s="62" t="s">
        <v>50</v>
      </c>
      <c r="J24" s="62" t="s">
        <v>51</v>
      </c>
      <c r="K24" s="62" t="s">
        <v>50</v>
      </c>
      <c r="L24" s="63">
        <v>43179</v>
      </c>
      <c r="M24" s="62" t="s">
        <v>872</v>
      </c>
      <c r="N24" s="62" t="s">
        <v>980</v>
      </c>
      <c r="O24" s="62"/>
      <c r="P24" s="62"/>
      <c r="Q24" s="62" t="s">
        <v>72</v>
      </c>
      <c r="R24" s="62" t="s">
        <v>55</v>
      </c>
      <c r="S24" s="62" t="s">
        <v>55</v>
      </c>
      <c r="T24" s="62" t="s">
        <v>50</v>
      </c>
      <c r="U24" s="62" t="s">
        <v>975</v>
      </c>
    </row>
    <row r="25" spans="1:21" x14ac:dyDescent="0.2">
      <c r="A25" s="62" t="s">
        <v>446</v>
      </c>
      <c r="B25" s="62" t="s">
        <v>1149</v>
      </c>
      <c r="C25" s="62"/>
      <c r="D25" s="62"/>
      <c r="E25" s="62" t="s">
        <v>1150</v>
      </c>
      <c r="F25" s="62">
        <v>69</v>
      </c>
      <c r="G25" s="62" t="s">
        <v>71</v>
      </c>
      <c r="H25" s="62" t="s">
        <v>49</v>
      </c>
      <c r="I25" s="62" t="s">
        <v>50</v>
      </c>
      <c r="J25" s="62" t="s">
        <v>51</v>
      </c>
      <c r="K25" s="62" t="s">
        <v>50</v>
      </c>
      <c r="L25" s="63">
        <v>43271</v>
      </c>
      <c r="M25" s="62" t="s">
        <v>872</v>
      </c>
      <c r="N25" s="62" t="s">
        <v>980</v>
      </c>
      <c r="O25" s="62"/>
      <c r="P25" s="62"/>
      <c r="Q25" s="62" t="s">
        <v>53</v>
      </c>
      <c r="R25" s="62" t="s">
        <v>55</v>
      </c>
      <c r="S25" s="62" t="s">
        <v>52</v>
      </c>
      <c r="T25" s="62" t="s">
        <v>50</v>
      </c>
      <c r="U25" s="62" t="s">
        <v>1154</v>
      </c>
    </row>
    <row r="26" spans="1:21" x14ac:dyDescent="0.2">
      <c r="A26" s="62" t="s">
        <v>450</v>
      </c>
      <c r="B26" s="62" t="s">
        <v>1149</v>
      </c>
      <c r="C26" s="62"/>
      <c r="D26" s="62"/>
      <c r="E26" s="62" t="s">
        <v>1150</v>
      </c>
      <c r="F26" s="62">
        <v>54</v>
      </c>
      <c r="G26" s="62" t="s">
        <v>48</v>
      </c>
      <c r="H26" s="62" t="s">
        <v>49</v>
      </c>
      <c r="I26" s="62" t="s">
        <v>50</v>
      </c>
      <c r="J26" s="62" t="s">
        <v>51</v>
      </c>
      <c r="K26" s="62" t="s">
        <v>50</v>
      </c>
      <c r="L26" s="63">
        <v>43353</v>
      </c>
      <c r="M26" s="62" t="s">
        <v>872</v>
      </c>
      <c r="N26" s="62" t="s">
        <v>980</v>
      </c>
      <c r="O26" s="62"/>
      <c r="P26" s="62"/>
      <c r="Q26" s="62" t="s">
        <v>72</v>
      </c>
      <c r="R26" s="62" t="s">
        <v>55</v>
      </c>
      <c r="S26" s="62" t="s">
        <v>52</v>
      </c>
      <c r="T26" s="62" t="s">
        <v>50</v>
      </c>
      <c r="U26" s="62" t="s">
        <v>1154</v>
      </c>
    </row>
    <row r="27" spans="1:21" x14ac:dyDescent="0.2">
      <c r="A27" s="62" t="s">
        <v>403</v>
      </c>
      <c r="B27" s="62" t="s">
        <v>1149</v>
      </c>
      <c r="C27" s="62"/>
      <c r="D27" s="62"/>
      <c r="E27" s="62" t="s">
        <v>1150</v>
      </c>
      <c r="F27" s="62">
        <v>59</v>
      </c>
      <c r="G27" s="62" t="s">
        <v>71</v>
      </c>
      <c r="H27" s="62" t="s">
        <v>49</v>
      </c>
      <c r="I27" s="62" t="s">
        <v>50</v>
      </c>
      <c r="J27" s="62" t="s">
        <v>51</v>
      </c>
      <c r="K27" s="62" t="s">
        <v>50</v>
      </c>
      <c r="L27" s="63">
        <v>43375</v>
      </c>
      <c r="M27" s="62" t="s">
        <v>872</v>
      </c>
      <c r="N27" s="62" t="s">
        <v>964</v>
      </c>
      <c r="O27" s="62"/>
      <c r="P27" s="62"/>
      <c r="Q27" s="62" t="s">
        <v>99</v>
      </c>
      <c r="R27" s="62" t="s">
        <v>55</v>
      </c>
      <c r="S27" s="62" t="s">
        <v>55</v>
      </c>
      <c r="T27" s="62" t="s">
        <v>50</v>
      </c>
      <c r="U27" s="62" t="s">
        <v>1154</v>
      </c>
    </row>
    <row r="28" spans="1:21" x14ac:dyDescent="0.2">
      <c r="A28" s="62" t="s">
        <v>497</v>
      </c>
      <c r="B28" s="62" t="s">
        <v>1149</v>
      </c>
      <c r="C28" s="62"/>
      <c r="D28" s="62"/>
      <c r="E28" s="62" t="s">
        <v>1150</v>
      </c>
      <c r="F28" s="62">
        <v>57</v>
      </c>
      <c r="G28" s="62" t="s">
        <v>48</v>
      </c>
      <c r="H28" s="62" t="s">
        <v>49</v>
      </c>
      <c r="I28" s="62" t="s">
        <v>50</v>
      </c>
      <c r="J28" s="62" t="s">
        <v>51</v>
      </c>
      <c r="K28" s="62" t="s">
        <v>50</v>
      </c>
      <c r="L28" s="63">
        <v>43410</v>
      </c>
      <c r="M28" s="62" t="s">
        <v>872</v>
      </c>
      <c r="N28" s="62" t="s">
        <v>997</v>
      </c>
      <c r="O28" s="62"/>
      <c r="P28" s="62" t="s">
        <v>1158</v>
      </c>
      <c r="Q28" s="62" t="s">
        <v>318</v>
      </c>
      <c r="R28" s="62" t="s">
        <v>55</v>
      </c>
      <c r="S28" s="62" t="s">
        <v>55</v>
      </c>
      <c r="T28" s="62" t="s">
        <v>50</v>
      </c>
      <c r="U28" s="62" t="s">
        <v>975</v>
      </c>
    </row>
    <row r="29" spans="1:21" x14ac:dyDescent="0.2">
      <c r="A29" s="62" t="s">
        <v>1159</v>
      </c>
      <c r="B29" s="62" t="s">
        <v>1149</v>
      </c>
      <c r="C29" s="62"/>
      <c r="D29" s="62"/>
      <c r="E29" s="62" t="s">
        <v>1150</v>
      </c>
      <c r="F29" s="62">
        <v>63</v>
      </c>
      <c r="G29" s="62" t="s">
        <v>71</v>
      </c>
      <c r="H29" s="62" t="s">
        <v>49</v>
      </c>
      <c r="I29" s="62" t="s">
        <v>52</v>
      </c>
      <c r="J29" s="62" t="s">
        <v>51</v>
      </c>
      <c r="K29" s="62" t="s">
        <v>52</v>
      </c>
      <c r="L29" s="63">
        <v>43488</v>
      </c>
      <c r="M29" s="62" t="s">
        <v>872</v>
      </c>
      <c r="N29" s="62" t="s">
        <v>980</v>
      </c>
      <c r="O29" s="62"/>
      <c r="P29" s="62"/>
      <c r="Q29" s="62" t="s">
        <v>1160</v>
      </c>
      <c r="R29" s="62" t="s">
        <v>55</v>
      </c>
      <c r="S29" s="62" t="s">
        <v>52</v>
      </c>
      <c r="T29" s="62" t="s">
        <v>50</v>
      </c>
      <c r="U29" s="62"/>
    </row>
    <row r="30" spans="1:21" x14ac:dyDescent="0.2">
      <c r="A30" s="62" t="s">
        <v>500</v>
      </c>
      <c r="B30" s="62" t="s">
        <v>1149</v>
      </c>
      <c r="C30" s="62"/>
      <c r="D30" s="62"/>
      <c r="E30" s="62" t="s">
        <v>1150</v>
      </c>
      <c r="F30" s="62">
        <v>68</v>
      </c>
      <c r="G30" s="62" t="s">
        <v>48</v>
      </c>
      <c r="H30" s="62" t="s">
        <v>49</v>
      </c>
      <c r="I30" s="62" t="s">
        <v>52</v>
      </c>
      <c r="J30" s="62" t="s">
        <v>51</v>
      </c>
      <c r="K30" s="62" t="s">
        <v>52</v>
      </c>
      <c r="L30" s="63">
        <v>43510</v>
      </c>
      <c r="M30" s="62" t="s">
        <v>872</v>
      </c>
      <c r="N30" s="62" t="s">
        <v>980</v>
      </c>
      <c r="O30" s="62"/>
      <c r="P30" s="62"/>
      <c r="Q30" s="62" t="s">
        <v>382</v>
      </c>
      <c r="R30" s="62" t="s">
        <v>55</v>
      </c>
      <c r="S30" s="62" t="s">
        <v>52</v>
      </c>
      <c r="T30" s="62" t="s">
        <v>50</v>
      </c>
      <c r="U30" s="62" t="s">
        <v>975</v>
      </c>
    </row>
    <row r="31" spans="1:21" x14ac:dyDescent="0.2">
      <c r="A31" s="62" t="s">
        <v>47</v>
      </c>
      <c r="B31" s="62" t="s">
        <v>1149</v>
      </c>
      <c r="C31" s="62"/>
      <c r="D31" s="62"/>
      <c r="E31" s="62" t="s">
        <v>1150</v>
      </c>
      <c r="F31" s="62">
        <v>44</v>
      </c>
      <c r="G31" s="62" t="s">
        <v>48</v>
      </c>
      <c r="H31" s="62" t="s">
        <v>49</v>
      </c>
      <c r="I31" s="62" t="s">
        <v>50</v>
      </c>
      <c r="J31" s="62" t="s">
        <v>51</v>
      </c>
      <c r="K31" s="62" t="s">
        <v>52</v>
      </c>
      <c r="L31" s="63">
        <v>43514</v>
      </c>
      <c r="M31" s="62" t="s">
        <v>872</v>
      </c>
      <c r="N31" s="62" t="s">
        <v>964</v>
      </c>
      <c r="O31" s="62"/>
      <c r="P31" s="62"/>
      <c r="Q31" s="62" t="s">
        <v>53</v>
      </c>
      <c r="R31" s="62" t="s">
        <v>55</v>
      </c>
      <c r="S31" s="62" t="s">
        <v>52</v>
      </c>
      <c r="T31" s="62" t="s">
        <v>50</v>
      </c>
      <c r="U31" s="62" t="s">
        <v>975</v>
      </c>
    </row>
    <row r="32" spans="1:21" x14ac:dyDescent="0.2">
      <c r="A32" s="62" t="s">
        <v>504</v>
      </c>
      <c r="B32" s="62" t="s">
        <v>1149</v>
      </c>
      <c r="C32" s="62"/>
      <c r="D32" s="62"/>
      <c r="E32" s="62" t="s">
        <v>1150</v>
      </c>
      <c r="F32" s="62">
        <v>73</v>
      </c>
      <c r="G32" s="62" t="s">
        <v>71</v>
      </c>
      <c r="H32" s="62" t="s">
        <v>49</v>
      </c>
      <c r="I32" s="62" t="s">
        <v>50</v>
      </c>
      <c r="J32" s="62" t="s">
        <v>51</v>
      </c>
      <c r="K32" s="62" t="s">
        <v>50</v>
      </c>
      <c r="L32" s="63">
        <v>43536</v>
      </c>
      <c r="M32" s="62" t="s">
        <v>872</v>
      </c>
      <c r="N32" s="62" t="s">
        <v>980</v>
      </c>
      <c r="O32" s="62"/>
      <c r="P32" s="62"/>
      <c r="Q32" s="62" t="s">
        <v>382</v>
      </c>
      <c r="R32" s="62" t="s">
        <v>55</v>
      </c>
      <c r="S32" s="62" t="s">
        <v>55</v>
      </c>
      <c r="T32" s="62" t="s">
        <v>50</v>
      </c>
      <c r="U32" s="62" t="s">
        <v>975</v>
      </c>
    </row>
    <row r="33" spans="1:21" x14ac:dyDescent="0.2">
      <c r="A33" s="62" t="s">
        <v>454</v>
      </c>
      <c r="B33" s="62" t="s">
        <v>1149</v>
      </c>
      <c r="C33" s="62"/>
      <c r="D33" s="62"/>
      <c r="E33" s="62" t="s">
        <v>1150</v>
      </c>
      <c r="F33" s="62">
        <v>58</v>
      </c>
      <c r="G33" s="62" t="s">
        <v>48</v>
      </c>
      <c r="H33" s="62" t="s">
        <v>455</v>
      </c>
      <c r="I33" s="62" t="s">
        <v>50</v>
      </c>
      <c r="J33" s="62" t="s">
        <v>51</v>
      </c>
      <c r="K33" s="62" t="s">
        <v>50</v>
      </c>
      <c r="L33" s="63">
        <v>43573</v>
      </c>
      <c r="M33" s="62" t="s">
        <v>872</v>
      </c>
      <c r="N33" s="62" t="s">
        <v>997</v>
      </c>
      <c r="O33" s="62"/>
      <c r="P33" s="62" t="s">
        <v>1157</v>
      </c>
      <c r="Q33" s="62" t="s">
        <v>235</v>
      </c>
      <c r="R33" s="62" t="s">
        <v>52</v>
      </c>
      <c r="S33" s="62" t="s">
        <v>52</v>
      </c>
      <c r="T33" s="62" t="s">
        <v>50</v>
      </c>
      <c r="U33" s="62" t="s">
        <v>975</v>
      </c>
    </row>
    <row r="34" spans="1:21" x14ac:dyDescent="0.2">
      <c r="A34" s="62" t="s">
        <v>459</v>
      </c>
      <c r="B34" s="62" t="s">
        <v>1149</v>
      </c>
      <c r="C34" s="62"/>
      <c r="D34" s="62"/>
      <c r="E34" s="62" t="s">
        <v>1150</v>
      </c>
      <c r="F34" s="62">
        <v>60</v>
      </c>
      <c r="G34" s="62" t="s">
        <v>71</v>
      </c>
      <c r="H34" s="62" t="s">
        <v>49</v>
      </c>
      <c r="I34" s="62" t="s">
        <v>50</v>
      </c>
      <c r="J34" s="62" t="s">
        <v>51</v>
      </c>
      <c r="K34" s="62" t="s">
        <v>50</v>
      </c>
      <c r="L34" s="63">
        <v>43565</v>
      </c>
      <c r="M34" s="62" t="s">
        <v>872</v>
      </c>
      <c r="N34" s="62" t="s">
        <v>997</v>
      </c>
      <c r="O34" s="62"/>
      <c r="P34" s="62" t="s">
        <v>1161</v>
      </c>
      <c r="Q34" s="62" t="s">
        <v>87</v>
      </c>
      <c r="R34" s="62" t="s">
        <v>55</v>
      </c>
      <c r="S34" s="62" t="s">
        <v>55</v>
      </c>
      <c r="T34" s="62" t="s">
        <v>50</v>
      </c>
      <c r="U34" s="62" t="s">
        <v>1154</v>
      </c>
    </row>
    <row r="35" spans="1:21" x14ac:dyDescent="0.2">
      <c r="A35" s="62" t="s">
        <v>516</v>
      </c>
      <c r="B35" s="62" t="s">
        <v>1149</v>
      </c>
      <c r="C35" s="62"/>
      <c r="D35" s="62"/>
      <c r="E35" s="62" t="s">
        <v>1150</v>
      </c>
      <c r="F35" s="62">
        <v>74</v>
      </c>
      <c r="G35" s="62" t="s">
        <v>71</v>
      </c>
      <c r="H35" s="62" t="s">
        <v>49</v>
      </c>
      <c r="I35" s="62" t="s">
        <v>52</v>
      </c>
      <c r="J35" s="62" t="s">
        <v>51</v>
      </c>
      <c r="K35" s="62" t="s">
        <v>52</v>
      </c>
      <c r="L35" s="63">
        <v>43916</v>
      </c>
      <c r="M35" s="62" t="s">
        <v>872</v>
      </c>
      <c r="N35" s="62" t="s">
        <v>997</v>
      </c>
      <c r="O35" s="62"/>
      <c r="P35" s="62" t="s">
        <v>1162</v>
      </c>
      <c r="Q35" s="62" t="s">
        <v>235</v>
      </c>
      <c r="R35" s="62" t="s">
        <v>55</v>
      </c>
      <c r="S35" s="62" t="s">
        <v>55</v>
      </c>
      <c r="T35" s="62" t="s">
        <v>50</v>
      </c>
      <c r="U35" s="62" t="s">
        <v>975</v>
      </c>
    </row>
    <row r="36" spans="1:21" x14ac:dyDescent="0.2">
      <c r="A36" s="62" t="s">
        <v>70</v>
      </c>
      <c r="B36" s="62" t="s">
        <v>1149</v>
      </c>
      <c r="C36" s="62"/>
      <c r="D36" s="62"/>
      <c r="E36" s="62" t="s">
        <v>1150</v>
      </c>
      <c r="F36" s="62">
        <v>51</v>
      </c>
      <c r="G36" s="62" t="s">
        <v>71</v>
      </c>
      <c r="H36" s="62" t="s">
        <v>49</v>
      </c>
      <c r="I36" s="62" t="s">
        <v>52</v>
      </c>
      <c r="J36" s="62" t="s">
        <v>51</v>
      </c>
      <c r="K36" s="62" t="s">
        <v>52</v>
      </c>
      <c r="L36" s="63">
        <v>43656</v>
      </c>
      <c r="M36" s="62" t="s">
        <v>872</v>
      </c>
      <c r="N36" s="62" t="s">
        <v>980</v>
      </c>
      <c r="O36" s="62"/>
      <c r="P36" s="62"/>
      <c r="Q36" s="62" t="s">
        <v>72</v>
      </c>
      <c r="R36" s="62" t="s">
        <v>55</v>
      </c>
      <c r="S36" s="62" t="s">
        <v>55</v>
      </c>
      <c r="T36" s="62" t="s">
        <v>50</v>
      </c>
      <c r="U36" s="62" t="s">
        <v>1154</v>
      </c>
    </row>
    <row r="37" spans="1:21" x14ac:dyDescent="0.2">
      <c r="A37" s="62" t="s">
        <v>86</v>
      </c>
      <c r="B37" s="62" t="s">
        <v>1149</v>
      </c>
      <c r="C37" s="62"/>
      <c r="D37" s="62"/>
      <c r="E37" s="62" t="s">
        <v>1150</v>
      </c>
      <c r="F37" s="62">
        <v>71</v>
      </c>
      <c r="G37" s="62" t="s">
        <v>48</v>
      </c>
      <c r="H37" s="62" t="s">
        <v>49</v>
      </c>
      <c r="I37" s="62" t="s">
        <v>50</v>
      </c>
      <c r="J37" s="62" t="s">
        <v>51</v>
      </c>
      <c r="K37" s="62" t="s">
        <v>52</v>
      </c>
      <c r="L37" s="63">
        <v>43972</v>
      </c>
      <c r="M37" s="62" t="s">
        <v>872</v>
      </c>
      <c r="N37" s="62" t="s">
        <v>964</v>
      </c>
      <c r="O37" s="62"/>
      <c r="P37" s="62"/>
      <c r="Q37" s="62" t="s">
        <v>87</v>
      </c>
      <c r="R37" s="62" t="s">
        <v>55</v>
      </c>
      <c r="S37" s="62" t="s">
        <v>55</v>
      </c>
      <c r="T37" s="62" t="s">
        <v>50</v>
      </c>
      <c r="U37" s="62" t="s">
        <v>1154</v>
      </c>
    </row>
    <row r="38" spans="1:21" x14ac:dyDescent="0.2">
      <c r="A38" s="62" t="s">
        <v>98</v>
      </c>
      <c r="B38" s="62" t="s">
        <v>1149</v>
      </c>
      <c r="C38" s="62"/>
      <c r="D38" s="62"/>
      <c r="E38" s="62" t="s">
        <v>1150</v>
      </c>
      <c r="F38" s="62">
        <v>75</v>
      </c>
      <c r="G38" s="62" t="s">
        <v>71</v>
      </c>
      <c r="H38" s="62" t="s">
        <v>49</v>
      </c>
      <c r="I38" s="62" t="s">
        <v>50</v>
      </c>
      <c r="J38" s="62" t="s">
        <v>51</v>
      </c>
      <c r="K38" s="62" t="s">
        <v>52</v>
      </c>
      <c r="L38" s="63">
        <v>43974</v>
      </c>
      <c r="M38" s="62" t="s">
        <v>919</v>
      </c>
      <c r="N38" s="62" t="s">
        <v>980</v>
      </c>
      <c r="O38" s="62"/>
      <c r="P38" s="62"/>
      <c r="Q38" s="62" t="s">
        <v>99</v>
      </c>
      <c r="R38" s="62" t="s">
        <v>55</v>
      </c>
      <c r="S38" s="62" t="s">
        <v>52</v>
      </c>
      <c r="T38" s="62" t="s">
        <v>50</v>
      </c>
      <c r="U38" s="62" t="s">
        <v>975</v>
      </c>
    </row>
    <row r="39" spans="1:21" x14ac:dyDescent="0.2">
      <c r="A39" s="62" t="s">
        <v>517</v>
      </c>
      <c r="B39" s="62" t="s">
        <v>1149</v>
      </c>
      <c r="C39" s="62"/>
      <c r="D39" s="62"/>
      <c r="E39" s="62" t="s">
        <v>1150</v>
      </c>
      <c r="F39" s="62">
        <v>47</v>
      </c>
      <c r="G39" s="62" t="s">
        <v>71</v>
      </c>
      <c r="H39" s="62" t="s">
        <v>49</v>
      </c>
      <c r="I39" s="62" t="s">
        <v>50</v>
      </c>
      <c r="J39" s="62" t="s">
        <v>51</v>
      </c>
      <c r="K39" s="62" t="s">
        <v>50</v>
      </c>
      <c r="L39" s="63">
        <v>44089</v>
      </c>
      <c r="M39" s="62" t="s">
        <v>905</v>
      </c>
      <c r="N39" s="62" t="s">
        <v>993</v>
      </c>
      <c r="O39" s="62"/>
      <c r="P39" s="62"/>
      <c r="Q39" s="62" t="s">
        <v>382</v>
      </c>
      <c r="R39" s="62" t="s">
        <v>55</v>
      </c>
      <c r="S39" s="62" t="s">
        <v>52</v>
      </c>
      <c r="T39" s="62" t="s">
        <v>50</v>
      </c>
      <c r="U39" s="62" t="s">
        <v>1154</v>
      </c>
    </row>
    <row r="40" spans="1:21" x14ac:dyDescent="0.2">
      <c r="A40" s="62" t="s">
        <v>518</v>
      </c>
      <c r="B40" s="62" t="s">
        <v>1149</v>
      </c>
      <c r="C40" s="62"/>
      <c r="D40" s="62"/>
      <c r="E40" s="62" t="s">
        <v>1150</v>
      </c>
      <c r="F40" s="62">
        <v>76</v>
      </c>
      <c r="G40" s="62" t="s">
        <v>48</v>
      </c>
      <c r="H40" s="62" t="s">
        <v>49</v>
      </c>
      <c r="I40" s="62" t="s">
        <v>52</v>
      </c>
      <c r="J40" s="62" t="s">
        <v>51</v>
      </c>
      <c r="K40" s="62" t="s">
        <v>50</v>
      </c>
      <c r="L40" s="63">
        <v>44105</v>
      </c>
      <c r="M40" s="62" t="s">
        <v>872</v>
      </c>
      <c r="N40" s="62" t="s">
        <v>964</v>
      </c>
      <c r="O40" s="62"/>
      <c r="P40" s="62"/>
      <c r="Q40" s="62" t="s">
        <v>87</v>
      </c>
      <c r="R40" s="62" t="s">
        <v>55</v>
      </c>
      <c r="S40" s="62" t="s">
        <v>55</v>
      </c>
      <c r="T40" s="62" t="s">
        <v>50</v>
      </c>
      <c r="U40" s="62" t="s">
        <v>975</v>
      </c>
    </row>
    <row r="41" spans="1:21" x14ac:dyDescent="0.2">
      <c r="A41" s="62" t="s">
        <v>109</v>
      </c>
      <c r="B41" s="62" t="s">
        <v>1149</v>
      </c>
      <c r="C41" s="62"/>
      <c r="D41" s="62"/>
      <c r="E41" s="62" t="s">
        <v>1163</v>
      </c>
      <c r="F41" s="62">
        <v>70</v>
      </c>
      <c r="G41" s="62" t="s">
        <v>48</v>
      </c>
      <c r="H41" s="62" t="s">
        <v>49</v>
      </c>
      <c r="I41" s="62" t="s">
        <v>52</v>
      </c>
      <c r="J41" s="62" t="s">
        <v>51</v>
      </c>
      <c r="K41" s="62" t="s">
        <v>52</v>
      </c>
      <c r="L41" s="63">
        <v>42774</v>
      </c>
      <c r="M41" s="62" t="s">
        <v>872</v>
      </c>
      <c r="N41" s="62" t="s">
        <v>993</v>
      </c>
      <c r="O41" s="62"/>
      <c r="P41" s="62"/>
      <c r="Q41" s="62" t="s">
        <v>110</v>
      </c>
      <c r="R41" s="62" t="s">
        <v>55</v>
      </c>
      <c r="S41" s="62" t="s">
        <v>52</v>
      </c>
      <c r="T41" s="62" t="s">
        <v>50</v>
      </c>
      <c r="U41" s="62" t="s">
        <v>975</v>
      </c>
    </row>
    <row r="42" spans="1:21" x14ac:dyDescent="0.2">
      <c r="A42" s="62" t="s">
        <v>464</v>
      </c>
      <c r="B42" s="62" t="s">
        <v>1149</v>
      </c>
      <c r="C42" s="62"/>
      <c r="D42" s="62"/>
      <c r="E42" s="62" t="s">
        <v>1163</v>
      </c>
      <c r="F42" s="62">
        <v>46</v>
      </c>
      <c r="G42" s="62" t="s">
        <v>71</v>
      </c>
      <c r="H42" s="62" t="s">
        <v>49</v>
      </c>
      <c r="I42" s="62" t="s">
        <v>50</v>
      </c>
      <c r="J42" s="62" t="s">
        <v>51</v>
      </c>
      <c r="K42" s="62" t="s">
        <v>50</v>
      </c>
      <c r="L42" s="63">
        <v>42970</v>
      </c>
      <c r="M42" s="62" t="s">
        <v>872</v>
      </c>
      <c r="N42" s="62" t="s">
        <v>980</v>
      </c>
      <c r="O42" s="62"/>
      <c r="P42" s="62"/>
      <c r="Q42" s="62" t="s">
        <v>72</v>
      </c>
      <c r="R42" s="62" t="s">
        <v>55</v>
      </c>
      <c r="S42" s="62" t="s">
        <v>55</v>
      </c>
      <c r="T42" s="62" t="s">
        <v>50</v>
      </c>
      <c r="U42" s="62" t="s">
        <v>975</v>
      </c>
    </row>
    <row r="43" spans="1:21" x14ac:dyDescent="0.2">
      <c r="A43" s="62" t="s">
        <v>407</v>
      </c>
      <c r="B43" s="62" t="s">
        <v>1149</v>
      </c>
      <c r="C43" s="62"/>
      <c r="D43" s="62"/>
      <c r="E43" s="62" t="s">
        <v>1163</v>
      </c>
      <c r="F43" s="62">
        <v>56</v>
      </c>
      <c r="G43" s="62" t="s">
        <v>71</v>
      </c>
      <c r="H43" s="62" t="s">
        <v>49</v>
      </c>
      <c r="I43" s="62" t="s">
        <v>52</v>
      </c>
      <c r="J43" s="62" t="s">
        <v>51</v>
      </c>
      <c r="K43" s="62" t="s">
        <v>52</v>
      </c>
      <c r="L43" s="63">
        <v>42991</v>
      </c>
      <c r="M43" s="62" t="s">
        <v>872</v>
      </c>
      <c r="N43" s="62" t="s">
        <v>964</v>
      </c>
      <c r="O43" s="62"/>
      <c r="P43" s="62"/>
      <c r="Q43" s="62" t="s">
        <v>183</v>
      </c>
      <c r="R43" s="62" t="s">
        <v>55</v>
      </c>
      <c r="S43" s="62" t="s">
        <v>55</v>
      </c>
      <c r="T43" s="62" t="s">
        <v>50</v>
      </c>
      <c r="U43" s="62" t="s">
        <v>975</v>
      </c>
    </row>
    <row r="44" spans="1:21" x14ac:dyDescent="0.2">
      <c r="A44" s="62" t="s">
        <v>519</v>
      </c>
      <c r="B44" s="62" t="s">
        <v>1149</v>
      </c>
      <c r="C44" s="62"/>
      <c r="D44" s="62"/>
      <c r="E44" s="62" t="s">
        <v>1163</v>
      </c>
      <c r="F44" s="62">
        <v>55</v>
      </c>
      <c r="G44" s="62" t="s">
        <v>48</v>
      </c>
      <c r="H44" s="62" t="s">
        <v>49</v>
      </c>
      <c r="I44" s="62" t="s">
        <v>52</v>
      </c>
      <c r="J44" s="62" t="s">
        <v>51</v>
      </c>
      <c r="K44" s="62" t="s">
        <v>50</v>
      </c>
      <c r="L44" s="63">
        <v>43034</v>
      </c>
      <c r="M44" s="62" t="s">
        <v>872</v>
      </c>
      <c r="N44" s="62" t="s">
        <v>964</v>
      </c>
      <c r="O44" s="62"/>
      <c r="P44" s="62"/>
      <c r="Q44" s="62" t="s">
        <v>912</v>
      </c>
      <c r="R44" s="62" t="s">
        <v>55</v>
      </c>
      <c r="S44" s="62" t="s">
        <v>55</v>
      </c>
      <c r="T44" s="62" t="s">
        <v>50</v>
      </c>
      <c r="U44" s="62" t="s">
        <v>975</v>
      </c>
    </row>
    <row r="45" spans="1:21" x14ac:dyDescent="0.2">
      <c r="A45" s="62" t="s">
        <v>468</v>
      </c>
      <c r="B45" s="62" t="s">
        <v>1149</v>
      </c>
      <c r="C45" s="62"/>
      <c r="D45" s="62"/>
      <c r="E45" s="62" t="s">
        <v>1163</v>
      </c>
      <c r="F45" s="62">
        <v>37</v>
      </c>
      <c r="G45" s="62" t="s">
        <v>71</v>
      </c>
      <c r="H45" s="62" t="s">
        <v>49</v>
      </c>
      <c r="I45" s="62" t="s">
        <v>50</v>
      </c>
      <c r="J45" s="62" t="s">
        <v>51</v>
      </c>
      <c r="K45" s="62" t="s">
        <v>52</v>
      </c>
      <c r="L45" s="63">
        <v>43039</v>
      </c>
      <c r="M45" s="62" t="s">
        <v>872</v>
      </c>
      <c r="N45" s="62" t="s">
        <v>993</v>
      </c>
      <c r="O45" s="62"/>
      <c r="P45" s="62"/>
      <c r="Q45" s="62" t="s">
        <v>447</v>
      </c>
      <c r="R45" s="62" t="s">
        <v>55</v>
      </c>
      <c r="S45" s="62" t="s">
        <v>52</v>
      </c>
      <c r="T45" s="62" t="s">
        <v>50</v>
      </c>
      <c r="U45" s="62" t="s">
        <v>1154</v>
      </c>
    </row>
    <row r="46" spans="1:21" x14ac:dyDescent="0.2">
      <c r="A46" s="62" t="s">
        <v>116</v>
      </c>
      <c r="B46" s="62" t="s">
        <v>1149</v>
      </c>
      <c r="C46" s="62"/>
      <c r="D46" s="62"/>
      <c r="E46" s="62" t="s">
        <v>1163</v>
      </c>
      <c r="F46" s="62">
        <v>55</v>
      </c>
      <c r="G46" s="62" t="s">
        <v>71</v>
      </c>
      <c r="H46" s="62" t="s">
        <v>49</v>
      </c>
      <c r="I46" s="62" t="s">
        <v>50</v>
      </c>
      <c r="J46" s="62" t="s">
        <v>51</v>
      </c>
      <c r="K46" s="62" t="s">
        <v>50</v>
      </c>
      <c r="L46" s="63">
        <v>43362</v>
      </c>
      <c r="M46" s="62" t="s">
        <v>872</v>
      </c>
      <c r="N46" s="62" t="s">
        <v>997</v>
      </c>
      <c r="O46" s="62"/>
      <c r="P46" s="62" t="s">
        <v>1164</v>
      </c>
      <c r="Q46" s="62" t="s">
        <v>117</v>
      </c>
      <c r="R46" s="62" t="s">
        <v>55</v>
      </c>
      <c r="S46" s="62" t="s">
        <v>52</v>
      </c>
      <c r="T46" s="62" t="s">
        <v>50</v>
      </c>
      <c r="U46" s="62" t="s">
        <v>1154</v>
      </c>
    </row>
    <row r="47" spans="1:21" x14ac:dyDescent="0.2">
      <c r="A47" s="62" t="s">
        <v>130</v>
      </c>
      <c r="B47" s="62" t="s">
        <v>1149</v>
      </c>
      <c r="C47" s="62"/>
      <c r="D47" s="62"/>
      <c r="E47" s="62" t="s">
        <v>1163</v>
      </c>
      <c r="F47" s="62">
        <v>49</v>
      </c>
      <c r="G47" s="62" t="s">
        <v>71</v>
      </c>
      <c r="H47" s="62" t="s">
        <v>49</v>
      </c>
      <c r="I47" s="62" t="s">
        <v>50</v>
      </c>
      <c r="J47" s="62" t="s">
        <v>51</v>
      </c>
      <c r="K47" s="62" t="s">
        <v>52</v>
      </c>
      <c r="L47" s="63">
        <v>43385</v>
      </c>
      <c r="M47" s="62" t="s">
        <v>872</v>
      </c>
      <c r="N47" s="62" t="s">
        <v>964</v>
      </c>
      <c r="O47" s="62"/>
      <c r="P47" s="62"/>
      <c r="Q47" s="62" t="s">
        <v>131</v>
      </c>
      <c r="R47" s="62" t="s">
        <v>55</v>
      </c>
      <c r="S47" s="62" t="s">
        <v>55</v>
      </c>
      <c r="T47" s="62" t="s">
        <v>50</v>
      </c>
      <c r="U47" s="62" t="s">
        <v>1154</v>
      </c>
    </row>
    <row r="48" spans="1:21" x14ac:dyDescent="0.2">
      <c r="A48" s="62" t="s">
        <v>145</v>
      </c>
      <c r="B48" s="62" t="s">
        <v>1149</v>
      </c>
      <c r="C48" s="62"/>
      <c r="D48" s="62"/>
      <c r="E48" s="62" t="s">
        <v>1165</v>
      </c>
      <c r="F48" s="62">
        <v>38</v>
      </c>
      <c r="G48" s="62" t="s">
        <v>48</v>
      </c>
      <c r="H48" s="62" t="s">
        <v>49</v>
      </c>
      <c r="I48" s="62" t="s">
        <v>50</v>
      </c>
      <c r="J48" s="62" t="s">
        <v>51</v>
      </c>
      <c r="K48" s="62" t="s">
        <v>52</v>
      </c>
      <c r="L48" s="63">
        <v>42867</v>
      </c>
      <c r="M48" s="62" t="s">
        <v>872</v>
      </c>
      <c r="N48" s="62" t="s">
        <v>980</v>
      </c>
      <c r="O48" s="62"/>
      <c r="P48" s="62"/>
      <c r="Q48" s="62" t="s">
        <v>146</v>
      </c>
      <c r="R48" s="62" t="s">
        <v>55</v>
      </c>
      <c r="S48" s="62" t="s">
        <v>55</v>
      </c>
      <c r="T48" s="62" t="s">
        <v>50</v>
      </c>
      <c r="U48" s="62" t="s">
        <v>1154</v>
      </c>
    </row>
    <row r="49" spans="1:21" x14ac:dyDescent="0.2">
      <c r="A49" s="62" t="s">
        <v>520</v>
      </c>
      <c r="B49" s="62" t="s">
        <v>1149</v>
      </c>
      <c r="C49" s="62"/>
      <c r="D49" s="62"/>
      <c r="E49" s="62" t="s">
        <v>1165</v>
      </c>
      <c r="F49" s="62">
        <v>55</v>
      </c>
      <c r="G49" s="62" t="s">
        <v>48</v>
      </c>
      <c r="H49" s="62" t="s">
        <v>49</v>
      </c>
      <c r="I49" s="62" t="s">
        <v>50</v>
      </c>
      <c r="J49" s="62" t="s">
        <v>51</v>
      </c>
      <c r="K49" s="62" t="s">
        <v>50</v>
      </c>
      <c r="L49" s="63">
        <v>42926</v>
      </c>
      <c r="M49" s="62" t="s">
        <v>919</v>
      </c>
      <c r="N49" s="62" t="s">
        <v>980</v>
      </c>
      <c r="O49" s="62"/>
      <c r="P49" s="62"/>
      <c r="Q49" s="62" t="s">
        <v>447</v>
      </c>
      <c r="R49" s="62" t="s">
        <v>52</v>
      </c>
      <c r="S49" s="62" t="s">
        <v>52</v>
      </c>
      <c r="T49" s="62" t="s">
        <v>50</v>
      </c>
      <c r="U49" s="62" t="s">
        <v>975</v>
      </c>
    </row>
    <row r="50" spans="1:21" x14ac:dyDescent="0.2">
      <c r="A50" s="62" t="s">
        <v>159</v>
      </c>
      <c r="B50" s="62" t="s">
        <v>1149</v>
      </c>
      <c r="C50" s="62"/>
      <c r="D50" s="62"/>
      <c r="E50" s="62" t="s">
        <v>1165</v>
      </c>
      <c r="F50" s="62">
        <v>63</v>
      </c>
      <c r="G50" s="62" t="s">
        <v>71</v>
      </c>
      <c r="H50" s="62" t="s">
        <v>49</v>
      </c>
      <c r="I50" s="62" t="s">
        <v>50</v>
      </c>
      <c r="J50" s="62" t="s">
        <v>51</v>
      </c>
      <c r="K50" s="62" t="s">
        <v>50</v>
      </c>
      <c r="L50" s="63">
        <v>43544</v>
      </c>
      <c r="M50" s="62" t="s">
        <v>919</v>
      </c>
      <c r="N50" s="62" t="s">
        <v>980</v>
      </c>
      <c r="O50" s="62"/>
      <c r="P50" s="62"/>
      <c r="Q50" s="62" t="s">
        <v>160</v>
      </c>
      <c r="R50" s="62" t="s">
        <v>55</v>
      </c>
      <c r="S50" s="62" t="s">
        <v>55</v>
      </c>
      <c r="T50" s="62" t="s">
        <v>50</v>
      </c>
      <c r="U50" s="62" t="s">
        <v>975</v>
      </c>
    </row>
    <row r="51" spans="1:21" x14ac:dyDescent="0.2">
      <c r="A51" s="62" t="s">
        <v>173</v>
      </c>
      <c r="B51" s="62" t="s">
        <v>1149</v>
      </c>
      <c r="C51" s="62"/>
      <c r="D51" s="62"/>
      <c r="E51" s="62" t="s">
        <v>1165</v>
      </c>
      <c r="F51" s="62">
        <v>49</v>
      </c>
      <c r="G51" s="62" t="s">
        <v>71</v>
      </c>
      <c r="H51" s="62" t="s">
        <v>49</v>
      </c>
      <c r="I51" s="62" t="s">
        <v>50</v>
      </c>
      <c r="J51" s="62" t="s">
        <v>51</v>
      </c>
      <c r="K51" s="62" t="s">
        <v>50</v>
      </c>
      <c r="L51" s="63">
        <v>43677</v>
      </c>
      <c r="M51" s="62" t="s">
        <v>997</v>
      </c>
      <c r="N51" s="62" t="s">
        <v>980</v>
      </c>
      <c r="O51" s="62" t="s">
        <v>1015</v>
      </c>
      <c r="P51" s="62"/>
      <c r="Q51" s="62" t="s">
        <v>87</v>
      </c>
      <c r="R51" s="62" t="s">
        <v>55</v>
      </c>
      <c r="S51" s="62" t="s">
        <v>55</v>
      </c>
      <c r="T51" s="62" t="s">
        <v>50</v>
      </c>
      <c r="U51" s="62" t="s">
        <v>975</v>
      </c>
    </row>
    <row r="52" spans="1:21" x14ac:dyDescent="0.2">
      <c r="A52" s="62" t="s">
        <v>521</v>
      </c>
      <c r="B52" s="62" t="s">
        <v>1149</v>
      </c>
      <c r="C52" s="62"/>
      <c r="D52" s="62"/>
      <c r="E52" s="62" t="s">
        <v>1165</v>
      </c>
      <c r="F52" s="62">
        <v>52</v>
      </c>
      <c r="G52" s="62" t="s">
        <v>71</v>
      </c>
      <c r="H52" s="62" t="s">
        <v>49</v>
      </c>
      <c r="I52" s="62" t="s">
        <v>52</v>
      </c>
      <c r="J52" s="62" t="s">
        <v>51</v>
      </c>
      <c r="K52" s="62" t="s">
        <v>52</v>
      </c>
      <c r="L52" s="63">
        <v>44097</v>
      </c>
      <c r="M52" s="62" t="s">
        <v>872</v>
      </c>
      <c r="N52" s="62" t="s">
        <v>980</v>
      </c>
      <c r="O52" s="62"/>
      <c r="P52" s="62"/>
      <c r="Q52" s="62" t="s">
        <v>246</v>
      </c>
      <c r="R52" s="62" t="s">
        <v>55</v>
      </c>
      <c r="S52" s="62" t="s">
        <v>55</v>
      </c>
      <c r="T52" s="62" t="s">
        <v>50</v>
      </c>
      <c r="U52" s="62" t="s">
        <v>975</v>
      </c>
    </row>
    <row r="53" spans="1:21" x14ac:dyDescent="0.2">
      <c r="A53" s="62" t="s">
        <v>182</v>
      </c>
      <c r="B53" s="62" t="s">
        <v>1149</v>
      </c>
      <c r="C53" s="62"/>
      <c r="D53" s="62"/>
      <c r="E53" s="62" t="s">
        <v>1166</v>
      </c>
      <c r="F53" s="62">
        <v>45</v>
      </c>
      <c r="G53" s="62" t="s">
        <v>71</v>
      </c>
      <c r="H53" s="62" t="s">
        <v>49</v>
      </c>
      <c r="I53" s="62" t="s">
        <v>50</v>
      </c>
      <c r="J53" s="62" t="s">
        <v>51</v>
      </c>
      <c r="K53" s="62" t="s">
        <v>52</v>
      </c>
      <c r="L53" s="63">
        <v>42892</v>
      </c>
      <c r="M53" s="62" t="s">
        <v>919</v>
      </c>
      <c r="N53" s="62" t="s">
        <v>980</v>
      </c>
      <c r="O53" s="62"/>
      <c r="P53" s="62"/>
      <c r="Q53" s="62" t="s">
        <v>183</v>
      </c>
      <c r="R53" s="62" t="s">
        <v>55</v>
      </c>
      <c r="S53" s="62" t="s">
        <v>52</v>
      </c>
      <c r="T53" s="62" t="s">
        <v>50</v>
      </c>
      <c r="U53" s="62" t="s">
        <v>1154</v>
      </c>
    </row>
    <row r="54" spans="1:21" x14ac:dyDescent="0.2">
      <c r="A54" s="62" t="s">
        <v>472</v>
      </c>
      <c r="B54" s="62" t="s">
        <v>1149</v>
      </c>
      <c r="C54" s="62"/>
      <c r="D54" s="62"/>
      <c r="E54" s="62" t="s">
        <v>1166</v>
      </c>
      <c r="F54" s="62">
        <v>42</v>
      </c>
      <c r="G54" s="62" t="s">
        <v>71</v>
      </c>
      <c r="H54" s="62" t="s">
        <v>49</v>
      </c>
      <c r="I54" s="62" t="s">
        <v>50</v>
      </c>
      <c r="J54" s="62" t="s">
        <v>51</v>
      </c>
      <c r="K54" s="62" t="s">
        <v>52</v>
      </c>
      <c r="L54" s="63">
        <v>42893</v>
      </c>
      <c r="M54" s="62" t="s">
        <v>919</v>
      </c>
      <c r="N54" s="62" t="s">
        <v>980</v>
      </c>
      <c r="O54" s="62"/>
      <c r="P54" s="62"/>
      <c r="Q54" s="62" t="s">
        <v>1167</v>
      </c>
      <c r="R54" s="62" t="s">
        <v>55</v>
      </c>
      <c r="S54" s="62" t="s">
        <v>55</v>
      </c>
      <c r="T54" s="62" t="s">
        <v>50</v>
      </c>
      <c r="U54" s="62" t="s">
        <v>1154</v>
      </c>
    </row>
    <row r="55" spans="1:21" x14ac:dyDescent="0.2">
      <c r="A55" s="62" t="s">
        <v>476</v>
      </c>
      <c r="B55" s="62" t="s">
        <v>1149</v>
      </c>
      <c r="C55" s="62"/>
      <c r="D55" s="62"/>
      <c r="E55" s="62" t="s">
        <v>1166</v>
      </c>
      <c r="F55" s="62">
        <v>76</v>
      </c>
      <c r="G55" s="62" t="s">
        <v>71</v>
      </c>
      <c r="H55" s="62" t="s">
        <v>49</v>
      </c>
      <c r="I55" s="62" t="s">
        <v>50</v>
      </c>
      <c r="J55" s="62" t="s">
        <v>51</v>
      </c>
      <c r="K55" s="62" t="s">
        <v>52</v>
      </c>
      <c r="L55" s="63">
        <v>43117</v>
      </c>
      <c r="M55" s="62" t="s">
        <v>919</v>
      </c>
      <c r="N55" s="62" t="s">
        <v>993</v>
      </c>
      <c r="O55" s="62"/>
      <c r="P55" s="62"/>
      <c r="Q55" s="62" t="s">
        <v>1168</v>
      </c>
      <c r="R55" s="62" t="s">
        <v>55</v>
      </c>
      <c r="S55" s="62" t="s">
        <v>55</v>
      </c>
      <c r="T55" s="62" t="s">
        <v>50</v>
      </c>
      <c r="U55" s="62" t="s">
        <v>975</v>
      </c>
    </row>
    <row r="56" spans="1:21" x14ac:dyDescent="0.2">
      <c r="A56" s="62" t="s">
        <v>479</v>
      </c>
      <c r="B56" s="62" t="s">
        <v>1149</v>
      </c>
      <c r="C56" s="62"/>
      <c r="D56" s="62"/>
      <c r="E56" s="62" t="s">
        <v>1166</v>
      </c>
      <c r="F56" s="62">
        <v>68</v>
      </c>
      <c r="G56" s="62" t="s">
        <v>71</v>
      </c>
      <c r="H56" s="62" t="s">
        <v>49</v>
      </c>
      <c r="I56" s="62" t="s">
        <v>50</v>
      </c>
      <c r="J56" s="62" t="s">
        <v>51</v>
      </c>
      <c r="K56" s="62" t="s">
        <v>50</v>
      </c>
      <c r="L56" s="63">
        <v>43118</v>
      </c>
      <c r="M56" s="62" t="s">
        <v>872</v>
      </c>
      <c r="N56" s="62" t="s">
        <v>980</v>
      </c>
      <c r="O56" s="62"/>
      <c r="P56" s="62"/>
      <c r="Q56" s="62" t="s">
        <v>246</v>
      </c>
      <c r="R56" s="62" t="s">
        <v>55</v>
      </c>
      <c r="S56" s="62" t="s">
        <v>55</v>
      </c>
      <c r="T56" s="62" t="s">
        <v>50</v>
      </c>
      <c r="U56" s="62" t="s">
        <v>975</v>
      </c>
    </row>
    <row r="57" spans="1:21" x14ac:dyDescent="0.2">
      <c r="A57" s="62" t="s">
        <v>522</v>
      </c>
      <c r="B57" s="62" t="s">
        <v>1149</v>
      </c>
      <c r="C57" s="62"/>
      <c r="D57" s="62"/>
      <c r="E57" s="62" t="s">
        <v>1166</v>
      </c>
      <c r="F57" s="62">
        <v>61</v>
      </c>
      <c r="G57" s="62" t="s">
        <v>71</v>
      </c>
      <c r="H57" s="62" t="s">
        <v>49</v>
      </c>
      <c r="I57" s="62" t="s">
        <v>50</v>
      </c>
      <c r="J57" s="62" t="s">
        <v>51</v>
      </c>
      <c r="K57" s="62" t="s">
        <v>52</v>
      </c>
      <c r="L57" s="63">
        <v>42753</v>
      </c>
      <c r="M57" s="62" t="s">
        <v>872</v>
      </c>
      <c r="N57" s="62" t="s">
        <v>964</v>
      </c>
      <c r="O57" s="62"/>
      <c r="P57" s="62"/>
      <c r="Q57" s="62" t="s">
        <v>214</v>
      </c>
      <c r="R57" s="62" t="s">
        <v>55</v>
      </c>
      <c r="S57" s="62" t="s">
        <v>55</v>
      </c>
      <c r="T57" s="62" t="s">
        <v>50</v>
      </c>
      <c r="U57" s="62" t="s">
        <v>1154</v>
      </c>
    </row>
    <row r="58" spans="1:21" x14ac:dyDescent="0.2">
      <c r="A58" s="62" t="s">
        <v>483</v>
      </c>
      <c r="B58" s="62" t="s">
        <v>1149</v>
      </c>
      <c r="C58" s="62"/>
      <c r="D58" s="62"/>
      <c r="E58" s="62" t="s">
        <v>1166</v>
      </c>
      <c r="F58" s="62">
        <v>39</v>
      </c>
      <c r="G58" s="62" t="s">
        <v>71</v>
      </c>
      <c r="H58" s="62" t="s">
        <v>49</v>
      </c>
      <c r="I58" s="62" t="s">
        <v>52</v>
      </c>
      <c r="J58" s="62" t="s">
        <v>51</v>
      </c>
      <c r="K58" s="62" t="s">
        <v>52</v>
      </c>
      <c r="L58" s="63">
        <v>43111</v>
      </c>
      <c r="M58" s="62" t="s">
        <v>872</v>
      </c>
      <c r="N58" s="62" t="s">
        <v>964</v>
      </c>
      <c r="O58" s="62"/>
      <c r="P58" s="62"/>
      <c r="Q58" s="62" t="s">
        <v>1169</v>
      </c>
      <c r="R58" s="62" t="s">
        <v>52</v>
      </c>
      <c r="S58" s="62" t="s">
        <v>55</v>
      </c>
      <c r="T58" s="62" t="s">
        <v>50</v>
      </c>
      <c r="U58" s="62" t="s">
        <v>975</v>
      </c>
    </row>
    <row r="59" spans="1:21" x14ac:dyDescent="0.2">
      <c r="A59" s="62" t="s">
        <v>192</v>
      </c>
      <c r="B59" s="62" t="s">
        <v>1149</v>
      </c>
      <c r="C59" s="62"/>
      <c r="D59" s="62"/>
      <c r="E59" s="62" t="s">
        <v>1166</v>
      </c>
      <c r="F59" s="62">
        <v>61</v>
      </c>
      <c r="G59" s="62" t="s">
        <v>71</v>
      </c>
      <c r="H59" s="62" t="s">
        <v>49</v>
      </c>
      <c r="I59" s="62" t="s">
        <v>52</v>
      </c>
      <c r="J59" s="62" t="s">
        <v>51</v>
      </c>
      <c r="K59" s="62" t="s">
        <v>52</v>
      </c>
      <c r="L59" s="63">
        <v>42887</v>
      </c>
      <c r="M59" s="62" t="s">
        <v>872</v>
      </c>
      <c r="N59" s="62" t="s">
        <v>964</v>
      </c>
      <c r="O59" s="62"/>
      <c r="P59" s="62"/>
      <c r="Q59" s="62" t="s">
        <v>1170</v>
      </c>
      <c r="R59" s="62" t="s">
        <v>55</v>
      </c>
      <c r="S59" s="62" t="s">
        <v>55</v>
      </c>
      <c r="T59" s="62" t="s">
        <v>50</v>
      </c>
      <c r="U59" s="62" t="s">
        <v>975</v>
      </c>
    </row>
    <row r="60" spans="1:21" x14ac:dyDescent="0.2">
      <c r="A60" s="62" t="s">
        <v>199</v>
      </c>
      <c r="B60" s="62" t="s">
        <v>1149</v>
      </c>
      <c r="C60" s="62"/>
      <c r="D60" s="62"/>
      <c r="E60" s="62" t="s">
        <v>1166</v>
      </c>
      <c r="F60" s="62">
        <v>60</v>
      </c>
      <c r="G60" s="62" t="s">
        <v>71</v>
      </c>
      <c r="H60" s="62" t="s">
        <v>49</v>
      </c>
      <c r="I60" s="62" t="s">
        <v>52</v>
      </c>
      <c r="J60" s="62" t="s">
        <v>51</v>
      </c>
      <c r="K60" s="62" t="s">
        <v>52</v>
      </c>
      <c r="L60" s="63">
        <v>43322</v>
      </c>
      <c r="M60" s="62" t="s">
        <v>872</v>
      </c>
      <c r="N60" s="62" t="s">
        <v>980</v>
      </c>
      <c r="O60" s="62"/>
      <c r="P60" s="62"/>
      <c r="Q60" s="62" t="s">
        <v>200</v>
      </c>
      <c r="R60" s="62" t="s">
        <v>52</v>
      </c>
      <c r="S60" s="62" t="s">
        <v>55</v>
      </c>
      <c r="T60" s="62" t="s">
        <v>50</v>
      </c>
      <c r="U60" s="62" t="s">
        <v>975</v>
      </c>
    </row>
    <row r="61" spans="1:21" x14ac:dyDescent="0.2">
      <c r="A61" s="62" t="s">
        <v>213</v>
      </c>
      <c r="B61" s="62" t="s">
        <v>1149</v>
      </c>
      <c r="C61" s="62"/>
      <c r="D61" s="62"/>
      <c r="E61" s="62" t="s">
        <v>1166</v>
      </c>
      <c r="F61" s="62">
        <v>62</v>
      </c>
      <c r="G61" s="62" t="s">
        <v>71</v>
      </c>
      <c r="H61" s="62" t="s">
        <v>49</v>
      </c>
      <c r="I61" s="62" t="s">
        <v>50</v>
      </c>
      <c r="J61" s="62" t="s">
        <v>51</v>
      </c>
      <c r="K61" s="62" t="s">
        <v>52</v>
      </c>
      <c r="L61" s="63">
        <v>43371</v>
      </c>
      <c r="M61" s="62" t="s">
        <v>919</v>
      </c>
      <c r="N61" s="62" t="s">
        <v>980</v>
      </c>
      <c r="O61" s="62"/>
      <c r="P61" s="62"/>
      <c r="Q61" s="62" t="s">
        <v>214</v>
      </c>
      <c r="R61" s="62" t="s">
        <v>55</v>
      </c>
      <c r="S61" s="62" t="s">
        <v>55</v>
      </c>
      <c r="T61" s="62" t="s">
        <v>50</v>
      </c>
      <c r="U61" s="62" t="s">
        <v>975</v>
      </c>
    </row>
    <row r="62" spans="1:21" x14ac:dyDescent="0.2">
      <c r="A62" s="62" t="s">
        <v>224</v>
      </c>
      <c r="B62" s="62" t="s">
        <v>1149</v>
      </c>
      <c r="C62" s="62"/>
      <c r="D62" s="62"/>
      <c r="E62" s="62" t="s">
        <v>1166</v>
      </c>
      <c r="F62" s="62">
        <v>59</v>
      </c>
      <c r="G62" s="62" t="s">
        <v>48</v>
      </c>
      <c r="H62" s="62" t="s">
        <v>49</v>
      </c>
      <c r="I62" s="62" t="s">
        <v>50</v>
      </c>
      <c r="J62" s="62" t="s">
        <v>51</v>
      </c>
      <c r="K62" s="62" t="s">
        <v>52</v>
      </c>
      <c r="L62" s="63">
        <v>43581</v>
      </c>
      <c r="M62" s="62" t="s">
        <v>872</v>
      </c>
      <c r="N62" s="62" t="s">
        <v>980</v>
      </c>
      <c r="O62" s="62"/>
      <c r="P62" s="62"/>
      <c r="Q62" s="62" t="s">
        <v>72</v>
      </c>
      <c r="R62" s="62" t="s">
        <v>55</v>
      </c>
      <c r="S62" s="62" t="s">
        <v>52</v>
      </c>
      <c r="T62" s="62" t="s">
        <v>50</v>
      </c>
      <c r="U62" s="62" t="s">
        <v>975</v>
      </c>
    </row>
    <row r="63" spans="1:21" x14ac:dyDescent="0.2">
      <c r="A63" s="62" t="s">
        <v>523</v>
      </c>
      <c r="B63" s="62" t="s">
        <v>1149</v>
      </c>
      <c r="C63" s="62"/>
      <c r="D63" s="62"/>
      <c r="E63" s="62" t="s">
        <v>1166</v>
      </c>
      <c r="F63" s="62">
        <v>60</v>
      </c>
      <c r="G63" s="62" t="s">
        <v>48</v>
      </c>
      <c r="H63" s="62" t="s">
        <v>49</v>
      </c>
      <c r="I63" s="62" t="s">
        <v>50</v>
      </c>
      <c r="J63" s="62" t="s">
        <v>51</v>
      </c>
      <c r="K63" s="62" t="s">
        <v>50</v>
      </c>
      <c r="L63" s="63">
        <v>43579</v>
      </c>
      <c r="M63" s="62" t="s">
        <v>872</v>
      </c>
      <c r="N63" s="62" t="s">
        <v>993</v>
      </c>
      <c r="O63" s="62"/>
      <c r="P63" s="62"/>
      <c r="Q63" s="62" t="s">
        <v>87</v>
      </c>
      <c r="R63" s="62" t="s">
        <v>55</v>
      </c>
      <c r="S63" s="62" t="s">
        <v>55</v>
      </c>
      <c r="T63" s="62" t="s">
        <v>50</v>
      </c>
      <c r="U63" s="62" t="s">
        <v>1154</v>
      </c>
    </row>
    <row r="64" spans="1:21" x14ac:dyDescent="0.2">
      <c r="A64" s="62" t="s">
        <v>524</v>
      </c>
      <c r="B64" s="62" t="s">
        <v>1149</v>
      </c>
      <c r="C64" s="62"/>
      <c r="D64" s="62"/>
      <c r="E64" s="62" t="s">
        <v>1166</v>
      </c>
      <c r="F64" s="62">
        <v>67</v>
      </c>
      <c r="G64" s="62" t="s">
        <v>71</v>
      </c>
      <c r="H64" s="62" t="s">
        <v>49</v>
      </c>
      <c r="I64" s="62" t="s">
        <v>50</v>
      </c>
      <c r="J64" s="62" t="s">
        <v>51</v>
      </c>
      <c r="K64" s="62" t="s">
        <v>52</v>
      </c>
      <c r="L64" s="63">
        <v>43630</v>
      </c>
      <c r="M64" s="62" t="s">
        <v>919</v>
      </c>
      <c r="N64" s="62" t="s">
        <v>993</v>
      </c>
      <c r="O64" s="62"/>
      <c r="P64" s="62"/>
      <c r="Q64" s="62" t="s">
        <v>1171</v>
      </c>
      <c r="R64" s="62" t="s">
        <v>55</v>
      </c>
      <c r="S64" s="62" t="s">
        <v>52</v>
      </c>
      <c r="T64" s="62" t="s">
        <v>50</v>
      </c>
      <c r="U64" s="62" t="s">
        <v>975</v>
      </c>
    </row>
    <row r="65" spans="1:21" x14ac:dyDescent="0.2">
      <c r="A65" s="62" t="s">
        <v>234</v>
      </c>
      <c r="B65" s="62" t="s">
        <v>1149</v>
      </c>
      <c r="C65" s="62"/>
      <c r="D65" s="62"/>
      <c r="E65" s="62" t="s">
        <v>1166</v>
      </c>
      <c r="F65" s="62">
        <v>44</v>
      </c>
      <c r="G65" s="62" t="s">
        <v>71</v>
      </c>
      <c r="H65" s="62" t="s">
        <v>49</v>
      </c>
      <c r="I65" s="62" t="s">
        <v>50</v>
      </c>
      <c r="J65" s="62" t="s">
        <v>51</v>
      </c>
      <c r="K65" s="62" t="s">
        <v>52</v>
      </c>
      <c r="L65" s="63">
        <v>43721</v>
      </c>
      <c r="M65" s="62" t="s">
        <v>872</v>
      </c>
      <c r="N65" s="62" t="s">
        <v>964</v>
      </c>
      <c r="O65" s="62"/>
      <c r="P65" s="62"/>
      <c r="Q65" s="62" t="s">
        <v>235</v>
      </c>
      <c r="R65" s="62" t="s">
        <v>55</v>
      </c>
      <c r="S65" s="62" t="s">
        <v>55</v>
      </c>
      <c r="T65" s="62" t="s">
        <v>50</v>
      </c>
      <c r="U65" s="62" t="s">
        <v>975</v>
      </c>
    </row>
    <row r="66" spans="1:21" x14ac:dyDescent="0.2">
      <c r="A66" s="62" t="s">
        <v>525</v>
      </c>
      <c r="B66" s="62" t="s">
        <v>1149</v>
      </c>
      <c r="C66" s="62"/>
      <c r="D66" s="62"/>
      <c r="E66" s="62" t="s">
        <v>1166</v>
      </c>
      <c r="F66" s="62">
        <v>72</v>
      </c>
      <c r="G66" s="62" t="s">
        <v>71</v>
      </c>
      <c r="H66" s="62" t="s">
        <v>49</v>
      </c>
      <c r="I66" s="62" t="s">
        <v>52</v>
      </c>
      <c r="J66" s="62" t="s">
        <v>51</v>
      </c>
      <c r="K66" s="62" t="s">
        <v>52</v>
      </c>
      <c r="L66" s="63">
        <v>43865</v>
      </c>
      <c r="M66" s="62" t="s">
        <v>872</v>
      </c>
      <c r="N66" s="62" t="s">
        <v>980</v>
      </c>
      <c r="O66" s="62"/>
      <c r="P66" s="62"/>
      <c r="Q66" s="62" t="s">
        <v>1172</v>
      </c>
      <c r="R66" s="62" t="s">
        <v>55</v>
      </c>
      <c r="S66" s="62" t="s">
        <v>52</v>
      </c>
      <c r="T66" s="62" t="s">
        <v>50</v>
      </c>
      <c r="U66" s="62" t="s">
        <v>975</v>
      </c>
    </row>
    <row r="67" spans="1:21" x14ac:dyDescent="0.2">
      <c r="A67" s="62" t="s">
        <v>241</v>
      </c>
      <c r="B67" s="62" t="s">
        <v>1149</v>
      </c>
      <c r="C67" s="62"/>
      <c r="D67" s="62"/>
      <c r="E67" s="62" t="s">
        <v>1166</v>
      </c>
      <c r="F67" s="62">
        <v>50</v>
      </c>
      <c r="G67" s="62" t="s">
        <v>71</v>
      </c>
      <c r="H67" s="62" t="s">
        <v>49</v>
      </c>
      <c r="I67" s="62" t="s">
        <v>50</v>
      </c>
      <c r="J67" s="62" t="s">
        <v>51</v>
      </c>
      <c r="K67" s="62" t="s">
        <v>50</v>
      </c>
      <c r="L67" s="63">
        <v>44054</v>
      </c>
      <c r="M67" s="62" t="s">
        <v>872</v>
      </c>
      <c r="N67" s="62" t="s">
        <v>980</v>
      </c>
      <c r="O67" s="62"/>
      <c r="P67" s="62"/>
      <c r="Q67" s="62" t="s">
        <v>242</v>
      </c>
      <c r="R67" s="62" t="s">
        <v>55</v>
      </c>
      <c r="S67" s="62" t="s">
        <v>52</v>
      </c>
      <c r="T67" s="62" t="s">
        <v>50</v>
      </c>
      <c r="U67" s="62" t="s">
        <v>1154</v>
      </c>
    </row>
    <row r="68" spans="1:21" x14ac:dyDescent="0.2">
      <c r="A68" s="62" t="s">
        <v>526</v>
      </c>
      <c r="B68" s="62" t="s">
        <v>1149</v>
      </c>
      <c r="C68" s="62"/>
      <c r="D68" s="62"/>
      <c r="E68" s="62" t="s">
        <v>1166</v>
      </c>
      <c r="F68" s="62">
        <v>80</v>
      </c>
      <c r="G68" s="62" t="s">
        <v>71</v>
      </c>
      <c r="H68" s="62" t="s">
        <v>49</v>
      </c>
      <c r="I68" s="62" t="s">
        <v>50</v>
      </c>
      <c r="J68" s="62" t="s">
        <v>51</v>
      </c>
      <c r="K68" s="62" t="s">
        <v>52</v>
      </c>
      <c r="L68" s="63">
        <v>44106</v>
      </c>
      <c r="M68" s="62" t="s">
        <v>919</v>
      </c>
      <c r="N68" s="62" t="s">
        <v>993</v>
      </c>
      <c r="O68" s="62"/>
      <c r="P68" s="62"/>
      <c r="Q68" s="62" t="s">
        <v>1173</v>
      </c>
      <c r="R68" s="62" t="s">
        <v>55</v>
      </c>
      <c r="S68" s="62" t="s">
        <v>55</v>
      </c>
      <c r="T68" s="62" t="s">
        <v>50</v>
      </c>
      <c r="U68" s="62" t="s">
        <v>975</v>
      </c>
    </row>
    <row r="69" spans="1:21" x14ac:dyDescent="0.2">
      <c r="A69" s="62" t="s">
        <v>487</v>
      </c>
      <c r="B69" s="62" t="s">
        <v>1149</v>
      </c>
      <c r="C69" s="62"/>
      <c r="D69" s="62"/>
      <c r="E69" s="62" t="s">
        <v>1174</v>
      </c>
      <c r="F69" s="62">
        <v>71</v>
      </c>
      <c r="G69" s="62" t="s">
        <v>48</v>
      </c>
      <c r="H69" s="62" t="s">
        <v>49</v>
      </c>
      <c r="I69" s="62" t="s">
        <v>50</v>
      </c>
      <c r="J69" s="62" t="s">
        <v>51</v>
      </c>
      <c r="K69" s="62" t="s">
        <v>52</v>
      </c>
      <c r="L69" s="63">
        <v>43321</v>
      </c>
      <c r="M69" s="62" t="s">
        <v>872</v>
      </c>
      <c r="N69" s="62" t="s">
        <v>980</v>
      </c>
      <c r="O69" s="62"/>
      <c r="P69" s="62"/>
      <c r="Q69" s="62" t="s">
        <v>929</v>
      </c>
      <c r="R69" s="62" t="s">
        <v>55</v>
      </c>
      <c r="S69" s="62" t="s">
        <v>55</v>
      </c>
      <c r="T69" s="62" t="s">
        <v>50</v>
      </c>
      <c r="U69" s="62" t="s">
        <v>1154</v>
      </c>
    </row>
    <row r="70" spans="1:21" x14ac:dyDescent="0.2">
      <c r="A70" s="62" t="s">
        <v>492</v>
      </c>
      <c r="B70" s="62" t="s">
        <v>1149</v>
      </c>
      <c r="C70" s="62"/>
      <c r="D70" s="62"/>
      <c r="E70" s="62" t="s">
        <v>1174</v>
      </c>
      <c r="F70" s="62">
        <v>62</v>
      </c>
      <c r="G70" s="62" t="s">
        <v>71</v>
      </c>
      <c r="H70" s="62" t="s">
        <v>49</v>
      </c>
      <c r="I70" s="62" t="s">
        <v>52</v>
      </c>
      <c r="J70" s="62" t="s">
        <v>51</v>
      </c>
      <c r="K70" s="62" t="s">
        <v>50</v>
      </c>
      <c r="L70" s="63">
        <v>43341</v>
      </c>
      <c r="M70" s="62" t="s">
        <v>872</v>
      </c>
      <c r="N70" s="62" t="s">
        <v>980</v>
      </c>
      <c r="O70" s="62"/>
      <c r="P70" s="62"/>
      <c r="Q70" s="62" t="s">
        <v>493</v>
      </c>
      <c r="R70" s="62" t="s">
        <v>55</v>
      </c>
      <c r="S70" s="62" t="s">
        <v>52</v>
      </c>
      <c r="T70" s="62" t="s">
        <v>50</v>
      </c>
      <c r="U70" s="62" t="s">
        <v>1154</v>
      </c>
    </row>
    <row r="71" spans="1:21" x14ac:dyDescent="0.2">
      <c r="A71" s="62" t="s">
        <v>245</v>
      </c>
      <c r="B71" s="62" t="s">
        <v>1149</v>
      </c>
      <c r="C71" s="62"/>
      <c r="D71" s="62"/>
      <c r="E71" s="62" t="s">
        <v>1174</v>
      </c>
      <c r="F71" s="62">
        <v>35</v>
      </c>
      <c r="G71" s="62" t="s">
        <v>71</v>
      </c>
      <c r="H71" s="62" t="s">
        <v>49</v>
      </c>
      <c r="I71" s="62" t="s">
        <v>52</v>
      </c>
      <c r="J71" s="62" t="s">
        <v>51</v>
      </c>
      <c r="K71" s="62" t="s">
        <v>52</v>
      </c>
      <c r="L71" s="63">
        <v>43473</v>
      </c>
      <c r="M71" s="62" t="s">
        <v>872</v>
      </c>
      <c r="N71" s="62" t="s">
        <v>964</v>
      </c>
      <c r="O71" s="62"/>
      <c r="P71" s="62"/>
      <c r="Q71" s="62" t="s">
        <v>246</v>
      </c>
      <c r="R71" s="62" t="s">
        <v>55</v>
      </c>
      <c r="S71" s="62" t="s">
        <v>52</v>
      </c>
      <c r="T71" s="62" t="s">
        <v>50</v>
      </c>
      <c r="U71" s="62" t="s">
        <v>975</v>
      </c>
    </row>
    <row r="72" spans="1:21" x14ac:dyDescent="0.2">
      <c r="A72" s="62" t="s">
        <v>253</v>
      </c>
      <c r="B72" s="62" t="s">
        <v>1149</v>
      </c>
      <c r="C72" s="62"/>
      <c r="D72" s="62"/>
      <c r="E72" s="62" t="s">
        <v>1174</v>
      </c>
      <c r="F72" s="62">
        <v>33</v>
      </c>
      <c r="G72" s="62" t="s">
        <v>71</v>
      </c>
      <c r="H72" s="62" t="s">
        <v>49</v>
      </c>
      <c r="I72" s="62" t="s">
        <v>50</v>
      </c>
      <c r="J72" s="62" t="s">
        <v>51</v>
      </c>
      <c r="K72" s="62" t="s">
        <v>52</v>
      </c>
      <c r="L72" s="63">
        <v>43405</v>
      </c>
      <c r="M72" s="62" t="s">
        <v>872</v>
      </c>
      <c r="N72" s="62" t="s">
        <v>980</v>
      </c>
      <c r="O72" s="62"/>
      <c r="P72" s="62"/>
      <c r="Q72" s="62" t="s">
        <v>254</v>
      </c>
      <c r="R72" s="62" t="s">
        <v>55</v>
      </c>
      <c r="S72" s="62" t="s">
        <v>55</v>
      </c>
      <c r="T72" s="62" t="s">
        <v>50</v>
      </c>
      <c r="U72" s="62" t="s">
        <v>1154</v>
      </c>
    </row>
    <row r="73" spans="1:21" x14ac:dyDescent="0.2">
      <c r="A73" s="62" t="s">
        <v>264</v>
      </c>
      <c r="B73" s="62" t="s">
        <v>1149</v>
      </c>
      <c r="C73" s="62"/>
      <c r="D73" s="62"/>
      <c r="E73" s="62" t="s">
        <v>1174</v>
      </c>
      <c r="F73" s="62">
        <v>55</v>
      </c>
      <c r="G73" s="62" t="s">
        <v>71</v>
      </c>
      <c r="H73" s="62" t="s">
        <v>49</v>
      </c>
      <c r="I73" s="62" t="s">
        <v>50</v>
      </c>
      <c r="J73" s="62" t="s">
        <v>55</v>
      </c>
      <c r="K73" s="62" t="s">
        <v>50</v>
      </c>
      <c r="L73" s="63">
        <v>43510</v>
      </c>
      <c r="M73" s="62" t="s">
        <v>872</v>
      </c>
      <c r="N73" s="62" t="s">
        <v>1053</v>
      </c>
      <c r="O73" s="62"/>
      <c r="P73" s="62"/>
      <c r="Q73" s="62" t="s">
        <v>265</v>
      </c>
      <c r="R73" s="62" t="s">
        <v>55</v>
      </c>
      <c r="S73" s="62" t="s">
        <v>55</v>
      </c>
      <c r="T73" s="62" t="s">
        <v>50</v>
      </c>
      <c r="U73" s="62" t="s">
        <v>1154</v>
      </c>
    </row>
    <row r="74" spans="1:21" x14ac:dyDescent="0.2">
      <c r="A74" s="62" t="s">
        <v>527</v>
      </c>
      <c r="B74" s="62" t="s">
        <v>1149</v>
      </c>
      <c r="C74" s="62"/>
      <c r="D74" s="62"/>
      <c r="E74" s="62" t="s">
        <v>1174</v>
      </c>
      <c r="F74" s="62">
        <v>57</v>
      </c>
      <c r="G74" s="62" t="s">
        <v>71</v>
      </c>
      <c r="H74" s="62" t="s">
        <v>49</v>
      </c>
      <c r="I74" s="62" t="s">
        <v>50</v>
      </c>
      <c r="J74" s="62" t="s">
        <v>55</v>
      </c>
      <c r="K74" s="62" t="s">
        <v>50</v>
      </c>
      <c r="L74" s="63">
        <v>43692</v>
      </c>
      <c r="M74" s="62" t="s">
        <v>872</v>
      </c>
      <c r="N74" s="62" t="s">
        <v>997</v>
      </c>
      <c r="O74" s="62"/>
      <c r="P74" s="62" t="s">
        <v>1161</v>
      </c>
      <c r="Q74" s="62" t="s">
        <v>934</v>
      </c>
      <c r="R74" s="62" t="s">
        <v>55</v>
      </c>
      <c r="S74" s="62" t="s">
        <v>52</v>
      </c>
      <c r="T74" s="62" t="s">
        <v>50</v>
      </c>
      <c r="U74" s="62" t="s">
        <v>1154</v>
      </c>
    </row>
    <row r="75" spans="1:21" x14ac:dyDescent="0.2">
      <c r="A75" s="62" t="s">
        <v>272</v>
      </c>
      <c r="B75" s="62" t="s">
        <v>1149</v>
      </c>
      <c r="C75" s="62"/>
      <c r="D75" s="62"/>
      <c r="E75" s="62" t="s">
        <v>1174</v>
      </c>
      <c r="F75" s="62">
        <v>59</v>
      </c>
      <c r="G75" s="62" t="s">
        <v>71</v>
      </c>
      <c r="H75" s="62" t="s">
        <v>49</v>
      </c>
      <c r="I75" s="62" t="s">
        <v>50</v>
      </c>
      <c r="J75" s="62" t="s">
        <v>51</v>
      </c>
      <c r="K75" s="62" t="s">
        <v>50</v>
      </c>
      <c r="L75" s="63">
        <v>43740</v>
      </c>
      <c r="M75" s="62" t="s">
        <v>872</v>
      </c>
      <c r="N75" s="62" t="s">
        <v>964</v>
      </c>
      <c r="O75" s="62"/>
      <c r="P75" s="62"/>
      <c r="Q75" s="62" t="s">
        <v>99</v>
      </c>
      <c r="R75" s="62" t="s">
        <v>55</v>
      </c>
      <c r="S75" s="62" t="s">
        <v>55</v>
      </c>
      <c r="T75" s="62" t="s">
        <v>50</v>
      </c>
      <c r="U75" s="62" t="s">
        <v>975</v>
      </c>
    </row>
    <row r="76" spans="1:21" x14ac:dyDescent="0.2">
      <c r="A76" s="62" t="s">
        <v>282</v>
      </c>
      <c r="B76" s="62" t="s">
        <v>1149</v>
      </c>
      <c r="C76" s="62"/>
      <c r="D76" s="62"/>
      <c r="E76" s="62" t="s">
        <v>1174</v>
      </c>
      <c r="F76" s="62">
        <v>52</v>
      </c>
      <c r="G76" s="62" t="s">
        <v>71</v>
      </c>
      <c r="H76" s="62" t="s">
        <v>49</v>
      </c>
      <c r="I76" s="62" t="s">
        <v>50</v>
      </c>
      <c r="J76" s="62" t="s">
        <v>51</v>
      </c>
      <c r="K76" s="62" t="s">
        <v>50</v>
      </c>
      <c r="L76" s="63">
        <v>43759</v>
      </c>
      <c r="M76" s="62" t="s">
        <v>919</v>
      </c>
      <c r="N76" s="62" t="s">
        <v>964</v>
      </c>
      <c r="O76" s="62"/>
      <c r="P76" s="62"/>
      <c r="Q76" s="62" t="s">
        <v>99</v>
      </c>
      <c r="R76" s="62" t="s">
        <v>55</v>
      </c>
      <c r="S76" s="62" t="s">
        <v>55</v>
      </c>
      <c r="T76" s="62" t="s">
        <v>50</v>
      </c>
      <c r="U76" s="62" t="s">
        <v>1154</v>
      </c>
    </row>
    <row r="77" spans="1:21" x14ac:dyDescent="0.2">
      <c r="A77" s="62" t="s">
        <v>289</v>
      </c>
      <c r="B77" s="62" t="s">
        <v>1149</v>
      </c>
      <c r="C77" s="62"/>
      <c r="D77" s="62"/>
      <c r="E77" s="62" t="s">
        <v>1175</v>
      </c>
      <c r="F77" s="62">
        <v>73</v>
      </c>
      <c r="G77" s="62" t="s">
        <v>48</v>
      </c>
      <c r="H77" s="62" t="s">
        <v>49</v>
      </c>
      <c r="I77" s="62" t="s">
        <v>52</v>
      </c>
      <c r="J77" s="62" t="s">
        <v>51</v>
      </c>
      <c r="K77" s="62" t="s">
        <v>50</v>
      </c>
      <c r="L77" s="63">
        <v>43515</v>
      </c>
      <c r="M77" s="62" t="s">
        <v>872</v>
      </c>
      <c r="N77" s="62" t="s">
        <v>997</v>
      </c>
      <c r="O77" s="62"/>
      <c r="P77" s="62" t="s">
        <v>1176</v>
      </c>
      <c r="Q77" s="62" t="s">
        <v>99</v>
      </c>
      <c r="R77" s="62" t="s">
        <v>55</v>
      </c>
      <c r="S77" s="62" t="s">
        <v>55</v>
      </c>
      <c r="T77" s="62" t="s">
        <v>50</v>
      </c>
      <c r="U77" s="62" t="s">
        <v>975</v>
      </c>
    </row>
    <row r="78" spans="1:21" x14ac:dyDescent="0.2">
      <c r="A78" s="62" t="s">
        <v>298</v>
      </c>
      <c r="B78" s="62" t="s">
        <v>1149</v>
      </c>
      <c r="C78" s="62"/>
      <c r="D78" s="62"/>
      <c r="E78" s="62" t="s">
        <v>1175</v>
      </c>
      <c r="F78" s="62">
        <v>56</v>
      </c>
      <c r="G78" s="62" t="s">
        <v>71</v>
      </c>
      <c r="H78" s="62" t="s">
        <v>49</v>
      </c>
      <c r="I78" s="62" t="s">
        <v>50</v>
      </c>
      <c r="J78" s="62" t="s">
        <v>51</v>
      </c>
      <c r="K78" s="62" t="s">
        <v>50</v>
      </c>
      <c r="L78" s="63">
        <v>43565</v>
      </c>
      <c r="M78" s="62" t="s">
        <v>872</v>
      </c>
      <c r="N78" s="62" t="s">
        <v>964</v>
      </c>
      <c r="O78" s="62"/>
      <c r="P78" s="62"/>
      <c r="Q78" s="62" t="s">
        <v>1177</v>
      </c>
      <c r="R78" s="62" t="s">
        <v>52</v>
      </c>
      <c r="S78" s="62" t="s">
        <v>55</v>
      </c>
      <c r="T78" s="62" t="s">
        <v>50</v>
      </c>
      <c r="U78" s="62" t="s">
        <v>1154</v>
      </c>
    </row>
    <row r="79" spans="1:21" x14ac:dyDescent="0.2">
      <c r="A79" s="62" t="s">
        <v>528</v>
      </c>
      <c r="B79" s="62" t="s">
        <v>1149</v>
      </c>
      <c r="C79" s="62"/>
      <c r="D79" s="62"/>
      <c r="E79" s="62" t="s">
        <v>1175</v>
      </c>
      <c r="F79" s="62">
        <v>68</v>
      </c>
      <c r="G79" s="62" t="s">
        <v>48</v>
      </c>
      <c r="H79" s="62" t="s">
        <v>49</v>
      </c>
      <c r="I79" s="62" t="s">
        <v>50</v>
      </c>
      <c r="J79" s="62" t="s">
        <v>51</v>
      </c>
      <c r="K79" s="62" t="s">
        <v>52</v>
      </c>
      <c r="L79" s="63">
        <v>43600</v>
      </c>
      <c r="M79" s="62" t="s">
        <v>872</v>
      </c>
      <c r="N79" s="62" t="s">
        <v>980</v>
      </c>
      <c r="O79" s="62"/>
      <c r="P79" s="62"/>
      <c r="Q79" s="62" t="s">
        <v>200</v>
      </c>
      <c r="R79" s="62" t="s">
        <v>55</v>
      </c>
      <c r="S79" s="62" t="s">
        <v>50</v>
      </c>
      <c r="T79" s="62" t="s">
        <v>50</v>
      </c>
      <c r="U79" s="62" t="s">
        <v>975</v>
      </c>
    </row>
    <row r="80" spans="1:21" x14ac:dyDescent="0.2">
      <c r="A80" s="62" t="s">
        <v>309</v>
      </c>
      <c r="B80" s="62" t="s">
        <v>1149</v>
      </c>
      <c r="C80" s="62"/>
      <c r="D80" s="62"/>
      <c r="E80" s="62" t="s">
        <v>1175</v>
      </c>
      <c r="F80" s="62">
        <v>60</v>
      </c>
      <c r="G80" s="62" t="s">
        <v>71</v>
      </c>
      <c r="H80" s="62" t="s">
        <v>49</v>
      </c>
      <c r="I80" s="62" t="s">
        <v>50</v>
      </c>
      <c r="J80" s="62" t="s">
        <v>51</v>
      </c>
      <c r="K80" s="62" t="s">
        <v>50</v>
      </c>
      <c r="L80" s="63">
        <v>43608</v>
      </c>
      <c r="M80" s="62" t="s">
        <v>872</v>
      </c>
      <c r="N80" s="62" t="s">
        <v>964</v>
      </c>
      <c r="O80" s="62"/>
      <c r="P80" s="62"/>
      <c r="Q80" s="62" t="s">
        <v>87</v>
      </c>
      <c r="R80" s="62" t="s">
        <v>55</v>
      </c>
      <c r="S80" s="62" t="s">
        <v>55</v>
      </c>
      <c r="T80" s="62" t="s">
        <v>50</v>
      </c>
      <c r="U80" s="62" t="s">
        <v>1154</v>
      </c>
    </row>
    <row r="81" spans="1:21" x14ac:dyDescent="0.2">
      <c r="A81" s="62" t="s">
        <v>317</v>
      </c>
      <c r="B81" s="62" t="s">
        <v>1149</v>
      </c>
      <c r="C81" s="62"/>
      <c r="D81" s="62"/>
      <c r="E81" s="62" t="s">
        <v>1175</v>
      </c>
      <c r="F81" s="62">
        <v>65</v>
      </c>
      <c r="G81" s="62" t="s">
        <v>48</v>
      </c>
      <c r="H81" s="62" t="s">
        <v>49</v>
      </c>
      <c r="I81" s="62" t="s">
        <v>52</v>
      </c>
      <c r="J81" s="62" t="s">
        <v>51</v>
      </c>
      <c r="K81" s="62" t="s">
        <v>52</v>
      </c>
      <c r="L81" s="63">
        <v>43635</v>
      </c>
      <c r="M81" s="62" t="s">
        <v>872</v>
      </c>
      <c r="N81" s="62" t="s">
        <v>980</v>
      </c>
      <c r="O81" s="62"/>
      <c r="P81" s="62"/>
      <c r="Q81" s="62" t="s">
        <v>318</v>
      </c>
      <c r="R81" s="62" t="s">
        <v>55</v>
      </c>
      <c r="S81" s="62" t="s">
        <v>52</v>
      </c>
      <c r="T81" s="62" t="s">
        <v>50</v>
      </c>
      <c r="U81" s="62" t="s">
        <v>975</v>
      </c>
    </row>
    <row r="82" spans="1:21" x14ac:dyDescent="0.2">
      <c r="A82" s="62" t="s">
        <v>529</v>
      </c>
      <c r="B82" s="62" t="s">
        <v>1149</v>
      </c>
      <c r="C82" s="62"/>
      <c r="D82" s="62"/>
      <c r="E82" s="62" t="s">
        <v>1175</v>
      </c>
      <c r="F82" s="62">
        <v>71</v>
      </c>
      <c r="G82" s="62" t="s">
        <v>48</v>
      </c>
      <c r="H82" s="62" t="s">
        <v>455</v>
      </c>
      <c r="I82" s="62" t="s">
        <v>52</v>
      </c>
      <c r="J82" s="62" t="s">
        <v>51</v>
      </c>
      <c r="K82" s="62" t="s">
        <v>52</v>
      </c>
      <c r="L82" s="63">
        <v>43657</v>
      </c>
      <c r="M82" s="62" t="s">
        <v>872</v>
      </c>
      <c r="N82" s="62" t="s">
        <v>964</v>
      </c>
      <c r="O82" s="62"/>
      <c r="P82" s="62"/>
      <c r="Q82" s="62" t="s">
        <v>1178</v>
      </c>
      <c r="R82" s="62" t="s">
        <v>52</v>
      </c>
      <c r="S82" s="62" t="s">
        <v>52</v>
      </c>
      <c r="T82" s="62" t="s">
        <v>50</v>
      </c>
      <c r="U82" s="62" t="s">
        <v>1154</v>
      </c>
    </row>
    <row r="83" spans="1:21" x14ac:dyDescent="0.2">
      <c r="A83" s="62" t="s">
        <v>324</v>
      </c>
      <c r="B83" s="62" t="s">
        <v>1149</v>
      </c>
      <c r="C83" s="62"/>
      <c r="D83" s="62"/>
      <c r="E83" s="62" t="s">
        <v>1175</v>
      </c>
      <c r="F83" s="62">
        <v>57</v>
      </c>
      <c r="G83" s="62" t="s">
        <v>71</v>
      </c>
      <c r="H83" s="62" t="s">
        <v>49</v>
      </c>
      <c r="I83" s="62" t="s">
        <v>50</v>
      </c>
      <c r="J83" s="62" t="s">
        <v>51</v>
      </c>
      <c r="K83" s="62" t="s">
        <v>52</v>
      </c>
      <c r="L83" s="63">
        <v>43698</v>
      </c>
      <c r="M83" s="62" t="s">
        <v>872</v>
      </c>
      <c r="N83" s="62" t="s">
        <v>980</v>
      </c>
      <c r="O83" s="62"/>
      <c r="P83" s="62"/>
      <c r="Q83" s="62" t="s">
        <v>325</v>
      </c>
      <c r="R83" s="62" t="s">
        <v>52</v>
      </c>
      <c r="S83" s="62" t="s">
        <v>52</v>
      </c>
      <c r="T83" s="62" t="s">
        <v>50</v>
      </c>
      <c r="U83" s="62" t="s">
        <v>1154</v>
      </c>
    </row>
    <row r="84" spans="1:21" x14ac:dyDescent="0.2">
      <c r="A84" s="62" t="s">
        <v>329</v>
      </c>
      <c r="B84" s="62" t="s">
        <v>1149</v>
      </c>
      <c r="C84" s="62"/>
      <c r="D84" s="62"/>
      <c r="E84" s="62" t="s">
        <v>1175</v>
      </c>
      <c r="F84" s="62">
        <v>74</v>
      </c>
      <c r="G84" s="62" t="s">
        <v>71</v>
      </c>
      <c r="H84" s="62" t="s">
        <v>49</v>
      </c>
      <c r="I84" s="62" t="s">
        <v>52</v>
      </c>
      <c r="J84" s="62" t="s">
        <v>51</v>
      </c>
      <c r="K84" s="62" t="s">
        <v>50</v>
      </c>
      <c r="L84" s="63">
        <v>43731</v>
      </c>
      <c r="M84" s="62" t="s">
        <v>872</v>
      </c>
      <c r="N84" s="62" t="s">
        <v>964</v>
      </c>
      <c r="O84" s="62"/>
      <c r="P84" s="62"/>
      <c r="Q84" s="62" t="s">
        <v>200</v>
      </c>
      <c r="R84" s="62" t="s">
        <v>55</v>
      </c>
      <c r="S84" s="62" t="s">
        <v>55</v>
      </c>
      <c r="T84" s="62" t="s">
        <v>50</v>
      </c>
      <c r="U84" s="62" t="s">
        <v>1154</v>
      </c>
    </row>
    <row r="85" spans="1:21" x14ac:dyDescent="0.2">
      <c r="A85" s="62" t="s">
        <v>1179</v>
      </c>
      <c r="B85" s="62" t="s">
        <v>1149</v>
      </c>
      <c r="C85" s="62"/>
      <c r="D85" s="62"/>
      <c r="E85" s="62" t="s">
        <v>1175</v>
      </c>
      <c r="F85" s="62">
        <v>61</v>
      </c>
      <c r="G85" s="62" t="s">
        <v>48</v>
      </c>
      <c r="H85" s="62" t="s">
        <v>49</v>
      </c>
      <c r="I85" s="62" t="s">
        <v>52</v>
      </c>
      <c r="J85" s="62" t="s">
        <v>51</v>
      </c>
      <c r="K85" s="62" t="s">
        <v>50</v>
      </c>
      <c r="L85" s="63">
        <v>43609</v>
      </c>
      <c r="M85" s="62" t="s">
        <v>997</v>
      </c>
      <c r="N85" s="62" t="s">
        <v>964</v>
      </c>
      <c r="O85" s="62" t="s">
        <v>1180</v>
      </c>
      <c r="P85" s="62"/>
      <c r="Q85" s="62" t="s">
        <v>1181</v>
      </c>
      <c r="R85" s="62" t="s">
        <v>55</v>
      </c>
      <c r="S85" s="62" t="s">
        <v>55</v>
      </c>
      <c r="T85" s="62" t="s">
        <v>50</v>
      </c>
      <c r="U85" s="62" t="s">
        <v>975</v>
      </c>
    </row>
    <row r="86" spans="1:21" x14ac:dyDescent="0.2">
      <c r="A86" s="62" t="s">
        <v>335</v>
      </c>
      <c r="B86" s="62" t="s">
        <v>1149</v>
      </c>
      <c r="C86" s="62"/>
      <c r="D86" s="62"/>
      <c r="E86" s="62" t="s">
        <v>1175</v>
      </c>
      <c r="F86" s="62">
        <v>49</v>
      </c>
      <c r="G86" s="62" t="s">
        <v>71</v>
      </c>
      <c r="H86" s="62" t="s">
        <v>49</v>
      </c>
      <c r="I86" s="62" t="s">
        <v>50</v>
      </c>
      <c r="J86" s="62" t="s">
        <v>51</v>
      </c>
      <c r="K86" s="62" t="s">
        <v>52</v>
      </c>
      <c r="L86" s="63">
        <v>43853</v>
      </c>
      <c r="M86" s="62" t="s">
        <v>872</v>
      </c>
      <c r="N86" s="62" t="s">
        <v>997</v>
      </c>
      <c r="O86" s="62"/>
      <c r="P86" s="62" t="s">
        <v>1182</v>
      </c>
      <c r="Q86" s="62" t="s">
        <v>336</v>
      </c>
      <c r="R86" s="62" t="s">
        <v>55</v>
      </c>
      <c r="S86" s="62" t="s">
        <v>55</v>
      </c>
      <c r="T86" s="62" t="s">
        <v>50</v>
      </c>
      <c r="U86" s="62" t="s">
        <v>975</v>
      </c>
    </row>
    <row r="87" spans="1:21" x14ac:dyDescent="0.2">
      <c r="A87" s="62" t="s">
        <v>339</v>
      </c>
      <c r="B87" s="62" t="s">
        <v>1149</v>
      </c>
      <c r="C87" s="62"/>
      <c r="D87" s="62"/>
      <c r="E87" s="62" t="s">
        <v>1175</v>
      </c>
      <c r="F87" s="62">
        <v>45</v>
      </c>
      <c r="G87" s="62" t="s">
        <v>71</v>
      </c>
      <c r="H87" s="62" t="s">
        <v>340</v>
      </c>
      <c r="I87" s="62" t="s">
        <v>52</v>
      </c>
      <c r="J87" s="62" t="s">
        <v>51</v>
      </c>
      <c r="K87" s="62" t="s">
        <v>52</v>
      </c>
      <c r="L87" s="63">
        <v>43788</v>
      </c>
      <c r="M87" s="62" t="s">
        <v>872</v>
      </c>
      <c r="N87" s="62" t="s">
        <v>964</v>
      </c>
      <c r="O87" s="62"/>
      <c r="P87" s="62"/>
      <c r="Q87" s="62" t="s">
        <v>99</v>
      </c>
      <c r="R87" s="62" t="s">
        <v>55</v>
      </c>
      <c r="S87" s="62" t="s">
        <v>55</v>
      </c>
      <c r="T87" s="62" t="s">
        <v>50</v>
      </c>
      <c r="U87" s="62" t="s">
        <v>1154</v>
      </c>
    </row>
    <row r="88" spans="1:21" x14ac:dyDescent="0.2">
      <c r="A88" s="62" t="s">
        <v>530</v>
      </c>
      <c r="B88" s="62" t="s">
        <v>1149</v>
      </c>
      <c r="C88" s="62"/>
      <c r="D88" s="62"/>
      <c r="E88" s="62" t="s">
        <v>1175</v>
      </c>
      <c r="F88" s="62">
        <v>57</v>
      </c>
      <c r="G88" s="62" t="s">
        <v>71</v>
      </c>
      <c r="H88" s="62" t="s">
        <v>55</v>
      </c>
      <c r="I88" s="62" t="s">
        <v>52</v>
      </c>
      <c r="J88" s="62" t="s">
        <v>438</v>
      </c>
      <c r="K88" s="62" t="s">
        <v>52</v>
      </c>
      <c r="L88" s="63">
        <v>43794</v>
      </c>
      <c r="M88" s="62" t="s">
        <v>872</v>
      </c>
      <c r="N88" s="62" t="s">
        <v>964</v>
      </c>
      <c r="O88" s="62"/>
      <c r="P88" s="62"/>
      <c r="Q88" s="62" t="s">
        <v>1097</v>
      </c>
      <c r="R88" s="62" t="s">
        <v>52</v>
      </c>
      <c r="S88" s="62" t="s">
        <v>52</v>
      </c>
      <c r="T88" s="62" t="s">
        <v>50</v>
      </c>
      <c r="U88" s="62" t="s">
        <v>975</v>
      </c>
    </row>
    <row r="89" spans="1:21" x14ac:dyDescent="0.2">
      <c r="A89" s="62" t="s">
        <v>531</v>
      </c>
      <c r="B89" s="62" t="s">
        <v>1149</v>
      </c>
      <c r="C89" s="62"/>
      <c r="D89" s="62"/>
      <c r="E89" s="62" t="s">
        <v>1175</v>
      </c>
      <c r="F89" s="62">
        <v>66</v>
      </c>
      <c r="G89" s="62" t="s">
        <v>71</v>
      </c>
      <c r="H89" s="62" t="s">
        <v>49</v>
      </c>
      <c r="I89" s="62" t="s">
        <v>50</v>
      </c>
      <c r="J89" s="62" t="s">
        <v>51</v>
      </c>
      <c r="K89" s="62" t="s">
        <v>52</v>
      </c>
      <c r="L89" s="63">
        <v>43872</v>
      </c>
      <c r="M89" s="62" t="s">
        <v>872</v>
      </c>
      <c r="N89" s="62" t="s">
        <v>980</v>
      </c>
      <c r="O89" s="62"/>
      <c r="P89" s="62"/>
      <c r="Q89" s="62" t="s">
        <v>1183</v>
      </c>
      <c r="R89" s="62" t="s">
        <v>55</v>
      </c>
      <c r="S89" s="62" t="s">
        <v>55</v>
      </c>
      <c r="T89" s="62" t="s">
        <v>50</v>
      </c>
      <c r="U89" s="62" t="s">
        <v>1154</v>
      </c>
    </row>
    <row r="90" spans="1:21" x14ac:dyDescent="0.2">
      <c r="A90" s="62" t="s">
        <v>532</v>
      </c>
      <c r="B90" s="62" t="s">
        <v>1149</v>
      </c>
      <c r="C90" s="62"/>
      <c r="D90" s="62"/>
      <c r="E90" s="62" t="s">
        <v>1175</v>
      </c>
      <c r="F90" s="62">
        <v>66</v>
      </c>
      <c r="G90" s="62" t="s">
        <v>71</v>
      </c>
      <c r="H90" s="62" t="s">
        <v>49</v>
      </c>
      <c r="I90" s="62" t="s">
        <v>50</v>
      </c>
      <c r="J90" s="62" t="s">
        <v>51</v>
      </c>
      <c r="K90" s="62" t="s">
        <v>52</v>
      </c>
      <c r="L90" s="63">
        <v>43850</v>
      </c>
      <c r="M90" s="62" t="s">
        <v>872</v>
      </c>
      <c r="N90" s="62" t="s">
        <v>964</v>
      </c>
      <c r="O90" s="62"/>
      <c r="P90" s="62"/>
      <c r="Q90" s="62" t="s">
        <v>1184</v>
      </c>
      <c r="R90" s="62" t="s">
        <v>55</v>
      </c>
      <c r="S90" s="62" t="s">
        <v>55</v>
      </c>
      <c r="T90" s="62" t="s">
        <v>50</v>
      </c>
      <c r="U90" s="62" t="s">
        <v>1154</v>
      </c>
    </row>
    <row r="91" spans="1:21" x14ac:dyDescent="0.2">
      <c r="A91" s="62" t="s">
        <v>345</v>
      </c>
      <c r="B91" s="62" t="s">
        <v>1149</v>
      </c>
      <c r="C91" s="62"/>
      <c r="D91" s="62"/>
      <c r="E91" s="62" t="s">
        <v>1175</v>
      </c>
      <c r="F91" s="62">
        <v>66</v>
      </c>
      <c r="G91" s="62" t="s">
        <v>71</v>
      </c>
      <c r="H91" s="62" t="s">
        <v>49</v>
      </c>
      <c r="I91" s="62" t="s">
        <v>52</v>
      </c>
      <c r="J91" s="62" t="s">
        <v>51</v>
      </c>
      <c r="K91" s="62" t="s">
        <v>52</v>
      </c>
      <c r="L91" s="63">
        <v>44008</v>
      </c>
      <c r="M91" s="62" t="s">
        <v>905</v>
      </c>
      <c r="N91" s="62" t="s">
        <v>980</v>
      </c>
      <c r="O91" s="62"/>
      <c r="P91" s="62"/>
      <c r="Q91" s="62" t="s">
        <v>346</v>
      </c>
      <c r="R91" s="62" t="s">
        <v>52</v>
      </c>
      <c r="S91" s="62" t="s">
        <v>52</v>
      </c>
      <c r="T91" s="62" t="s">
        <v>50</v>
      </c>
      <c r="U91" s="62" t="s">
        <v>975</v>
      </c>
    </row>
    <row r="92" spans="1:21" x14ac:dyDescent="0.2">
      <c r="A92" s="62" t="s">
        <v>350</v>
      </c>
      <c r="B92" s="62" t="s">
        <v>1149</v>
      </c>
      <c r="C92" s="62"/>
      <c r="D92" s="62"/>
      <c r="E92" s="62" t="s">
        <v>1175</v>
      </c>
      <c r="F92" s="62">
        <v>72</v>
      </c>
      <c r="G92" s="62" t="s">
        <v>48</v>
      </c>
      <c r="H92" s="62" t="s">
        <v>49</v>
      </c>
      <c r="I92" s="62" t="s">
        <v>50</v>
      </c>
      <c r="J92" s="62" t="s">
        <v>51</v>
      </c>
      <c r="K92" s="62" t="s">
        <v>52</v>
      </c>
      <c r="L92" s="63">
        <v>43985</v>
      </c>
      <c r="M92" s="62" t="s">
        <v>872</v>
      </c>
      <c r="N92" s="62" t="s">
        <v>997</v>
      </c>
      <c r="O92" s="62"/>
      <c r="P92" s="62" t="s">
        <v>1185</v>
      </c>
      <c r="Q92" s="62" t="s">
        <v>72</v>
      </c>
      <c r="R92" s="62" t="s">
        <v>55</v>
      </c>
      <c r="S92" s="62" t="s">
        <v>55</v>
      </c>
      <c r="T92" s="62" t="s">
        <v>50</v>
      </c>
      <c r="U92" s="62" t="s">
        <v>1154</v>
      </c>
    </row>
    <row r="93" spans="1:21" x14ac:dyDescent="0.2">
      <c r="A93" s="62" t="s">
        <v>533</v>
      </c>
      <c r="B93" s="62" t="s">
        <v>1149</v>
      </c>
      <c r="C93" s="62"/>
      <c r="D93" s="62"/>
      <c r="E93" s="62" t="s">
        <v>1175</v>
      </c>
      <c r="F93" s="62">
        <v>50</v>
      </c>
      <c r="G93" s="62" t="s">
        <v>71</v>
      </c>
      <c r="H93" s="62" t="s">
        <v>49</v>
      </c>
      <c r="I93" s="62" t="s">
        <v>50</v>
      </c>
      <c r="J93" s="62" t="s">
        <v>51</v>
      </c>
      <c r="K93" s="62" t="s">
        <v>52</v>
      </c>
      <c r="L93" s="63">
        <v>44053</v>
      </c>
      <c r="M93" s="62" t="s">
        <v>872</v>
      </c>
      <c r="N93" s="62" t="s">
        <v>1053</v>
      </c>
      <c r="O93" s="62"/>
      <c r="P93" s="62"/>
      <c r="Q93" s="62" t="s">
        <v>200</v>
      </c>
      <c r="R93" s="62" t="s">
        <v>55</v>
      </c>
      <c r="S93" s="62" t="s">
        <v>55</v>
      </c>
      <c r="T93" s="62" t="s">
        <v>50</v>
      </c>
      <c r="U93" s="62" t="s">
        <v>975</v>
      </c>
    </row>
    <row r="94" spans="1:21" x14ac:dyDescent="0.2">
      <c r="A94" s="62" t="s">
        <v>534</v>
      </c>
      <c r="B94" s="62" t="s">
        <v>1149</v>
      </c>
      <c r="C94" s="62"/>
      <c r="D94" s="62"/>
      <c r="E94" s="62" t="s">
        <v>1175</v>
      </c>
      <c r="F94" s="62">
        <v>58</v>
      </c>
      <c r="G94" s="62" t="s">
        <v>48</v>
      </c>
      <c r="H94" s="62" t="s">
        <v>49</v>
      </c>
      <c r="I94" s="62" t="s">
        <v>50</v>
      </c>
      <c r="J94" s="62" t="s">
        <v>51</v>
      </c>
      <c r="K94" s="62" t="s">
        <v>52</v>
      </c>
      <c r="L94" s="63">
        <v>43891</v>
      </c>
      <c r="M94" s="62" t="s">
        <v>872</v>
      </c>
      <c r="N94" s="62" t="s">
        <v>1053</v>
      </c>
      <c r="O94" s="62"/>
      <c r="P94" s="62"/>
      <c r="Q94" s="62" t="s">
        <v>1184</v>
      </c>
      <c r="R94" s="62" t="s">
        <v>55</v>
      </c>
      <c r="S94" s="62" t="s">
        <v>55</v>
      </c>
      <c r="T94" s="62" t="s">
        <v>50</v>
      </c>
      <c r="U94" s="62" t="s">
        <v>975</v>
      </c>
    </row>
    <row r="95" spans="1:21" x14ac:dyDescent="0.2">
      <c r="A95" s="62" t="s">
        <v>536</v>
      </c>
      <c r="B95" s="62" t="s">
        <v>1149</v>
      </c>
      <c r="C95" s="62"/>
      <c r="D95" s="62"/>
      <c r="E95" s="62" t="s">
        <v>1175</v>
      </c>
      <c r="F95" s="62">
        <v>59</v>
      </c>
      <c r="G95" s="62" t="s">
        <v>48</v>
      </c>
      <c r="H95" s="62" t="s">
        <v>49</v>
      </c>
      <c r="I95" s="62" t="s">
        <v>50</v>
      </c>
      <c r="J95" s="62" t="s">
        <v>51</v>
      </c>
      <c r="K95" s="62" t="s">
        <v>50</v>
      </c>
      <c r="L95" s="63">
        <v>44088</v>
      </c>
      <c r="M95" s="62" t="s">
        <v>872</v>
      </c>
      <c r="N95" s="62" t="s">
        <v>993</v>
      </c>
      <c r="O95" s="62"/>
      <c r="P95" s="62"/>
      <c r="Q95" s="62" t="s">
        <v>235</v>
      </c>
      <c r="R95" s="62" t="s">
        <v>55</v>
      </c>
      <c r="S95" s="62" t="s">
        <v>55</v>
      </c>
      <c r="T95" s="62" t="s">
        <v>50</v>
      </c>
      <c r="U95" s="62" t="s">
        <v>975</v>
      </c>
    </row>
    <row r="96" spans="1:21" x14ac:dyDescent="0.2">
      <c r="A96" s="62" t="s">
        <v>537</v>
      </c>
      <c r="B96" s="62" t="s">
        <v>1149</v>
      </c>
      <c r="C96" s="62"/>
      <c r="D96" s="62"/>
      <c r="E96" s="62" t="s">
        <v>1175</v>
      </c>
      <c r="F96" s="62">
        <v>80</v>
      </c>
      <c r="G96" s="62" t="s">
        <v>71</v>
      </c>
      <c r="H96" s="62" t="s">
        <v>49</v>
      </c>
      <c r="I96" s="62" t="s">
        <v>50</v>
      </c>
      <c r="J96" s="62" t="s">
        <v>51</v>
      </c>
      <c r="K96" s="62" t="s">
        <v>50</v>
      </c>
      <c r="L96" s="63">
        <v>44082</v>
      </c>
      <c r="M96" s="62" t="s">
        <v>872</v>
      </c>
      <c r="N96" s="62" t="s">
        <v>997</v>
      </c>
      <c r="O96" s="62"/>
      <c r="P96" s="62" t="s">
        <v>1186</v>
      </c>
      <c r="Q96" s="62" t="s">
        <v>87</v>
      </c>
      <c r="R96" s="62" t="s">
        <v>55</v>
      </c>
      <c r="S96" s="62" t="s">
        <v>55</v>
      </c>
      <c r="T96" s="62" t="s">
        <v>50</v>
      </c>
      <c r="U96" s="62" t="s">
        <v>1154</v>
      </c>
    </row>
    <row r="97" spans="1:21" x14ac:dyDescent="0.2">
      <c r="A97" s="62" t="s">
        <v>538</v>
      </c>
      <c r="B97" s="62" t="s">
        <v>1149</v>
      </c>
      <c r="C97" s="62"/>
      <c r="D97" s="62"/>
      <c r="E97" s="62" t="s">
        <v>1175</v>
      </c>
      <c r="F97" s="62">
        <v>63</v>
      </c>
      <c r="G97" s="62" t="s">
        <v>71</v>
      </c>
      <c r="H97" s="62" t="s">
        <v>49</v>
      </c>
      <c r="I97" s="62" t="s">
        <v>52</v>
      </c>
      <c r="J97" s="62" t="s">
        <v>51</v>
      </c>
      <c r="K97" s="62" t="s">
        <v>50</v>
      </c>
      <c r="L97" s="63">
        <v>44067</v>
      </c>
      <c r="M97" s="62" t="s">
        <v>872</v>
      </c>
      <c r="N97" s="62" t="s">
        <v>964</v>
      </c>
      <c r="O97" s="62"/>
      <c r="P97" s="62"/>
      <c r="Q97" s="62" t="s">
        <v>942</v>
      </c>
      <c r="R97" s="62" t="s">
        <v>55</v>
      </c>
      <c r="S97" s="62" t="s">
        <v>55</v>
      </c>
      <c r="T97" s="62" t="s">
        <v>50</v>
      </c>
      <c r="U97" s="62" t="s">
        <v>975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3D1D9-C1C0-494E-9693-22D19963E460}">
  <dimension ref="A1:O92"/>
  <sheetViews>
    <sheetView workbookViewId="0">
      <selection activeCell="D8" sqref="D8"/>
    </sheetView>
  </sheetViews>
  <sheetFormatPr baseColWidth="10" defaultRowHeight="16" x14ac:dyDescent="0.2"/>
  <sheetData>
    <row r="1" spans="1:15" x14ac:dyDescent="0.2">
      <c r="A1" s="62" t="s">
        <v>1140</v>
      </c>
      <c r="B1" s="62" t="s">
        <v>1141</v>
      </c>
      <c r="C1" s="62" t="s">
        <v>1142</v>
      </c>
      <c r="D1" s="62" t="s">
        <v>1143</v>
      </c>
      <c r="E1" s="62" t="s">
        <v>1187</v>
      </c>
      <c r="F1" s="62" t="s">
        <v>1188</v>
      </c>
      <c r="G1" s="62" t="s">
        <v>29</v>
      </c>
      <c r="H1" s="62" t="s">
        <v>1189</v>
      </c>
      <c r="I1" s="62" t="s">
        <v>1190</v>
      </c>
      <c r="J1" s="62" t="s">
        <v>1191</v>
      </c>
      <c r="K1" s="62" t="s">
        <v>1192</v>
      </c>
      <c r="L1" s="62" t="s">
        <v>1193</v>
      </c>
      <c r="M1" s="62" t="s">
        <v>1194</v>
      </c>
      <c r="N1" s="62" t="s">
        <v>1195</v>
      </c>
      <c r="O1" s="62" t="s">
        <v>1196</v>
      </c>
    </row>
    <row r="2" spans="1:15" x14ac:dyDescent="0.2">
      <c r="A2" s="62" t="s">
        <v>412</v>
      </c>
      <c r="B2" s="62" t="s">
        <v>1197</v>
      </c>
      <c r="C2" s="62"/>
      <c r="D2" s="62"/>
      <c r="E2" s="62" t="s">
        <v>52</v>
      </c>
      <c r="F2" s="62" t="s">
        <v>52</v>
      </c>
      <c r="G2" s="62" t="s">
        <v>100</v>
      </c>
      <c r="H2" s="63">
        <v>42422</v>
      </c>
      <c r="I2" s="63">
        <v>42422</v>
      </c>
      <c r="J2" s="62"/>
      <c r="K2" s="62"/>
      <c r="L2" s="62" t="s">
        <v>1198</v>
      </c>
      <c r="M2" s="62"/>
      <c r="N2" s="62" t="s">
        <v>1199</v>
      </c>
      <c r="O2" s="62" t="s">
        <v>932</v>
      </c>
    </row>
    <row r="3" spans="1:15" x14ac:dyDescent="0.2">
      <c r="A3" s="62" t="s">
        <v>353</v>
      </c>
      <c r="B3" s="62" t="s">
        <v>1197</v>
      </c>
      <c r="C3" s="62"/>
      <c r="D3" s="62"/>
      <c r="E3" s="62" t="s">
        <v>50</v>
      </c>
      <c r="F3" s="62" t="s">
        <v>52</v>
      </c>
      <c r="G3" s="62" t="s">
        <v>848</v>
      </c>
      <c r="H3" s="63">
        <v>42493</v>
      </c>
      <c r="I3" s="63">
        <v>42493</v>
      </c>
      <c r="J3" s="62"/>
      <c r="K3" s="62"/>
      <c r="L3" s="62" t="s">
        <v>1200</v>
      </c>
      <c r="M3" s="62"/>
      <c r="N3" s="62" t="s">
        <v>1199</v>
      </c>
      <c r="O3" s="62" t="s">
        <v>1201</v>
      </c>
    </row>
    <row r="4" spans="1:15" x14ac:dyDescent="0.2">
      <c r="A4" s="62" t="s">
        <v>358</v>
      </c>
      <c r="B4" s="62" t="s">
        <v>1197</v>
      </c>
      <c r="C4" s="62"/>
      <c r="D4" s="62"/>
      <c r="E4" s="62" t="s">
        <v>50</v>
      </c>
      <c r="F4" s="62" t="s">
        <v>52</v>
      </c>
      <c r="G4" s="62" t="s">
        <v>848</v>
      </c>
      <c r="H4" s="63">
        <v>42608</v>
      </c>
      <c r="I4" s="63">
        <v>42656</v>
      </c>
      <c r="J4" s="62"/>
      <c r="K4" s="62"/>
      <c r="L4" s="62"/>
      <c r="M4" s="62" t="s">
        <v>1202</v>
      </c>
      <c r="N4" s="62" t="s">
        <v>1199</v>
      </c>
      <c r="O4" s="62" t="s">
        <v>1201</v>
      </c>
    </row>
    <row r="5" spans="1:15" x14ac:dyDescent="0.2">
      <c r="A5" s="62" t="s">
        <v>514</v>
      </c>
      <c r="B5" s="62" t="s">
        <v>1197</v>
      </c>
      <c r="C5" s="62"/>
      <c r="D5" s="62"/>
      <c r="E5" s="62" t="s">
        <v>52</v>
      </c>
      <c r="F5" s="62" t="s">
        <v>52</v>
      </c>
      <c r="G5" s="62" t="s">
        <v>100</v>
      </c>
      <c r="H5" s="63">
        <v>42667</v>
      </c>
      <c r="I5" s="63">
        <v>42667</v>
      </c>
      <c r="J5" s="62"/>
      <c r="K5" s="62"/>
      <c r="L5" s="62" t="s">
        <v>1203</v>
      </c>
      <c r="M5" s="62"/>
      <c r="N5" s="62" t="s">
        <v>1199</v>
      </c>
      <c r="O5" s="62" t="s">
        <v>923</v>
      </c>
    </row>
    <row r="6" spans="1:15" x14ac:dyDescent="0.2">
      <c r="A6" s="62" t="s">
        <v>363</v>
      </c>
      <c r="B6" s="62" t="s">
        <v>1197</v>
      </c>
      <c r="C6" s="62"/>
      <c r="D6" s="62"/>
      <c r="E6" s="62" t="s">
        <v>52</v>
      </c>
      <c r="F6" s="62" t="s">
        <v>52</v>
      </c>
      <c r="G6" s="62" t="s">
        <v>100</v>
      </c>
      <c r="H6" s="63">
        <v>42678</v>
      </c>
      <c r="I6" s="63">
        <v>42678</v>
      </c>
      <c r="J6" s="62"/>
      <c r="K6" s="62"/>
      <c r="L6" s="62"/>
      <c r="M6" s="62" t="s">
        <v>1204</v>
      </c>
      <c r="N6" s="62" t="s">
        <v>1199</v>
      </c>
      <c r="O6" s="62" t="s">
        <v>1205</v>
      </c>
    </row>
    <row r="7" spans="1:15" x14ac:dyDescent="0.2">
      <c r="A7" s="62" t="s">
        <v>417</v>
      </c>
      <c r="B7" s="62" t="s">
        <v>1197</v>
      </c>
      <c r="C7" s="62"/>
      <c r="D7" s="62"/>
      <c r="E7" s="62" t="s">
        <v>50</v>
      </c>
      <c r="F7" s="62" t="s">
        <v>52</v>
      </c>
      <c r="G7" s="62" t="s">
        <v>848</v>
      </c>
      <c r="H7" s="63">
        <v>42745</v>
      </c>
      <c r="I7" s="63">
        <v>42745</v>
      </c>
      <c r="J7" s="62"/>
      <c r="K7" s="62"/>
      <c r="L7" s="62" t="s">
        <v>1206</v>
      </c>
      <c r="M7" s="62"/>
      <c r="N7" s="62" t="s">
        <v>1199</v>
      </c>
      <c r="O7" s="62" t="s">
        <v>1201</v>
      </c>
    </row>
    <row r="8" spans="1:15" x14ac:dyDescent="0.2">
      <c r="A8" s="62" t="s">
        <v>515</v>
      </c>
      <c r="B8" s="62" t="s">
        <v>1197</v>
      </c>
      <c r="C8" s="62"/>
      <c r="D8" s="62"/>
      <c r="E8" s="62" t="s">
        <v>52</v>
      </c>
      <c r="F8" s="62" t="s">
        <v>52</v>
      </c>
      <c r="G8" s="62" t="s">
        <v>100</v>
      </c>
      <c r="H8" s="63">
        <v>42762</v>
      </c>
      <c r="I8" s="63">
        <v>43185</v>
      </c>
      <c r="J8" s="62"/>
      <c r="K8" s="62"/>
      <c r="L8" s="62" t="s">
        <v>1207</v>
      </c>
      <c r="M8" s="62"/>
      <c r="N8" s="62" t="s">
        <v>1199</v>
      </c>
      <c r="O8" s="62" t="s">
        <v>1205</v>
      </c>
    </row>
    <row r="9" spans="1:15" x14ac:dyDescent="0.2">
      <c r="A9" s="62" t="s">
        <v>367</v>
      </c>
      <c r="B9" s="62" t="s">
        <v>1197</v>
      </c>
      <c r="C9" s="62"/>
      <c r="D9" s="62"/>
      <c r="E9" s="62" t="s">
        <v>52</v>
      </c>
      <c r="F9" s="62" t="s">
        <v>52</v>
      </c>
      <c r="G9" s="62" t="s">
        <v>100</v>
      </c>
      <c r="H9" s="63">
        <v>42898</v>
      </c>
      <c r="I9" s="63">
        <v>43185</v>
      </c>
      <c r="J9" s="62"/>
      <c r="K9" s="62"/>
      <c r="L9" s="62" t="s">
        <v>1208</v>
      </c>
      <c r="M9" s="62"/>
      <c r="N9" s="62" t="s">
        <v>1199</v>
      </c>
      <c r="O9" s="62" t="s">
        <v>902</v>
      </c>
    </row>
    <row r="10" spans="1:15" x14ac:dyDescent="0.2">
      <c r="A10" s="62" t="s">
        <v>372</v>
      </c>
      <c r="B10" s="62" t="s">
        <v>1197</v>
      </c>
      <c r="C10" s="62"/>
      <c r="D10" s="62"/>
      <c r="E10" s="62" t="s">
        <v>50</v>
      </c>
      <c r="F10" s="62" t="s">
        <v>50</v>
      </c>
      <c r="G10" s="62" t="s">
        <v>848</v>
      </c>
      <c r="H10" s="63">
        <v>42958</v>
      </c>
      <c r="I10" s="63">
        <v>42958</v>
      </c>
      <c r="J10" s="62"/>
      <c r="K10" s="62"/>
      <c r="L10" s="62"/>
      <c r="M10" s="62"/>
      <c r="N10" s="62" t="s">
        <v>1199</v>
      </c>
      <c r="O10" s="62" t="s">
        <v>888</v>
      </c>
    </row>
    <row r="11" spans="1:15" x14ac:dyDescent="0.2">
      <c r="A11" s="62" t="s">
        <v>376</v>
      </c>
      <c r="B11" s="62" t="s">
        <v>1197</v>
      </c>
      <c r="C11" s="62"/>
      <c r="D11" s="62"/>
      <c r="E11" s="62" t="s">
        <v>50</v>
      </c>
      <c r="F11" s="62" t="s">
        <v>52</v>
      </c>
      <c r="G11" s="62" t="s">
        <v>848</v>
      </c>
      <c r="H11" s="63">
        <v>42979</v>
      </c>
      <c r="I11" s="63">
        <v>42979</v>
      </c>
      <c r="J11" s="62"/>
      <c r="K11" s="62"/>
      <c r="L11" s="62" t="s">
        <v>1209</v>
      </c>
      <c r="M11" s="62"/>
      <c r="N11" s="62" t="s">
        <v>1199</v>
      </c>
      <c r="O11" s="62" t="s">
        <v>904</v>
      </c>
    </row>
    <row r="12" spans="1:15" x14ac:dyDescent="0.2">
      <c r="A12" s="62" t="s">
        <v>421</v>
      </c>
      <c r="B12" s="62" t="s">
        <v>1197</v>
      </c>
      <c r="C12" s="62"/>
      <c r="D12" s="62"/>
      <c r="E12" s="62" t="s">
        <v>50</v>
      </c>
      <c r="F12" s="62" t="s">
        <v>52</v>
      </c>
      <c r="G12" s="62" t="s">
        <v>848</v>
      </c>
      <c r="H12" s="63">
        <v>42993</v>
      </c>
      <c r="I12" s="63">
        <v>42993</v>
      </c>
      <c r="J12" s="62"/>
      <c r="K12" s="62"/>
      <c r="L12" s="62" t="s">
        <v>1210</v>
      </c>
      <c r="M12" s="62"/>
      <c r="N12" s="62" t="s">
        <v>1199</v>
      </c>
      <c r="O12" s="62" t="s">
        <v>904</v>
      </c>
    </row>
    <row r="13" spans="1:15" x14ac:dyDescent="0.2">
      <c r="A13" s="62" t="s">
        <v>381</v>
      </c>
      <c r="B13" s="62" t="s">
        <v>1197</v>
      </c>
      <c r="C13" s="62"/>
      <c r="D13" s="62"/>
      <c r="E13" s="62" t="s">
        <v>52</v>
      </c>
      <c r="F13" s="62" t="s">
        <v>52</v>
      </c>
      <c r="G13" s="62" t="s">
        <v>100</v>
      </c>
      <c r="H13" s="63">
        <v>43024</v>
      </c>
      <c r="I13" s="63">
        <v>43024</v>
      </c>
      <c r="J13" s="62"/>
      <c r="K13" s="62"/>
      <c r="L13" s="62" t="s">
        <v>1211</v>
      </c>
      <c r="M13" s="62" t="s">
        <v>1212</v>
      </c>
      <c r="N13" s="62" t="s">
        <v>1199</v>
      </c>
      <c r="O13" s="62" t="s">
        <v>1213</v>
      </c>
    </row>
    <row r="14" spans="1:15" x14ac:dyDescent="0.2">
      <c r="A14" s="62" t="s">
        <v>387</v>
      </c>
      <c r="B14" s="62" t="s">
        <v>1197</v>
      </c>
      <c r="C14" s="62"/>
      <c r="D14" s="62"/>
      <c r="E14" s="62" t="s">
        <v>52</v>
      </c>
      <c r="F14" s="62" t="s">
        <v>52</v>
      </c>
      <c r="G14" s="62" t="s">
        <v>100</v>
      </c>
      <c r="H14" s="63">
        <v>43109</v>
      </c>
      <c r="I14" s="63">
        <v>43109</v>
      </c>
      <c r="J14" s="62"/>
      <c r="K14" s="62"/>
      <c r="L14" s="62" t="s">
        <v>1214</v>
      </c>
      <c r="M14" s="62"/>
      <c r="N14" s="62" t="s">
        <v>1199</v>
      </c>
      <c r="O14" s="62" t="s">
        <v>1215</v>
      </c>
    </row>
    <row r="15" spans="1:15" x14ac:dyDescent="0.2">
      <c r="A15" s="62" t="s">
        <v>425</v>
      </c>
      <c r="B15" s="62" t="s">
        <v>1197</v>
      </c>
      <c r="C15" s="62"/>
      <c r="D15" s="62"/>
      <c r="E15" s="62" t="s">
        <v>50</v>
      </c>
      <c r="F15" s="62" t="s">
        <v>52</v>
      </c>
      <c r="G15" s="62" t="s">
        <v>848</v>
      </c>
      <c r="H15" s="63">
        <v>43108</v>
      </c>
      <c r="I15" s="63">
        <v>43108</v>
      </c>
      <c r="J15" s="62"/>
      <c r="K15" s="62"/>
      <c r="L15" s="62" t="s">
        <v>1216</v>
      </c>
      <c r="M15" s="62" t="s">
        <v>1217</v>
      </c>
      <c r="N15" s="62" t="s">
        <v>1199</v>
      </c>
      <c r="O15" s="62" t="s">
        <v>1201</v>
      </c>
    </row>
    <row r="16" spans="1:15" x14ac:dyDescent="0.2">
      <c r="A16" s="62" t="s">
        <v>390</v>
      </c>
      <c r="B16" s="62" t="s">
        <v>1197</v>
      </c>
      <c r="C16" s="62"/>
      <c r="D16" s="62"/>
      <c r="E16" s="62" t="s">
        <v>50</v>
      </c>
      <c r="F16" s="62" t="s">
        <v>52</v>
      </c>
      <c r="G16" s="62" t="s">
        <v>848</v>
      </c>
      <c r="H16" s="63">
        <v>43112</v>
      </c>
      <c r="I16" s="63">
        <v>43112</v>
      </c>
      <c r="J16" s="62"/>
      <c r="K16" s="62"/>
      <c r="L16" s="62" t="s">
        <v>1218</v>
      </c>
      <c r="M16" s="62"/>
      <c r="N16" s="62" t="s">
        <v>1199</v>
      </c>
      <c r="O16" s="62" t="s">
        <v>1201</v>
      </c>
    </row>
    <row r="17" spans="1:15" x14ac:dyDescent="0.2">
      <c r="A17" s="62" t="s">
        <v>429</v>
      </c>
      <c r="B17" s="62" t="s">
        <v>1197</v>
      </c>
      <c r="C17" s="62"/>
      <c r="D17" s="62"/>
      <c r="E17" s="62" t="s">
        <v>52</v>
      </c>
      <c r="F17" s="62" t="s">
        <v>50</v>
      </c>
      <c r="G17" s="62" t="s">
        <v>848</v>
      </c>
      <c r="H17" s="63">
        <v>43130</v>
      </c>
      <c r="I17" s="63">
        <v>43130</v>
      </c>
      <c r="J17" s="62"/>
      <c r="K17" s="62"/>
      <c r="L17" s="62" t="s">
        <v>1219</v>
      </c>
      <c r="M17" s="62"/>
      <c r="N17" s="62" t="s">
        <v>1199</v>
      </c>
      <c r="O17" s="62" t="s">
        <v>902</v>
      </c>
    </row>
    <row r="18" spans="1:15" x14ac:dyDescent="0.2">
      <c r="A18" s="62" t="s">
        <v>395</v>
      </c>
      <c r="B18" s="62" t="s">
        <v>1197</v>
      </c>
      <c r="C18" s="62"/>
      <c r="D18" s="62"/>
      <c r="E18" s="62" t="s">
        <v>50</v>
      </c>
      <c r="F18" s="62" t="s">
        <v>52</v>
      </c>
      <c r="G18" s="62" t="s">
        <v>848</v>
      </c>
      <c r="H18" s="63">
        <v>43136</v>
      </c>
      <c r="I18" s="63">
        <v>43136</v>
      </c>
      <c r="J18" s="62"/>
      <c r="K18" s="62"/>
      <c r="L18" s="62" t="s">
        <v>1220</v>
      </c>
      <c r="M18" s="62"/>
      <c r="N18" s="62" t="s">
        <v>1199</v>
      </c>
      <c r="O18" s="62" t="s">
        <v>906</v>
      </c>
    </row>
    <row r="19" spans="1:15" x14ac:dyDescent="0.2">
      <c r="A19" s="62" t="s">
        <v>433</v>
      </c>
      <c r="B19" s="62" t="s">
        <v>1197</v>
      </c>
      <c r="C19" s="62"/>
      <c r="D19" s="62"/>
      <c r="E19" s="62" t="s">
        <v>52</v>
      </c>
      <c r="F19" s="62" t="s">
        <v>52</v>
      </c>
      <c r="G19" s="62" t="s">
        <v>100</v>
      </c>
      <c r="H19" s="63">
        <v>43168</v>
      </c>
      <c r="I19" s="63">
        <v>43168</v>
      </c>
      <c r="J19" s="62"/>
      <c r="K19" s="62"/>
      <c r="L19" s="62" t="s">
        <v>1221</v>
      </c>
      <c r="M19" s="62"/>
      <c r="N19" s="62" t="s">
        <v>1199</v>
      </c>
      <c r="O19" s="62" t="s">
        <v>1222</v>
      </c>
    </row>
    <row r="20" spans="1:15" x14ac:dyDescent="0.2">
      <c r="A20" s="62" t="s">
        <v>437</v>
      </c>
      <c r="B20" s="62" t="s">
        <v>1197</v>
      </c>
      <c r="C20" s="62"/>
      <c r="D20" s="62"/>
      <c r="E20" s="62" t="s">
        <v>52</v>
      </c>
      <c r="F20" s="62" t="s">
        <v>50</v>
      </c>
      <c r="G20" s="62" t="s">
        <v>848</v>
      </c>
      <c r="H20" s="63">
        <v>43182</v>
      </c>
      <c r="I20" s="63">
        <v>43182</v>
      </c>
      <c r="J20" s="62"/>
      <c r="K20" s="62"/>
      <c r="L20" s="62" t="s">
        <v>1223</v>
      </c>
      <c r="M20" s="62"/>
      <c r="N20" s="62" t="s">
        <v>1199</v>
      </c>
      <c r="O20" s="62" t="s">
        <v>939</v>
      </c>
    </row>
    <row r="21" spans="1:15" x14ac:dyDescent="0.2">
      <c r="A21" s="62" t="s">
        <v>442</v>
      </c>
      <c r="B21" s="62" t="s">
        <v>1197</v>
      </c>
      <c r="C21" s="62"/>
      <c r="D21" s="62"/>
      <c r="E21" s="62" t="s">
        <v>50</v>
      </c>
      <c r="F21" s="62" t="s">
        <v>50</v>
      </c>
      <c r="G21" s="62" t="s">
        <v>848</v>
      </c>
      <c r="H21" s="63">
        <v>43192</v>
      </c>
      <c r="I21" s="63">
        <v>43192</v>
      </c>
      <c r="J21" s="62"/>
      <c r="K21" s="62"/>
      <c r="L21" s="62" t="s">
        <v>1224</v>
      </c>
      <c r="M21" s="62"/>
      <c r="N21" s="62" t="s">
        <v>1199</v>
      </c>
      <c r="O21" s="62" t="s">
        <v>904</v>
      </c>
    </row>
    <row r="22" spans="1:15" x14ac:dyDescent="0.2">
      <c r="A22" s="62" t="s">
        <v>399</v>
      </c>
      <c r="B22" s="62" t="s">
        <v>1197</v>
      </c>
      <c r="C22" s="62"/>
      <c r="D22" s="62"/>
      <c r="E22" s="62" t="s">
        <v>50</v>
      </c>
      <c r="F22" s="62" t="s">
        <v>50</v>
      </c>
      <c r="G22" s="62" t="s">
        <v>848</v>
      </c>
      <c r="H22" s="63">
        <v>43217</v>
      </c>
      <c r="I22" s="63">
        <v>43217</v>
      </c>
      <c r="J22" s="62"/>
      <c r="K22" s="62"/>
      <c r="L22" s="62" t="s">
        <v>1225</v>
      </c>
      <c r="M22" s="62"/>
      <c r="N22" s="62" t="s">
        <v>1199</v>
      </c>
      <c r="O22" s="62" t="s">
        <v>904</v>
      </c>
    </row>
    <row r="23" spans="1:15" x14ac:dyDescent="0.2">
      <c r="A23" s="62" t="s">
        <v>446</v>
      </c>
      <c r="B23" s="62" t="s">
        <v>1197</v>
      </c>
      <c r="C23" s="62"/>
      <c r="D23" s="62"/>
      <c r="E23" s="62" t="s">
        <v>52</v>
      </c>
      <c r="F23" s="62" t="s">
        <v>52</v>
      </c>
      <c r="G23" s="62" t="s">
        <v>100</v>
      </c>
      <c r="H23" s="63">
        <v>43326</v>
      </c>
      <c r="I23" s="63">
        <v>43326</v>
      </c>
      <c r="J23" s="62"/>
      <c r="K23" s="62"/>
      <c r="L23" s="62" t="s">
        <v>1226</v>
      </c>
      <c r="M23" s="62"/>
      <c r="N23" s="62" t="s">
        <v>1199</v>
      </c>
      <c r="O23" s="62" t="s">
        <v>902</v>
      </c>
    </row>
    <row r="24" spans="1:15" x14ac:dyDescent="0.2">
      <c r="A24" s="62" t="s">
        <v>1227</v>
      </c>
      <c r="B24" s="62" t="s">
        <v>1197</v>
      </c>
      <c r="C24" s="62"/>
      <c r="D24" s="62"/>
      <c r="E24" s="62" t="s">
        <v>52</v>
      </c>
      <c r="F24" s="62" t="s">
        <v>52</v>
      </c>
      <c r="G24" s="62" t="s">
        <v>100</v>
      </c>
      <c r="H24" s="63">
        <v>43405</v>
      </c>
      <c r="I24" s="63">
        <v>43405</v>
      </c>
      <c r="J24" s="62"/>
      <c r="K24" s="62"/>
      <c r="L24" s="62" t="s">
        <v>1228</v>
      </c>
      <c r="M24" s="62"/>
      <c r="N24" s="62" t="s">
        <v>1199</v>
      </c>
      <c r="O24" s="62" t="s">
        <v>1213</v>
      </c>
    </row>
    <row r="25" spans="1:15" x14ac:dyDescent="0.2">
      <c r="A25" s="62" t="s">
        <v>450</v>
      </c>
      <c r="B25" s="62" t="s">
        <v>1197</v>
      </c>
      <c r="C25" s="62"/>
      <c r="D25" s="62"/>
      <c r="E25" s="62" t="s">
        <v>50</v>
      </c>
      <c r="F25" s="62" t="s">
        <v>50</v>
      </c>
      <c r="G25" s="62" t="s">
        <v>848</v>
      </c>
      <c r="H25" s="63">
        <v>43409</v>
      </c>
      <c r="I25" s="63">
        <v>43409</v>
      </c>
      <c r="J25" s="62"/>
      <c r="K25" s="62"/>
      <c r="L25" s="62" t="s">
        <v>1229</v>
      </c>
      <c r="M25" s="62"/>
      <c r="N25" s="62" t="s">
        <v>1199</v>
      </c>
      <c r="O25" s="62" t="s">
        <v>904</v>
      </c>
    </row>
    <row r="26" spans="1:15" x14ac:dyDescent="0.2">
      <c r="A26" s="62" t="s">
        <v>403</v>
      </c>
      <c r="B26" s="62" t="s">
        <v>1197</v>
      </c>
      <c r="C26" s="62"/>
      <c r="D26" s="62"/>
      <c r="E26" s="62" t="s">
        <v>52</v>
      </c>
      <c r="F26" s="62" t="s">
        <v>52</v>
      </c>
      <c r="G26" s="62" t="s">
        <v>100</v>
      </c>
      <c r="H26" s="63">
        <v>43440</v>
      </c>
      <c r="I26" s="63">
        <v>43440</v>
      </c>
      <c r="J26" s="62"/>
      <c r="K26" s="62"/>
      <c r="L26" s="62" t="s">
        <v>1230</v>
      </c>
      <c r="M26" s="62"/>
      <c r="N26" s="62" t="s">
        <v>1199</v>
      </c>
      <c r="O26" s="62" t="s">
        <v>902</v>
      </c>
    </row>
    <row r="27" spans="1:15" x14ac:dyDescent="0.2">
      <c r="A27" s="62" t="s">
        <v>497</v>
      </c>
      <c r="B27" s="62" t="s">
        <v>1197</v>
      </c>
      <c r="C27" s="62"/>
      <c r="D27" s="62"/>
      <c r="E27" s="62" t="s">
        <v>52</v>
      </c>
      <c r="F27" s="62" t="s">
        <v>52</v>
      </c>
      <c r="G27" s="62" t="s">
        <v>100</v>
      </c>
      <c r="H27" s="63">
        <v>43469</v>
      </c>
      <c r="I27" s="63">
        <v>43469</v>
      </c>
      <c r="J27" s="62"/>
      <c r="K27" s="62"/>
      <c r="L27" s="62"/>
      <c r="M27" s="62"/>
      <c r="N27" s="62" t="s">
        <v>1199</v>
      </c>
      <c r="O27" s="62" t="s">
        <v>902</v>
      </c>
    </row>
    <row r="28" spans="1:15" x14ac:dyDescent="0.2">
      <c r="A28" s="62" t="s">
        <v>500</v>
      </c>
      <c r="B28" s="62" t="s">
        <v>1197</v>
      </c>
      <c r="C28" s="62"/>
      <c r="D28" s="62"/>
      <c r="E28" s="62" t="s">
        <v>52</v>
      </c>
      <c r="F28" s="62" t="s">
        <v>52</v>
      </c>
      <c r="G28" s="62" t="s">
        <v>100</v>
      </c>
      <c r="H28" s="63">
        <v>43543</v>
      </c>
      <c r="I28" s="63">
        <v>43969</v>
      </c>
      <c r="J28" s="62"/>
      <c r="K28" s="62"/>
      <c r="L28" s="62" t="s">
        <v>1231</v>
      </c>
      <c r="M28" s="62"/>
      <c r="N28" s="62" t="s">
        <v>1199</v>
      </c>
      <c r="O28" s="62" t="s">
        <v>899</v>
      </c>
    </row>
    <row r="29" spans="1:15" x14ac:dyDescent="0.2">
      <c r="A29" s="62" t="s">
        <v>47</v>
      </c>
      <c r="B29" s="62" t="s">
        <v>1197</v>
      </c>
      <c r="C29" s="62"/>
      <c r="D29" s="62"/>
      <c r="E29" s="62" t="s">
        <v>50</v>
      </c>
      <c r="F29" s="62" t="s">
        <v>52</v>
      </c>
      <c r="G29" s="62" t="s">
        <v>848</v>
      </c>
      <c r="H29" s="63">
        <v>43542</v>
      </c>
      <c r="I29" s="63">
        <v>43542</v>
      </c>
      <c r="J29" s="62"/>
      <c r="K29" s="62"/>
      <c r="L29" s="62" t="s">
        <v>1232</v>
      </c>
      <c r="M29" s="62"/>
      <c r="N29" s="62" t="s">
        <v>1199</v>
      </c>
      <c r="O29" s="62" t="s">
        <v>904</v>
      </c>
    </row>
    <row r="30" spans="1:15" x14ac:dyDescent="0.2">
      <c r="A30" s="62" t="s">
        <v>504</v>
      </c>
      <c r="B30" s="62" t="s">
        <v>1197</v>
      </c>
      <c r="C30" s="62"/>
      <c r="D30" s="62"/>
      <c r="E30" s="62" t="s">
        <v>50</v>
      </c>
      <c r="F30" s="62" t="s">
        <v>52</v>
      </c>
      <c r="G30" s="62" t="s">
        <v>848</v>
      </c>
      <c r="H30" s="63">
        <v>43591</v>
      </c>
      <c r="I30" s="63">
        <v>43591</v>
      </c>
      <c r="J30" s="62"/>
      <c r="K30" s="62"/>
      <c r="L30" s="62" t="s">
        <v>1233</v>
      </c>
      <c r="M30" s="62"/>
      <c r="N30" s="62" t="s">
        <v>1199</v>
      </c>
      <c r="O30" s="62" t="s">
        <v>1201</v>
      </c>
    </row>
    <row r="31" spans="1:15" x14ac:dyDescent="0.2">
      <c r="A31" s="62" t="s">
        <v>454</v>
      </c>
      <c r="B31" s="62" t="s">
        <v>1197</v>
      </c>
      <c r="C31" s="62"/>
      <c r="D31" s="62"/>
      <c r="E31" s="62" t="s">
        <v>50</v>
      </c>
      <c r="F31" s="62" t="s">
        <v>52</v>
      </c>
      <c r="G31" s="62" t="s">
        <v>848</v>
      </c>
      <c r="H31" s="63">
        <v>43613</v>
      </c>
      <c r="I31" s="63">
        <v>43613</v>
      </c>
      <c r="J31" s="62"/>
      <c r="K31" s="62"/>
      <c r="L31" s="62" t="s">
        <v>1234</v>
      </c>
      <c r="M31" s="62"/>
      <c r="N31" s="62" t="s">
        <v>1199</v>
      </c>
      <c r="O31" s="62" t="s">
        <v>904</v>
      </c>
    </row>
    <row r="32" spans="1:15" x14ac:dyDescent="0.2">
      <c r="A32" s="62" t="s">
        <v>459</v>
      </c>
      <c r="B32" s="62" t="s">
        <v>1197</v>
      </c>
      <c r="C32" s="62"/>
      <c r="D32" s="62"/>
      <c r="E32" s="62" t="s">
        <v>52</v>
      </c>
      <c r="F32" s="62" t="s">
        <v>52</v>
      </c>
      <c r="G32" s="62" t="s">
        <v>100</v>
      </c>
      <c r="H32" s="63">
        <v>43620</v>
      </c>
      <c r="I32" s="63">
        <v>43620</v>
      </c>
      <c r="J32" s="62"/>
      <c r="K32" s="62"/>
      <c r="L32" s="62" t="s">
        <v>1198</v>
      </c>
      <c r="M32" s="62"/>
      <c r="N32" s="62" t="s">
        <v>1199</v>
      </c>
      <c r="O32" s="62" t="s">
        <v>900</v>
      </c>
    </row>
    <row r="33" spans="1:15" x14ac:dyDescent="0.2">
      <c r="A33" s="62" t="s">
        <v>516</v>
      </c>
      <c r="B33" s="62" t="s">
        <v>1197</v>
      </c>
      <c r="C33" s="62"/>
      <c r="D33" s="62"/>
      <c r="E33" s="62" t="s">
        <v>52</v>
      </c>
      <c r="F33" s="62" t="s">
        <v>52</v>
      </c>
      <c r="G33" s="62" t="s">
        <v>100</v>
      </c>
      <c r="H33" s="63">
        <v>43949</v>
      </c>
      <c r="I33" s="63">
        <v>44029</v>
      </c>
      <c r="J33" s="62"/>
      <c r="K33" s="62"/>
      <c r="L33" s="62" t="s">
        <v>1235</v>
      </c>
      <c r="M33" s="62"/>
      <c r="N33" s="62" t="s">
        <v>1199</v>
      </c>
      <c r="O33" s="62" t="s">
        <v>902</v>
      </c>
    </row>
    <row r="34" spans="1:15" x14ac:dyDescent="0.2">
      <c r="A34" s="62" t="s">
        <v>70</v>
      </c>
      <c r="B34" s="62" t="s">
        <v>1197</v>
      </c>
      <c r="C34" s="62"/>
      <c r="D34" s="62"/>
      <c r="E34" s="62" t="s">
        <v>50</v>
      </c>
      <c r="F34" s="62" t="s">
        <v>52</v>
      </c>
      <c r="G34" s="62" t="s">
        <v>848</v>
      </c>
      <c r="H34" s="63">
        <v>44012</v>
      </c>
      <c r="I34" s="63">
        <v>44012</v>
      </c>
      <c r="J34" s="62"/>
      <c r="K34" s="62"/>
      <c r="L34" s="62"/>
      <c r="M34" s="62"/>
      <c r="N34" s="62" t="s">
        <v>1199</v>
      </c>
      <c r="O34" s="62" t="s">
        <v>904</v>
      </c>
    </row>
    <row r="35" spans="1:15" x14ac:dyDescent="0.2">
      <c r="A35" s="62" t="s">
        <v>86</v>
      </c>
      <c r="B35" s="62" t="s">
        <v>1197</v>
      </c>
      <c r="C35" s="62"/>
      <c r="D35" s="62"/>
      <c r="E35" s="62" t="s">
        <v>50</v>
      </c>
      <c r="F35" s="62" t="s">
        <v>52</v>
      </c>
      <c r="G35" s="62" t="s">
        <v>848</v>
      </c>
      <c r="H35" s="63">
        <v>44001</v>
      </c>
      <c r="I35" s="63">
        <v>44001</v>
      </c>
      <c r="J35" s="62"/>
      <c r="K35" s="62"/>
      <c r="L35" s="62" t="s">
        <v>1236</v>
      </c>
      <c r="M35" s="62" t="s">
        <v>1237</v>
      </c>
      <c r="N35" s="62" t="s">
        <v>1199</v>
      </c>
      <c r="O35" s="62" t="s">
        <v>904</v>
      </c>
    </row>
    <row r="36" spans="1:15" x14ac:dyDescent="0.2">
      <c r="A36" s="62" t="s">
        <v>98</v>
      </c>
      <c r="B36" s="62" t="s">
        <v>1197</v>
      </c>
      <c r="C36" s="62"/>
      <c r="D36" s="62"/>
      <c r="E36" s="62" t="s">
        <v>52</v>
      </c>
      <c r="F36" s="62" t="s">
        <v>52</v>
      </c>
      <c r="G36" s="62" t="s">
        <v>100</v>
      </c>
      <c r="H36" s="63">
        <v>44008</v>
      </c>
      <c r="I36" s="63">
        <v>44008</v>
      </c>
      <c r="J36" s="62"/>
      <c r="K36" s="62"/>
      <c r="L36" s="62" t="s">
        <v>1238</v>
      </c>
      <c r="M36" s="62"/>
      <c r="N36" s="62" t="s">
        <v>1199</v>
      </c>
      <c r="O36" s="62" t="s">
        <v>932</v>
      </c>
    </row>
    <row r="37" spans="1:15" x14ac:dyDescent="0.2">
      <c r="A37" s="62" t="s">
        <v>517</v>
      </c>
      <c r="B37" s="62" t="s">
        <v>1197</v>
      </c>
      <c r="C37" s="62"/>
      <c r="D37" s="62"/>
      <c r="E37" s="62" t="s">
        <v>50</v>
      </c>
      <c r="F37" s="62" t="s">
        <v>52</v>
      </c>
      <c r="G37" s="62" t="s">
        <v>848</v>
      </c>
      <c r="H37" s="63">
        <v>44133</v>
      </c>
      <c r="I37" s="62"/>
      <c r="J37" s="62" t="s">
        <v>1239</v>
      </c>
      <c r="K37" s="62"/>
      <c r="L37" s="62" t="s">
        <v>1240</v>
      </c>
      <c r="M37" s="62"/>
      <c r="N37" s="62" t="s">
        <v>1199</v>
      </c>
      <c r="O37" s="62" t="s">
        <v>906</v>
      </c>
    </row>
    <row r="38" spans="1:15" x14ac:dyDescent="0.2">
      <c r="A38" s="62" t="s">
        <v>518</v>
      </c>
      <c r="B38" s="62" t="s">
        <v>1197</v>
      </c>
      <c r="C38" s="62"/>
      <c r="D38" s="62"/>
      <c r="E38" s="62" t="s">
        <v>52</v>
      </c>
      <c r="F38" s="62" t="s">
        <v>52</v>
      </c>
      <c r="G38" s="62" t="s">
        <v>100</v>
      </c>
      <c r="H38" s="63">
        <v>44132</v>
      </c>
      <c r="I38" s="63">
        <v>44132</v>
      </c>
      <c r="J38" s="62"/>
      <c r="K38" s="62"/>
      <c r="L38" s="62" t="s">
        <v>1241</v>
      </c>
      <c r="M38" s="62"/>
      <c r="N38" s="62" t="s">
        <v>1199</v>
      </c>
      <c r="O38" s="62" t="s">
        <v>907</v>
      </c>
    </row>
    <row r="39" spans="1:15" x14ac:dyDescent="0.2">
      <c r="A39" s="62" t="s">
        <v>109</v>
      </c>
      <c r="B39" s="62" t="s">
        <v>1197</v>
      </c>
      <c r="C39" s="62"/>
      <c r="D39" s="62"/>
      <c r="E39" s="62" t="s">
        <v>50</v>
      </c>
      <c r="F39" s="62" t="s">
        <v>50</v>
      </c>
      <c r="G39" s="62" t="s">
        <v>848</v>
      </c>
      <c r="H39" s="63">
        <v>42921</v>
      </c>
      <c r="I39" s="63">
        <v>42970</v>
      </c>
      <c r="J39" s="62"/>
      <c r="K39" s="62"/>
      <c r="L39" s="62" t="s">
        <v>1242</v>
      </c>
      <c r="M39" s="62" t="s">
        <v>1243</v>
      </c>
      <c r="N39" s="62" t="s">
        <v>1199</v>
      </c>
      <c r="O39" s="62" t="s">
        <v>908</v>
      </c>
    </row>
    <row r="40" spans="1:15" x14ac:dyDescent="0.2">
      <c r="A40" s="62" t="s">
        <v>464</v>
      </c>
      <c r="B40" s="62" t="s">
        <v>1197</v>
      </c>
      <c r="C40" s="62"/>
      <c r="D40" s="62"/>
      <c r="E40" s="62" t="s">
        <v>50</v>
      </c>
      <c r="F40" s="62" t="s">
        <v>52</v>
      </c>
      <c r="G40" s="62" t="s">
        <v>848</v>
      </c>
      <c r="H40" s="63">
        <v>42997</v>
      </c>
      <c r="I40" s="63">
        <v>42997</v>
      </c>
      <c r="J40" s="62"/>
      <c r="K40" s="62"/>
      <c r="L40" s="62" t="s">
        <v>1244</v>
      </c>
      <c r="M40" s="62" t="s">
        <v>1245</v>
      </c>
      <c r="N40" s="62" t="s">
        <v>1199</v>
      </c>
      <c r="O40" s="62" t="s">
        <v>909</v>
      </c>
    </row>
    <row r="41" spans="1:15" x14ac:dyDescent="0.2">
      <c r="A41" s="62" t="s">
        <v>407</v>
      </c>
      <c r="B41" s="62" t="s">
        <v>1197</v>
      </c>
      <c r="C41" s="62"/>
      <c r="D41" s="62"/>
      <c r="E41" s="62" t="s">
        <v>52</v>
      </c>
      <c r="F41" s="62" t="s">
        <v>52</v>
      </c>
      <c r="G41" s="62" t="s">
        <v>100</v>
      </c>
      <c r="H41" s="63">
        <v>43025</v>
      </c>
      <c r="I41" s="63">
        <v>43025</v>
      </c>
      <c r="J41" s="62"/>
      <c r="K41" s="62"/>
      <c r="L41" s="62" t="s">
        <v>1244</v>
      </c>
      <c r="M41" s="62" t="s">
        <v>1246</v>
      </c>
      <c r="N41" s="62" t="s">
        <v>1199</v>
      </c>
      <c r="O41" s="62" t="s">
        <v>1247</v>
      </c>
    </row>
    <row r="42" spans="1:15" x14ac:dyDescent="0.2">
      <c r="A42" s="62" t="s">
        <v>519</v>
      </c>
      <c r="B42" s="62" t="s">
        <v>1197</v>
      </c>
      <c r="C42" s="62"/>
      <c r="D42" s="62"/>
      <c r="E42" s="62" t="s">
        <v>52</v>
      </c>
      <c r="F42" s="62" t="s">
        <v>52</v>
      </c>
      <c r="G42" s="62" t="s">
        <v>100</v>
      </c>
      <c r="H42" s="63">
        <v>43066</v>
      </c>
      <c r="I42" s="63">
        <v>43066</v>
      </c>
      <c r="J42" s="62"/>
      <c r="K42" s="62"/>
      <c r="L42" s="62" t="s">
        <v>1248</v>
      </c>
      <c r="M42" s="62" t="s">
        <v>1249</v>
      </c>
      <c r="N42" s="62" t="s">
        <v>1199</v>
      </c>
      <c r="O42" s="62" t="s">
        <v>913</v>
      </c>
    </row>
    <row r="43" spans="1:15" x14ac:dyDescent="0.2">
      <c r="A43" s="62" t="s">
        <v>468</v>
      </c>
      <c r="B43" s="62" t="s">
        <v>1197</v>
      </c>
      <c r="C43" s="62"/>
      <c r="D43" s="62"/>
      <c r="E43" s="62" t="s">
        <v>50</v>
      </c>
      <c r="F43" s="62" t="s">
        <v>52</v>
      </c>
      <c r="G43" s="62" t="s">
        <v>848</v>
      </c>
      <c r="H43" s="63">
        <v>43083</v>
      </c>
      <c r="I43" s="63">
        <v>43083</v>
      </c>
      <c r="J43" s="62"/>
      <c r="K43" s="62"/>
      <c r="L43" s="62"/>
      <c r="M43" s="62" t="s">
        <v>1250</v>
      </c>
      <c r="N43" s="62" t="s">
        <v>1199</v>
      </c>
      <c r="O43" s="62" t="s">
        <v>1251</v>
      </c>
    </row>
    <row r="44" spans="1:15" x14ac:dyDescent="0.2">
      <c r="A44" s="62" t="s">
        <v>116</v>
      </c>
      <c r="B44" s="62" t="s">
        <v>1197</v>
      </c>
      <c r="C44" s="62"/>
      <c r="D44" s="62"/>
      <c r="E44" s="62" t="s">
        <v>52</v>
      </c>
      <c r="F44" s="62" t="s">
        <v>52</v>
      </c>
      <c r="G44" s="62" t="s">
        <v>100</v>
      </c>
      <c r="H44" s="63">
        <v>43388</v>
      </c>
      <c r="I44" s="63">
        <v>43388</v>
      </c>
      <c r="J44" s="62"/>
      <c r="K44" s="62"/>
      <c r="L44" s="62"/>
      <c r="M44" s="62" t="s">
        <v>1252</v>
      </c>
      <c r="N44" s="62" t="s">
        <v>1199</v>
      </c>
      <c r="O44" s="62" t="s">
        <v>1253</v>
      </c>
    </row>
    <row r="45" spans="1:15" x14ac:dyDescent="0.2">
      <c r="A45" s="62" t="s">
        <v>130</v>
      </c>
      <c r="B45" s="62" t="s">
        <v>1197</v>
      </c>
      <c r="C45" s="62"/>
      <c r="D45" s="62"/>
      <c r="E45" s="62" t="s">
        <v>50</v>
      </c>
      <c r="F45" s="62" t="s">
        <v>52</v>
      </c>
      <c r="G45" s="62" t="s">
        <v>848</v>
      </c>
      <c r="H45" s="63">
        <v>43454</v>
      </c>
      <c r="I45" s="63">
        <v>43454</v>
      </c>
      <c r="J45" s="62"/>
      <c r="K45" s="62"/>
      <c r="L45" s="62" t="s">
        <v>1254</v>
      </c>
      <c r="M45" s="62"/>
      <c r="N45" s="62" t="s">
        <v>1199</v>
      </c>
      <c r="O45" s="62" t="s">
        <v>917</v>
      </c>
    </row>
    <row r="46" spans="1:15" x14ac:dyDescent="0.2">
      <c r="A46" s="62" t="s">
        <v>145</v>
      </c>
      <c r="B46" s="62" t="s">
        <v>1197</v>
      </c>
      <c r="C46" s="62"/>
      <c r="D46" s="62"/>
      <c r="E46" s="62" t="s">
        <v>50</v>
      </c>
      <c r="F46" s="62" t="s">
        <v>50</v>
      </c>
      <c r="G46" s="62" t="s">
        <v>848</v>
      </c>
      <c r="H46" s="63">
        <v>42908</v>
      </c>
      <c r="I46" s="63">
        <v>42908</v>
      </c>
      <c r="J46" s="62"/>
      <c r="K46" s="62"/>
      <c r="L46" s="62"/>
      <c r="M46" s="62"/>
      <c r="N46" s="62" t="s">
        <v>1199</v>
      </c>
      <c r="O46" s="62" t="s">
        <v>918</v>
      </c>
    </row>
    <row r="47" spans="1:15" x14ac:dyDescent="0.2">
      <c r="A47" s="62" t="s">
        <v>520</v>
      </c>
      <c r="B47" s="62" t="s">
        <v>1197</v>
      </c>
      <c r="C47" s="62"/>
      <c r="D47" s="62"/>
      <c r="E47" s="62" t="s">
        <v>50</v>
      </c>
      <c r="F47" s="62" t="s">
        <v>50</v>
      </c>
      <c r="G47" s="62" t="s">
        <v>848</v>
      </c>
      <c r="H47" s="63">
        <v>42970</v>
      </c>
      <c r="I47" s="63">
        <v>42970</v>
      </c>
      <c r="J47" s="62"/>
      <c r="K47" s="62"/>
      <c r="L47" s="62"/>
      <c r="M47" s="62"/>
      <c r="N47" s="62" t="s">
        <v>1199</v>
      </c>
      <c r="O47" s="62" t="s">
        <v>1255</v>
      </c>
    </row>
    <row r="48" spans="1:15" x14ac:dyDescent="0.2">
      <c r="A48" s="62" t="s">
        <v>159</v>
      </c>
      <c r="B48" s="62" t="s">
        <v>1197</v>
      </c>
      <c r="C48" s="62"/>
      <c r="D48" s="62"/>
      <c r="E48" s="62" t="s">
        <v>50</v>
      </c>
      <c r="F48" s="62" t="s">
        <v>50</v>
      </c>
      <c r="G48" s="62" t="s">
        <v>848</v>
      </c>
      <c r="H48" s="63">
        <v>43621</v>
      </c>
      <c r="I48" s="63">
        <v>43621</v>
      </c>
      <c r="J48" s="62"/>
      <c r="K48" s="62"/>
      <c r="L48" s="62"/>
      <c r="M48" s="62" t="s">
        <v>1256</v>
      </c>
      <c r="N48" s="62" t="s">
        <v>1199</v>
      </c>
      <c r="O48" s="62" t="s">
        <v>878</v>
      </c>
    </row>
    <row r="49" spans="1:15" x14ac:dyDescent="0.2">
      <c r="A49" s="62" t="s">
        <v>173</v>
      </c>
      <c r="B49" s="62" t="s">
        <v>1197</v>
      </c>
      <c r="C49" s="62"/>
      <c r="D49" s="62"/>
      <c r="E49" s="62" t="s">
        <v>50</v>
      </c>
      <c r="F49" s="62" t="s">
        <v>50</v>
      </c>
      <c r="G49" s="62" t="s">
        <v>848</v>
      </c>
      <c r="H49" s="63">
        <v>43740</v>
      </c>
      <c r="I49" s="63">
        <v>43838</v>
      </c>
      <c r="J49" s="62"/>
      <c r="K49" s="62"/>
      <c r="L49" s="62" t="s">
        <v>1257</v>
      </c>
      <c r="M49" s="62"/>
      <c r="N49" s="62" t="s">
        <v>1199</v>
      </c>
      <c r="O49" s="62" t="s">
        <v>918</v>
      </c>
    </row>
    <row r="50" spans="1:15" x14ac:dyDescent="0.2">
      <c r="A50" s="62" t="s">
        <v>521</v>
      </c>
      <c r="B50" s="62" t="s">
        <v>1197</v>
      </c>
      <c r="C50" s="62"/>
      <c r="D50" s="62"/>
      <c r="E50" s="62" t="s">
        <v>52</v>
      </c>
      <c r="F50" s="62" t="s">
        <v>52</v>
      </c>
      <c r="G50" s="62" t="s">
        <v>100</v>
      </c>
      <c r="H50" s="63">
        <v>44131</v>
      </c>
      <c r="I50" s="63">
        <v>44217</v>
      </c>
      <c r="J50" s="62"/>
      <c r="K50" s="62"/>
      <c r="L50" s="62"/>
      <c r="M50" s="62"/>
      <c r="N50" s="62" t="s">
        <v>1199</v>
      </c>
      <c r="O50" s="62" t="s">
        <v>921</v>
      </c>
    </row>
    <row r="51" spans="1:15" x14ac:dyDescent="0.2">
      <c r="A51" s="62" t="s">
        <v>182</v>
      </c>
      <c r="B51" s="62" t="s">
        <v>1197</v>
      </c>
      <c r="C51" s="62"/>
      <c r="D51" s="62"/>
      <c r="E51" s="62" t="s">
        <v>52</v>
      </c>
      <c r="F51" s="62" t="s">
        <v>52</v>
      </c>
      <c r="G51" s="62" t="s">
        <v>100</v>
      </c>
      <c r="H51" s="63">
        <v>42926</v>
      </c>
      <c r="I51" s="63">
        <v>42926</v>
      </c>
      <c r="J51" s="62"/>
      <c r="K51" s="62"/>
      <c r="L51" s="62"/>
      <c r="M51" s="62"/>
      <c r="N51" s="62" t="s">
        <v>1199</v>
      </c>
      <c r="O51" s="62" t="s">
        <v>1258</v>
      </c>
    </row>
    <row r="52" spans="1:15" x14ac:dyDescent="0.2">
      <c r="A52" s="62" t="s">
        <v>472</v>
      </c>
      <c r="B52" s="62" t="s">
        <v>1197</v>
      </c>
      <c r="C52" s="62"/>
      <c r="D52" s="62"/>
      <c r="E52" s="62" t="s">
        <v>52</v>
      </c>
      <c r="F52" s="62" t="s">
        <v>52</v>
      </c>
      <c r="G52" s="62" t="s">
        <v>100</v>
      </c>
      <c r="H52" s="63">
        <v>42934</v>
      </c>
      <c r="I52" s="63">
        <v>42934</v>
      </c>
      <c r="J52" s="62"/>
      <c r="K52" s="62"/>
      <c r="L52" s="62"/>
      <c r="M52" s="62"/>
      <c r="N52" s="62" t="s">
        <v>1199</v>
      </c>
      <c r="O52" s="62" t="s">
        <v>99</v>
      </c>
    </row>
    <row r="53" spans="1:15" x14ac:dyDescent="0.2">
      <c r="A53" s="62" t="s">
        <v>476</v>
      </c>
      <c r="B53" s="62" t="s">
        <v>1197</v>
      </c>
      <c r="C53" s="62"/>
      <c r="D53" s="62"/>
      <c r="E53" s="62" t="s">
        <v>52</v>
      </c>
      <c r="F53" s="62" t="s">
        <v>52</v>
      </c>
      <c r="G53" s="62" t="s">
        <v>100</v>
      </c>
      <c r="H53" s="63">
        <v>43153</v>
      </c>
      <c r="I53" s="63">
        <v>43153</v>
      </c>
      <c r="J53" s="62"/>
      <c r="K53" s="62"/>
      <c r="L53" s="62"/>
      <c r="M53" s="62"/>
      <c r="N53" s="62" t="s">
        <v>1199</v>
      </c>
      <c r="O53" s="62" t="s">
        <v>902</v>
      </c>
    </row>
    <row r="54" spans="1:15" x14ac:dyDescent="0.2">
      <c r="A54" s="62" t="s">
        <v>479</v>
      </c>
      <c r="B54" s="62" t="s">
        <v>1197</v>
      </c>
      <c r="C54" s="62"/>
      <c r="D54" s="62"/>
      <c r="E54" s="62" t="s">
        <v>50</v>
      </c>
      <c r="F54" s="62" t="s">
        <v>52</v>
      </c>
      <c r="G54" s="62" t="s">
        <v>848</v>
      </c>
      <c r="H54" s="63">
        <v>43153</v>
      </c>
      <c r="I54" s="63">
        <v>43153</v>
      </c>
      <c r="J54" s="62"/>
      <c r="K54" s="62"/>
      <c r="L54" s="62"/>
      <c r="M54" s="62"/>
      <c r="N54" s="62" t="s">
        <v>1199</v>
      </c>
      <c r="O54" s="62" t="s">
        <v>878</v>
      </c>
    </row>
    <row r="55" spans="1:15" x14ac:dyDescent="0.2">
      <c r="A55" s="62" t="s">
        <v>522</v>
      </c>
      <c r="B55" s="62" t="s">
        <v>1197</v>
      </c>
      <c r="C55" s="62"/>
      <c r="D55" s="62"/>
      <c r="E55" s="62"/>
      <c r="F55" s="62"/>
      <c r="G55" s="62"/>
      <c r="H55" s="63">
        <v>43160</v>
      </c>
      <c r="I55" s="62"/>
      <c r="J55" s="62"/>
      <c r="K55" s="62"/>
      <c r="L55" s="62"/>
      <c r="M55" s="62" t="s">
        <v>1259</v>
      </c>
      <c r="N55" s="62" t="s">
        <v>1199</v>
      </c>
      <c r="O55" s="62"/>
    </row>
    <row r="56" spans="1:15" x14ac:dyDescent="0.2">
      <c r="A56" s="62" t="s">
        <v>483</v>
      </c>
      <c r="B56" s="62" t="s">
        <v>1197</v>
      </c>
      <c r="C56" s="62"/>
      <c r="D56" s="62"/>
      <c r="E56" s="62" t="s">
        <v>52</v>
      </c>
      <c r="F56" s="62" t="s">
        <v>52</v>
      </c>
      <c r="G56" s="62" t="s">
        <v>100</v>
      </c>
      <c r="H56" s="63">
        <v>43172</v>
      </c>
      <c r="I56" s="63">
        <v>43172</v>
      </c>
      <c r="J56" s="62"/>
      <c r="K56" s="62"/>
      <c r="L56" s="62"/>
      <c r="M56" s="62"/>
      <c r="N56" s="62" t="s">
        <v>1199</v>
      </c>
      <c r="O56" s="62" t="s">
        <v>246</v>
      </c>
    </row>
    <row r="57" spans="1:15" x14ac:dyDescent="0.2">
      <c r="A57" s="62" t="s">
        <v>192</v>
      </c>
      <c r="B57" s="62" t="s">
        <v>1197</v>
      </c>
      <c r="C57" s="62"/>
      <c r="D57" s="62"/>
      <c r="E57" s="62" t="s">
        <v>52</v>
      </c>
      <c r="F57" s="62" t="s">
        <v>52</v>
      </c>
      <c r="G57" s="62" t="s">
        <v>100</v>
      </c>
      <c r="H57" s="63">
        <v>43265</v>
      </c>
      <c r="I57" s="63">
        <v>43280</v>
      </c>
      <c r="J57" s="62"/>
      <c r="K57" s="62"/>
      <c r="L57" s="62"/>
      <c r="M57" s="62"/>
      <c r="N57" s="62" t="s">
        <v>1199</v>
      </c>
      <c r="O57" s="62" t="s">
        <v>193</v>
      </c>
    </row>
    <row r="58" spans="1:15" x14ac:dyDescent="0.2">
      <c r="A58" s="62" t="s">
        <v>199</v>
      </c>
      <c r="B58" s="62" t="s">
        <v>1197</v>
      </c>
      <c r="C58" s="62"/>
      <c r="D58" s="62"/>
      <c r="E58" s="62" t="s">
        <v>52</v>
      </c>
      <c r="F58" s="62" t="s">
        <v>52</v>
      </c>
      <c r="G58" s="62" t="s">
        <v>100</v>
      </c>
      <c r="H58" s="63">
        <v>43361</v>
      </c>
      <c r="I58" s="63">
        <v>43361</v>
      </c>
      <c r="J58" s="62"/>
      <c r="K58" s="62"/>
      <c r="L58" s="62"/>
      <c r="M58" s="62"/>
      <c r="N58" s="62" t="s">
        <v>1199</v>
      </c>
      <c r="O58" s="62" t="s">
        <v>900</v>
      </c>
    </row>
    <row r="59" spans="1:15" x14ac:dyDescent="0.2">
      <c r="A59" s="62" t="s">
        <v>213</v>
      </c>
      <c r="B59" s="62" t="s">
        <v>1197</v>
      </c>
      <c r="C59" s="62"/>
      <c r="D59" s="62"/>
      <c r="E59" s="62" t="s">
        <v>52</v>
      </c>
      <c r="F59" s="62" t="s">
        <v>52</v>
      </c>
      <c r="G59" s="62" t="s">
        <v>100</v>
      </c>
      <c r="H59" s="63">
        <v>43413</v>
      </c>
      <c r="I59" s="63">
        <v>43413</v>
      </c>
      <c r="J59" s="62"/>
      <c r="K59" s="62"/>
      <c r="L59" s="62"/>
      <c r="M59" s="62"/>
      <c r="N59" s="62" t="s">
        <v>1199</v>
      </c>
      <c r="O59" s="62" t="s">
        <v>1260</v>
      </c>
    </row>
    <row r="60" spans="1:15" x14ac:dyDescent="0.2">
      <c r="A60" s="62" t="s">
        <v>224</v>
      </c>
      <c r="B60" s="62" t="s">
        <v>1197</v>
      </c>
      <c r="C60" s="62"/>
      <c r="D60" s="62"/>
      <c r="E60" s="62" t="s">
        <v>52</v>
      </c>
      <c r="F60" s="62" t="s">
        <v>52</v>
      </c>
      <c r="G60" s="62" t="s">
        <v>100</v>
      </c>
      <c r="H60" s="63">
        <v>43627</v>
      </c>
      <c r="I60" s="63">
        <v>43685</v>
      </c>
      <c r="J60" s="62"/>
      <c r="K60" s="62"/>
      <c r="L60" s="62"/>
      <c r="M60" s="62"/>
      <c r="N60" s="62" t="s">
        <v>1199</v>
      </c>
      <c r="O60" s="62" t="s">
        <v>72</v>
      </c>
    </row>
    <row r="61" spans="1:15" x14ac:dyDescent="0.2">
      <c r="A61" s="62" t="s">
        <v>523</v>
      </c>
      <c r="B61" s="62" t="s">
        <v>1197</v>
      </c>
      <c r="C61" s="62"/>
      <c r="D61" s="62"/>
      <c r="E61" s="62"/>
      <c r="F61" s="62"/>
      <c r="G61" s="62"/>
      <c r="H61" s="62"/>
      <c r="I61" s="62"/>
      <c r="J61" s="62"/>
      <c r="K61" s="62"/>
      <c r="L61" s="62"/>
      <c r="M61" s="62" t="s">
        <v>1261</v>
      </c>
      <c r="N61" s="62" t="s">
        <v>1199</v>
      </c>
      <c r="O61" s="62"/>
    </row>
    <row r="62" spans="1:15" x14ac:dyDescent="0.2">
      <c r="A62" s="62" t="s">
        <v>524</v>
      </c>
      <c r="B62" s="62" t="s">
        <v>1197</v>
      </c>
      <c r="C62" s="62"/>
      <c r="D62" s="62"/>
      <c r="E62" s="62" t="s">
        <v>52</v>
      </c>
      <c r="F62" s="62" t="s">
        <v>52</v>
      </c>
      <c r="G62" s="62" t="s">
        <v>100</v>
      </c>
      <c r="H62" s="63">
        <v>43664</v>
      </c>
      <c r="I62" s="63">
        <v>44007</v>
      </c>
      <c r="J62" s="62"/>
      <c r="K62" s="62"/>
      <c r="L62" s="62"/>
      <c r="M62" s="62"/>
      <c r="N62" s="62" t="s">
        <v>1199</v>
      </c>
      <c r="O62" s="62" t="s">
        <v>99</v>
      </c>
    </row>
    <row r="63" spans="1:15" x14ac:dyDescent="0.2">
      <c r="A63" s="62" t="s">
        <v>234</v>
      </c>
      <c r="B63" s="62" t="s">
        <v>1197</v>
      </c>
      <c r="C63" s="62"/>
      <c r="D63" s="62"/>
      <c r="E63" s="62" t="s">
        <v>52</v>
      </c>
      <c r="F63" s="62" t="s">
        <v>52</v>
      </c>
      <c r="G63" s="62" t="s">
        <v>100</v>
      </c>
      <c r="H63" s="63">
        <v>43802</v>
      </c>
      <c r="I63" s="63">
        <v>43853</v>
      </c>
      <c r="J63" s="62"/>
      <c r="K63" s="62"/>
      <c r="L63" s="62"/>
      <c r="M63" s="62"/>
      <c r="N63" s="62" t="s">
        <v>1199</v>
      </c>
      <c r="O63" s="62" t="s">
        <v>925</v>
      </c>
    </row>
    <row r="64" spans="1:15" x14ac:dyDescent="0.2">
      <c r="A64" s="62" t="s">
        <v>525</v>
      </c>
      <c r="B64" s="62" t="s">
        <v>1197</v>
      </c>
      <c r="C64" s="62"/>
      <c r="D64" s="62"/>
      <c r="E64" s="62" t="s">
        <v>50</v>
      </c>
      <c r="F64" s="62" t="s">
        <v>52</v>
      </c>
      <c r="G64" s="62" t="s">
        <v>848</v>
      </c>
      <c r="H64" s="63">
        <v>43921</v>
      </c>
      <c r="I64" s="63">
        <v>43976</v>
      </c>
      <c r="J64" s="62"/>
      <c r="K64" s="62"/>
      <c r="L64" s="62"/>
      <c r="M64" s="62"/>
      <c r="N64" s="62" t="s">
        <v>1199</v>
      </c>
      <c r="O64" s="62" t="s">
        <v>926</v>
      </c>
    </row>
    <row r="65" spans="1:15" x14ac:dyDescent="0.2">
      <c r="A65" s="62" t="s">
        <v>241</v>
      </c>
      <c r="B65" s="62" t="s">
        <v>1197</v>
      </c>
      <c r="C65" s="62"/>
      <c r="D65" s="62"/>
      <c r="E65" s="62" t="s">
        <v>50</v>
      </c>
      <c r="F65" s="62" t="s">
        <v>52</v>
      </c>
      <c r="G65" s="62" t="s">
        <v>848</v>
      </c>
      <c r="H65" s="63">
        <v>44074</v>
      </c>
      <c r="I65" s="63">
        <v>44085</v>
      </c>
      <c r="J65" s="62"/>
      <c r="K65" s="62"/>
      <c r="L65" s="62"/>
      <c r="M65" s="62"/>
      <c r="N65" s="62" t="s">
        <v>1199</v>
      </c>
      <c r="O65" s="62" t="s">
        <v>1262</v>
      </c>
    </row>
    <row r="66" spans="1:15" x14ac:dyDescent="0.2">
      <c r="A66" s="62" t="s">
        <v>526</v>
      </c>
      <c r="B66" s="62" t="s">
        <v>1197</v>
      </c>
      <c r="C66" s="62"/>
      <c r="D66" s="62"/>
      <c r="E66" s="62" t="s">
        <v>52</v>
      </c>
      <c r="F66" s="62" t="s">
        <v>52</v>
      </c>
      <c r="G66" s="62" t="s">
        <v>100</v>
      </c>
      <c r="H66" s="63">
        <v>44142</v>
      </c>
      <c r="I66" s="63">
        <v>44157</v>
      </c>
      <c r="J66" s="62"/>
      <c r="K66" s="62"/>
      <c r="L66" s="62"/>
      <c r="M66" s="62" t="s">
        <v>1263</v>
      </c>
      <c r="N66" s="62" t="s">
        <v>1199</v>
      </c>
      <c r="O66" s="62" t="s">
        <v>1264</v>
      </c>
    </row>
    <row r="67" spans="1:15" x14ac:dyDescent="0.2">
      <c r="A67" s="62" t="s">
        <v>487</v>
      </c>
      <c r="B67" s="62" t="s">
        <v>1197</v>
      </c>
      <c r="C67" s="62"/>
      <c r="D67" s="62"/>
      <c r="E67" s="62" t="s">
        <v>50</v>
      </c>
      <c r="F67" s="62" t="s">
        <v>52</v>
      </c>
      <c r="G67" s="62" t="s">
        <v>848</v>
      </c>
      <c r="H67" s="63">
        <v>43368</v>
      </c>
      <c r="I67" s="63">
        <v>43388</v>
      </c>
      <c r="J67" s="62"/>
      <c r="K67" s="62"/>
      <c r="L67" s="62" t="s">
        <v>1265</v>
      </c>
      <c r="M67" s="62"/>
      <c r="N67" s="62" t="s">
        <v>1199</v>
      </c>
      <c r="O67" s="62" t="s">
        <v>930</v>
      </c>
    </row>
    <row r="68" spans="1:15" x14ac:dyDescent="0.2">
      <c r="A68" s="62" t="s">
        <v>492</v>
      </c>
      <c r="B68" s="62" t="s">
        <v>1197</v>
      </c>
      <c r="C68" s="62"/>
      <c r="D68" s="62"/>
      <c r="E68" s="62" t="s">
        <v>52</v>
      </c>
      <c r="F68" s="62" t="s">
        <v>52</v>
      </c>
      <c r="G68" s="62" t="s">
        <v>100</v>
      </c>
      <c r="H68" s="63">
        <v>43384</v>
      </c>
      <c r="I68" s="63">
        <v>43404</v>
      </c>
      <c r="J68" s="62"/>
      <c r="K68" s="62"/>
      <c r="L68" s="62" t="s">
        <v>1266</v>
      </c>
      <c r="M68" s="62"/>
      <c r="N68" s="62" t="s">
        <v>1199</v>
      </c>
      <c r="O68" s="62" t="s">
        <v>931</v>
      </c>
    </row>
    <row r="69" spans="1:15" x14ac:dyDescent="0.2">
      <c r="A69" s="62" t="s">
        <v>245</v>
      </c>
      <c r="B69" s="62" t="s">
        <v>1197</v>
      </c>
      <c r="C69" s="62"/>
      <c r="D69" s="62"/>
      <c r="E69" s="62" t="s">
        <v>52</v>
      </c>
      <c r="F69" s="62" t="s">
        <v>52</v>
      </c>
      <c r="G69" s="62" t="s">
        <v>100</v>
      </c>
      <c r="H69" s="63">
        <v>43508</v>
      </c>
      <c r="I69" s="63">
        <v>43542</v>
      </c>
      <c r="J69" s="62"/>
      <c r="K69" s="62"/>
      <c r="L69" s="62" t="s">
        <v>1267</v>
      </c>
      <c r="M69" s="62"/>
      <c r="N69" s="62" t="s">
        <v>1199</v>
      </c>
      <c r="O69" s="62" t="s">
        <v>932</v>
      </c>
    </row>
    <row r="70" spans="1:15" x14ac:dyDescent="0.2">
      <c r="A70" s="62" t="s">
        <v>253</v>
      </c>
      <c r="B70" s="62" t="s">
        <v>1197</v>
      </c>
      <c r="C70" s="62"/>
      <c r="D70" s="62"/>
      <c r="E70" s="62" t="s">
        <v>50</v>
      </c>
      <c r="F70" s="62" t="s">
        <v>50</v>
      </c>
      <c r="G70" s="62" t="s">
        <v>848</v>
      </c>
      <c r="H70" s="63">
        <v>43552</v>
      </c>
      <c r="I70" s="63">
        <v>43552</v>
      </c>
      <c r="J70" s="62"/>
      <c r="K70" s="62"/>
      <c r="L70" s="62" t="s">
        <v>1268</v>
      </c>
      <c r="M70" s="62"/>
      <c r="N70" s="62" t="s">
        <v>1199</v>
      </c>
      <c r="O70" s="62" t="s">
        <v>933</v>
      </c>
    </row>
    <row r="71" spans="1:15" x14ac:dyDescent="0.2">
      <c r="A71" s="62" t="s">
        <v>264</v>
      </c>
      <c r="B71" s="62" t="s">
        <v>1197</v>
      </c>
      <c r="C71" s="62"/>
      <c r="D71" s="62"/>
      <c r="E71" s="62" t="s">
        <v>50</v>
      </c>
      <c r="F71" s="62" t="s">
        <v>50</v>
      </c>
      <c r="G71" s="62" t="s">
        <v>848</v>
      </c>
      <c r="H71" s="63">
        <v>43549</v>
      </c>
      <c r="I71" s="63">
        <v>43587</v>
      </c>
      <c r="J71" s="62"/>
      <c r="K71" s="62"/>
      <c r="L71" s="62" t="s">
        <v>1269</v>
      </c>
      <c r="M71" s="62"/>
      <c r="N71" s="62" t="s">
        <v>1199</v>
      </c>
      <c r="O71" s="62" t="s">
        <v>889</v>
      </c>
    </row>
    <row r="72" spans="1:15" x14ac:dyDescent="0.2">
      <c r="A72" s="62" t="s">
        <v>527</v>
      </c>
      <c r="B72" s="62" t="s">
        <v>1197</v>
      </c>
      <c r="C72" s="62"/>
      <c r="D72" s="62"/>
      <c r="E72" s="62" t="s">
        <v>50</v>
      </c>
      <c r="F72" s="62" t="s">
        <v>52</v>
      </c>
      <c r="G72" s="62" t="s">
        <v>848</v>
      </c>
      <c r="H72" s="63">
        <v>43726</v>
      </c>
      <c r="I72" s="63">
        <v>43741</v>
      </c>
      <c r="J72" s="62"/>
      <c r="K72" s="62"/>
      <c r="L72" s="62" t="s">
        <v>1270</v>
      </c>
      <c r="M72" s="62"/>
      <c r="N72" s="62" t="s">
        <v>1199</v>
      </c>
      <c r="O72" s="62" t="s">
        <v>917</v>
      </c>
    </row>
    <row r="73" spans="1:15" x14ac:dyDescent="0.2">
      <c r="A73" s="62" t="s">
        <v>272</v>
      </c>
      <c r="B73" s="62" t="s">
        <v>1197</v>
      </c>
      <c r="C73" s="62"/>
      <c r="D73" s="62"/>
      <c r="E73" s="62" t="s">
        <v>52</v>
      </c>
      <c r="F73" s="62" t="s">
        <v>52</v>
      </c>
      <c r="G73" s="62" t="s">
        <v>100</v>
      </c>
      <c r="H73" s="63">
        <v>43780</v>
      </c>
      <c r="I73" s="63">
        <v>43802</v>
      </c>
      <c r="J73" s="62"/>
      <c r="K73" s="62"/>
      <c r="L73" s="62" t="s">
        <v>1198</v>
      </c>
      <c r="M73" s="62"/>
      <c r="N73" s="62" t="s">
        <v>1199</v>
      </c>
      <c r="O73" s="62" t="s">
        <v>900</v>
      </c>
    </row>
    <row r="74" spans="1:15" x14ac:dyDescent="0.2">
      <c r="A74" s="62" t="s">
        <v>282</v>
      </c>
      <c r="B74" s="62" t="s">
        <v>1197</v>
      </c>
      <c r="C74" s="62"/>
      <c r="D74" s="62"/>
      <c r="E74" s="62" t="s">
        <v>52</v>
      </c>
      <c r="F74" s="62" t="s">
        <v>50</v>
      </c>
      <c r="G74" s="62" t="s">
        <v>848</v>
      </c>
      <c r="H74" s="63">
        <v>43794</v>
      </c>
      <c r="I74" s="63">
        <v>43818</v>
      </c>
      <c r="J74" s="62"/>
      <c r="K74" s="62"/>
      <c r="L74" s="62" t="s">
        <v>1271</v>
      </c>
      <c r="M74" s="62"/>
      <c r="N74" s="62" t="s">
        <v>1199</v>
      </c>
      <c r="O74" s="62" t="s">
        <v>900</v>
      </c>
    </row>
    <row r="75" spans="1:15" x14ac:dyDescent="0.2">
      <c r="A75" s="62" t="s">
        <v>289</v>
      </c>
      <c r="B75" s="62" t="s">
        <v>1197</v>
      </c>
      <c r="C75" s="62"/>
      <c r="D75" s="62"/>
      <c r="E75" s="62" t="s">
        <v>52</v>
      </c>
      <c r="F75" s="62" t="s">
        <v>52</v>
      </c>
      <c r="G75" s="62" t="s">
        <v>100</v>
      </c>
      <c r="H75" s="63">
        <v>43601</v>
      </c>
      <c r="I75" s="63">
        <v>43774</v>
      </c>
      <c r="J75" s="62" t="s">
        <v>1239</v>
      </c>
      <c r="K75" s="62"/>
      <c r="L75" s="62"/>
      <c r="M75" s="62"/>
      <c r="N75" s="62" t="s">
        <v>1199</v>
      </c>
      <c r="O75" s="62" t="s">
        <v>1222</v>
      </c>
    </row>
    <row r="76" spans="1:15" x14ac:dyDescent="0.2">
      <c r="A76" s="62" t="s">
        <v>298</v>
      </c>
      <c r="B76" s="62" t="s">
        <v>1197</v>
      </c>
      <c r="C76" s="62"/>
      <c r="D76" s="62"/>
      <c r="E76" s="62" t="s">
        <v>52</v>
      </c>
      <c r="F76" s="62" t="s">
        <v>50</v>
      </c>
      <c r="G76" s="62" t="s">
        <v>848</v>
      </c>
      <c r="H76" s="63">
        <v>43626</v>
      </c>
      <c r="I76" s="63">
        <v>43626</v>
      </c>
      <c r="J76" s="62"/>
      <c r="K76" s="62"/>
      <c r="L76" s="62"/>
      <c r="M76" s="62"/>
      <c r="N76" s="62" t="s">
        <v>1199</v>
      </c>
      <c r="O76" s="62" t="s">
        <v>902</v>
      </c>
    </row>
    <row r="77" spans="1:15" x14ac:dyDescent="0.2">
      <c r="A77" s="62" t="s">
        <v>528</v>
      </c>
      <c r="B77" s="62" t="s">
        <v>1197</v>
      </c>
      <c r="C77" s="62"/>
      <c r="D77" s="62"/>
      <c r="E77" s="62" t="s">
        <v>50</v>
      </c>
      <c r="F77" s="62" t="s">
        <v>52</v>
      </c>
      <c r="G77" s="62" t="s">
        <v>848</v>
      </c>
      <c r="H77" s="63">
        <v>43646</v>
      </c>
      <c r="I77" s="63">
        <v>43812</v>
      </c>
      <c r="J77" s="62" t="s">
        <v>1239</v>
      </c>
      <c r="K77" s="62"/>
      <c r="L77" s="62"/>
      <c r="M77" s="62"/>
      <c r="N77" s="62" t="s">
        <v>1199</v>
      </c>
      <c r="O77" s="62" t="s">
        <v>896</v>
      </c>
    </row>
    <row r="78" spans="1:15" x14ac:dyDescent="0.2">
      <c r="A78" s="62" t="s">
        <v>309</v>
      </c>
      <c r="B78" s="62" t="s">
        <v>1197</v>
      </c>
      <c r="C78" s="62"/>
      <c r="D78" s="62"/>
      <c r="E78" s="62" t="s">
        <v>50</v>
      </c>
      <c r="F78" s="62" t="s">
        <v>52</v>
      </c>
      <c r="G78" s="62" t="s">
        <v>848</v>
      </c>
      <c r="H78" s="63">
        <v>43684</v>
      </c>
      <c r="I78" s="63">
        <v>43808</v>
      </c>
      <c r="J78" s="62" t="s">
        <v>1239</v>
      </c>
      <c r="K78" s="62"/>
      <c r="L78" s="62"/>
      <c r="M78" s="62"/>
      <c r="N78" s="62" t="s">
        <v>1199</v>
      </c>
      <c r="O78" s="62" t="s">
        <v>1201</v>
      </c>
    </row>
    <row r="79" spans="1:15" x14ac:dyDescent="0.2">
      <c r="A79" s="62" t="s">
        <v>317</v>
      </c>
      <c r="B79" s="62" t="s">
        <v>1197</v>
      </c>
      <c r="C79" s="62"/>
      <c r="D79" s="62"/>
      <c r="E79" s="62" t="s">
        <v>52</v>
      </c>
      <c r="F79" s="62" t="s">
        <v>52</v>
      </c>
      <c r="G79" s="62" t="s">
        <v>100</v>
      </c>
      <c r="H79" s="63">
        <v>43704</v>
      </c>
      <c r="I79" s="63">
        <v>43704</v>
      </c>
      <c r="J79" s="62"/>
      <c r="K79" s="62"/>
      <c r="L79" s="62"/>
      <c r="M79" s="62"/>
      <c r="N79" s="62" t="s">
        <v>1199</v>
      </c>
      <c r="O79" s="62" t="s">
        <v>1272</v>
      </c>
    </row>
    <row r="80" spans="1:15" x14ac:dyDescent="0.2">
      <c r="A80" s="62" t="s">
        <v>529</v>
      </c>
      <c r="B80" s="62" t="s">
        <v>1197</v>
      </c>
      <c r="C80" s="62"/>
      <c r="D80" s="62"/>
      <c r="E80" s="62" t="s">
        <v>52</v>
      </c>
      <c r="F80" s="62" t="s">
        <v>52</v>
      </c>
      <c r="G80" s="62" t="s">
        <v>100</v>
      </c>
      <c r="H80" s="63">
        <v>43718</v>
      </c>
      <c r="I80" s="63">
        <v>43718</v>
      </c>
      <c r="J80" s="62"/>
      <c r="K80" s="62"/>
      <c r="L80" s="62"/>
      <c r="M80" s="62"/>
      <c r="N80" s="62" t="s">
        <v>1199</v>
      </c>
      <c r="O80" s="62" t="s">
        <v>1273</v>
      </c>
    </row>
    <row r="81" spans="1:15" x14ac:dyDescent="0.2">
      <c r="A81" s="62" t="s">
        <v>324</v>
      </c>
      <c r="B81" s="62" t="s">
        <v>1197</v>
      </c>
      <c r="C81" s="62"/>
      <c r="D81" s="62"/>
      <c r="E81" s="62" t="s">
        <v>50</v>
      </c>
      <c r="F81" s="62" t="s">
        <v>52</v>
      </c>
      <c r="G81" s="62" t="s">
        <v>848</v>
      </c>
      <c r="H81" s="63">
        <v>43747</v>
      </c>
      <c r="I81" s="63">
        <v>43774</v>
      </c>
      <c r="J81" s="62"/>
      <c r="K81" s="62"/>
      <c r="L81" s="62"/>
      <c r="M81" s="62"/>
      <c r="N81" s="62" t="s">
        <v>1199</v>
      </c>
      <c r="O81" s="62" t="s">
        <v>938</v>
      </c>
    </row>
    <row r="82" spans="1:15" x14ac:dyDescent="0.2">
      <c r="A82" s="62" t="s">
        <v>329</v>
      </c>
      <c r="B82" s="62" t="s">
        <v>1197</v>
      </c>
      <c r="C82" s="62"/>
      <c r="D82" s="62"/>
      <c r="E82" s="62" t="s">
        <v>52</v>
      </c>
      <c r="F82" s="62" t="s">
        <v>52</v>
      </c>
      <c r="G82" s="62" t="s">
        <v>100</v>
      </c>
      <c r="H82" s="63">
        <v>43761</v>
      </c>
      <c r="I82" s="63">
        <v>43874</v>
      </c>
      <c r="J82" s="62"/>
      <c r="K82" s="62"/>
      <c r="L82" s="62"/>
      <c r="M82" s="62"/>
      <c r="N82" s="62" t="s">
        <v>1199</v>
      </c>
      <c r="O82" s="62" t="s">
        <v>1274</v>
      </c>
    </row>
    <row r="83" spans="1:15" x14ac:dyDescent="0.2">
      <c r="A83" s="62" t="s">
        <v>335</v>
      </c>
      <c r="B83" s="62" t="s">
        <v>1197</v>
      </c>
      <c r="C83" s="62"/>
      <c r="D83" s="62"/>
      <c r="E83" s="62" t="s">
        <v>52</v>
      </c>
      <c r="F83" s="62" t="s">
        <v>52</v>
      </c>
      <c r="G83" s="62" t="s">
        <v>100</v>
      </c>
      <c r="H83" s="63">
        <v>43892</v>
      </c>
      <c r="I83" s="63">
        <v>43906</v>
      </c>
      <c r="J83" s="62"/>
      <c r="K83" s="62"/>
      <c r="L83" s="62"/>
      <c r="M83" s="62"/>
      <c r="N83" s="62" t="s">
        <v>1199</v>
      </c>
      <c r="O83" s="62" t="s">
        <v>382</v>
      </c>
    </row>
    <row r="84" spans="1:15" x14ac:dyDescent="0.2">
      <c r="A84" s="62" t="s">
        <v>339</v>
      </c>
      <c r="B84" s="62" t="s">
        <v>1197</v>
      </c>
      <c r="C84" s="62"/>
      <c r="D84" s="62"/>
      <c r="E84" s="62" t="s">
        <v>52</v>
      </c>
      <c r="F84" s="62" t="s">
        <v>52</v>
      </c>
      <c r="G84" s="62" t="s">
        <v>100</v>
      </c>
      <c r="H84" s="63">
        <v>43882</v>
      </c>
      <c r="I84" s="63">
        <v>44181</v>
      </c>
      <c r="J84" s="62"/>
      <c r="K84" s="62"/>
      <c r="L84" s="62"/>
      <c r="M84" s="62"/>
      <c r="N84" s="62" t="s">
        <v>1199</v>
      </c>
      <c r="O84" s="62" t="s">
        <v>882</v>
      </c>
    </row>
    <row r="85" spans="1:15" x14ac:dyDescent="0.2">
      <c r="A85" s="62" t="s">
        <v>531</v>
      </c>
      <c r="B85" s="62" t="s">
        <v>1197</v>
      </c>
      <c r="C85" s="62"/>
      <c r="D85" s="62"/>
      <c r="E85" s="62" t="s">
        <v>50</v>
      </c>
      <c r="F85" s="62" t="s">
        <v>50</v>
      </c>
      <c r="G85" s="62" t="s">
        <v>848</v>
      </c>
      <c r="H85" s="63">
        <v>43922</v>
      </c>
      <c r="I85" s="63">
        <v>44053</v>
      </c>
      <c r="J85" s="62"/>
      <c r="K85" s="62"/>
      <c r="L85" s="62"/>
      <c r="M85" s="62"/>
      <c r="N85" s="62" t="s">
        <v>1199</v>
      </c>
      <c r="O85" s="62" t="s">
        <v>72</v>
      </c>
    </row>
    <row r="86" spans="1:15" x14ac:dyDescent="0.2">
      <c r="A86" s="62" t="s">
        <v>532</v>
      </c>
      <c r="B86" s="62" t="s">
        <v>1197</v>
      </c>
      <c r="C86" s="62"/>
      <c r="D86" s="62"/>
      <c r="E86" s="62" t="s">
        <v>50</v>
      </c>
      <c r="F86" s="62" t="s">
        <v>52</v>
      </c>
      <c r="G86" s="62" t="s">
        <v>848</v>
      </c>
      <c r="H86" s="63">
        <v>43920</v>
      </c>
      <c r="I86" s="63">
        <v>44047</v>
      </c>
      <c r="J86" s="62"/>
      <c r="K86" s="62"/>
      <c r="L86" s="62"/>
      <c r="M86" s="62"/>
      <c r="N86" s="62" t="s">
        <v>1199</v>
      </c>
      <c r="O86" s="62" t="s">
        <v>939</v>
      </c>
    </row>
    <row r="87" spans="1:15" x14ac:dyDescent="0.2">
      <c r="A87" s="62" t="s">
        <v>345</v>
      </c>
      <c r="B87" s="62" t="s">
        <v>1197</v>
      </c>
      <c r="C87" s="62"/>
      <c r="D87" s="62"/>
      <c r="E87" s="62" t="s">
        <v>50</v>
      </c>
      <c r="F87" s="62" t="s">
        <v>50</v>
      </c>
      <c r="G87" s="62" t="s">
        <v>848</v>
      </c>
      <c r="H87" s="63">
        <v>44040</v>
      </c>
      <c r="I87" s="63">
        <v>44046</v>
      </c>
      <c r="J87" s="62"/>
      <c r="K87" s="62"/>
      <c r="L87" s="62"/>
      <c r="M87" s="62"/>
      <c r="N87" s="62" t="s">
        <v>1199</v>
      </c>
      <c r="O87" s="62" t="s">
        <v>940</v>
      </c>
    </row>
    <row r="88" spans="1:15" x14ac:dyDescent="0.2">
      <c r="A88" s="62" t="s">
        <v>350</v>
      </c>
      <c r="B88" s="62" t="s">
        <v>1197</v>
      </c>
      <c r="C88" s="62"/>
      <c r="D88" s="62"/>
      <c r="E88" s="62" t="s">
        <v>50</v>
      </c>
      <c r="F88" s="62" t="s">
        <v>52</v>
      </c>
      <c r="G88" s="62" t="s">
        <v>848</v>
      </c>
      <c r="H88" s="63">
        <v>44048</v>
      </c>
      <c r="I88" s="63">
        <v>44054</v>
      </c>
      <c r="J88" s="62"/>
      <c r="K88" s="62"/>
      <c r="L88" s="62"/>
      <c r="M88" s="62"/>
      <c r="N88" s="62" t="s">
        <v>1199</v>
      </c>
      <c r="O88" s="62" t="s">
        <v>904</v>
      </c>
    </row>
    <row r="89" spans="1:15" x14ac:dyDescent="0.2">
      <c r="A89" s="62" t="s">
        <v>533</v>
      </c>
      <c r="B89" s="62" t="s">
        <v>1197</v>
      </c>
      <c r="C89" s="62"/>
      <c r="D89" s="62"/>
      <c r="E89" s="62" t="s">
        <v>50</v>
      </c>
      <c r="F89" s="62" t="s">
        <v>52</v>
      </c>
      <c r="G89" s="62" t="s">
        <v>848</v>
      </c>
      <c r="H89" s="63">
        <v>44085</v>
      </c>
      <c r="I89" s="63">
        <v>44153</v>
      </c>
      <c r="J89" s="62"/>
      <c r="K89" s="62"/>
      <c r="L89" s="62"/>
      <c r="M89" s="62"/>
      <c r="N89" s="62" t="s">
        <v>1199</v>
      </c>
      <c r="O89" s="62" t="s">
        <v>1201</v>
      </c>
    </row>
    <row r="90" spans="1:15" x14ac:dyDescent="0.2">
      <c r="A90" s="62" t="s">
        <v>534</v>
      </c>
      <c r="B90" s="62" t="s">
        <v>1197</v>
      </c>
      <c r="C90" s="62"/>
      <c r="D90" s="62"/>
      <c r="E90" s="62" t="s">
        <v>50</v>
      </c>
      <c r="F90" s="62" t="s">
        <v>52</v>
      </c>
      <c r="G90" s="62" t="s">
        <v>848</v>
      </c>
      <c r="H90" s="63">
        <v>44099</v>
      </c>
      <c r="I90" s="63">
        <v>44207</v>
      </c>
      <c r="J90" s="62"/>
      <c r="K90" s="62"/>
      <c r="L90" s="62"/>
      <c r="M90" s="62"/>
      <c r="N90" s="62" t="s">
        <v>1199</v>
      </c>
      <c r="O90" s="62" t="s">
        <v>904</v>
      </c>
    </row>
    <row r="91" spans="1:15" x14ac:dyDescent="0.2">
      <c r="A91" s="62" t="s">
        <v>537</v>
      </c>
      <c r="B91" s="62" t="s">
        <v>1197</v>
      </c>
      <c r="C91" s="62"/>
      <c r="D91" s="62"/>
      <c r="E91" s="62" t="s">
        <v>52</v>
      </c>
      <c r="F91" s="62" t="s">
        <v>52</v>
      </c>
      <c r="G91" s="62" t="s">
        <v>100</v>
      </c>
      <c r="H91" s="63">
        <v>44137</v>
      </c>
      <c r="I91" s="63">
        <v>44181</v>
      </c>
      <c r="J91" s="62"/>
      <c r="K91" s="62"/>
      <c r="L91" s="62"/>
      <c r="M91" s="62"/>
      <c r="N91" s="62" t="s">
        <v>1199</v>
      </c>
      <c r="O91" s="62" t="s">
        <v>932</v>
      </c>
    </row>
    <row r="92" spans="1:15" x14ac:dyDescent="0.2">
      <c r="A92" s="62" t="s">
        <v>538</v>
      </c>
      <c r="B92" s="62" t="s">
        <v>1197</v>
      </c>
      <c r="C92" s="62"/>
      <c r="D92" s="62"/>
      <c r="E92" s="62" t="s">
        <v>52</v>
      </c>
      <c r="F92" s="62" t="s">
        <v>50</v>
      </c>
      <c r="G92" s="62" t="s">
        <v>848</v>
      </c>
      <c r="H92" s="63">
        <v>44132</v>
      </c>
      <c r="I92" s="63">
        <v>44193</v>
      </c>
      <c r="J92" s="62"/>
      <c r="K92" s="62"/>
      <c r="L92" s="62"/>
      <c r="M92" s="62"/>
      <c r="N92" s="62" t="s">
        <v>1199</v>
      </c>
      <c r="O92" s="62" t="s">
        <v>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81FA-5B24-CC45-878F-6DB53E2EDDA1}">
  <dimension ref="A1:AB93"/>
  <sheetViews>
    <sheetView workbookViewId="0">
      <selection activeCell="W28" sqref="W28"/>
    </sheetView>
  </sheetViews>
  <sheetFormatPr baseColWidth="10" defaultRowHeight="16" x14ac:dyDescent="0.2"/>
  <cols>
    <col min="22" max="22" width="10.83203125" style="61"/>
  </cols>
  <sheetData>
    <row r="1" spans="1:28" x14ac:dyDescent="0.2">
      <c r="A1" s="5" t="s">
        <v>510</v>
      </c>
      <c r="B1" s="6" t="s">
        <v>1115</v>
      </c>
      <c r="C1" s="6" t="s">
        <v>845</v>
      </c>
      <c r="D1" s="6" t="s">
        <v>848</v>
      </c>
      <c r="E1" s="50" t="s">
        <v>8</v>
      </c>
      <c r="F1" s="50" t="s">
        <v>9</v>
      </c>
      <c r="G1" s="6" t="s">
        <v>1116</v>
      </c>
      <c r="H1" s="6" t="s">
        <v>1117</v>
      </c>
      <c r="I1" s="50" t="s">
        <v>10</v>
      </c>
      <c r="J1" s="50" t="s">
        <v>11</v>
      </c>
      <c r="K1" s="50" t="s">
        <v>12</v>
      </c>
      <c r="L1" s="50" t="s">
        <v>1118</v>
      </c>
      <c r="M1" s="50" t="s">
        <v>1119</v>
      </c>
      <c r="N1" s="50" t="s">
        <v>1120</v>
      </c>
      <c r="O1" s="50" t="s">
        <v>1121</v>
      </c>
      <c r="P1" s="50" t="s">
        <v>1122</v>
      </c>
      <c r="Q1" s="50" t="s">
        <v>511</v>
      </c>
      <c r="R1" s="50" t="s">
        <v>512</v>
      </c>
      <c r="S1" s="50" t="s">
        <v>13</v>
      </c>
      <c r="T1" s="50" t="s">
        <v>14</v>
      </c>
      <c r="U1" s="50" t="s">
        <v>15</v>
      </c>
      <c r="V1" s="51" t="s">
        <v>539</v>
      </c>
      <c r="W1" s="51" t="s">
        <v>1123</v>
      </c>
      <c r="X1" s="6" t="s">
        <v>540</v>
      </c>
      <c r="Y1" s="51" t="s">
        <v>1124</v>
      </c>
      <c r="Z1" s="6" t="s">
        <v>542</v>
      </c>
      <c r="AA1" s="6" t="s">
        <v>541</v>
      </c>
      <c r="AB1" s="12"/>
    </row>
    <row r="2" spans="1:28" x14ac:dyDescent="0.2">
      <c r="A2" s="12" t="s">
        <v>412</v>
      </c>
      <c r="B2" s="13">
        <v>1</v>
      </c>
      <c r="C2" s="13">
        <v>1</v>
      </c>
      <c r="D2" s="14">
        <v>0</v>
      </c>
      <c r="E2" s="52">
        <v>42409</v>
      </c>
      <c r="F2" s="52">
        <v>42422</v>
      </c>
      <c r="G2" s="13">
        <v>13</v>
      </c>
      <c r="H2" s="13">
        <v>1</v>
      </c>
      <c r="I2" s="52">
        <v>42465</v>
      </c>
      <c r="J2" s="52">
        <v>42503</v>
      </c>
      <c r="K2" s="52">
        <v>42458</v>
      </c>
      <c r="L2" s="52">
        <v>42479</v>
      </c>
      <c r="M2" s="52">
        <v>42500</v>
      </c>
      <c r="N2" s="52">
        <v>42521</v>
      </c>
      <c r="O2" s="52">
        <v>42543</v>
      </c>
      <c r="P2" s="52" t="s">
        <v>1125</v>
      </c>
      <c r="Q2" s="52">
        <v>42543</v>
      </c>
      <c r="R2" s="52" t="s">
        <v>513</v>
      </c>
      <c r="S2" s="52">
        <v>43247</v>
      </c>
      <c r="T2" s="52">
        <v>42641</v>
      </c>
      <c r="U2" s="52">
        <v>43248</v>
      </c>
      <c r="V2" s="53">
        <v>1</v>
      </c>
      <c r="W2" s="53">
        <v>7.62</v>
      </c>
      <c r="X2" s="13">
        <v>1</v>
      </c>
      <c r="Y2" s="53">
        <v>27.53</v>
      </c>
      <c r="Z2" s="13">
        <v>0</v>
      </c>
      <c r="AA2" s="13">
        <v>1</v>
      </c>
      <c r="AB2" s="12"/>
    </row>
    <row r="3" spans="1:28" x14ac:dyDescent="0.2">
      <c r="A3" s="12" t="s">
        <v>353</v>
      </c>
      <c r="B3" s="13">
        <v>1</v>
      </c>
      <c r="C3" s="13">
        <v>0</v>
      </c>
      <c r="D3" s="14">
        <v>1</v>
      </c>
      <c r="E3" s="52">
        <v>42486</v>
      </c>
      <c r="F3" s="52">
        <v>42493</v>
      </c>
      <c r="G3" s="13">
        <v>7</v>
      </c>
      <c r="H3" s="13">
        <v>0</v>
      </c>
      <c r="I3" s="52">
        <v>42537</v>
      </c>
      <c r="J3" s="52">
        <v>42580</v>
      </c>
      <c r="K3" s="52">
        <v>42530</v>
      </c>
      <c r="L3" s="52">
        <v>42550</v>
      </c>
      <c r="M3" s="52">
        <v>42571</v>
      </c>
      <c r="N3" s="52">
        <v>42592</v>
      </c>
      <c r="O3" s="52">
        <v>42613</v>
      </c>
      <c r="P3" s="52">
        <v>42634</v>
      </c>
      <c r="Q3" s="52">
        <v>42634</v>
      </c>
      <c r="R3" s="52" t="s">
        <v>513</v>
      </c>
      <c r="S3" s="52">
        <v>44295</v>
      </c>
      <c r="T3" s="52">
        <v>43950</v>
      </c>
      <c r="U3" s="52"/>
      <c r="V3" s="53">
        <v>1</v>
      </c>
      <c r="W3" s="53">
        <v>48.09</v>
      </c>
      <c r="X3" s="13">
        <v>0</v>
      </c>
      <c r="Y3" s="53">
        <v>59.43</v>
      </c>
      <c r="Z3" s="13">
        <v>1</v>
      </c>
      <c r="AA3" s="13">
        <v>2</v>
      </c>
      <c r="AB3" s="12"/>
    </row>
    <row r="4" spans="1:28" x14ac:dyDescent="0.2">
      <c r="A4" s="12" t="s">
        <v>358</v>
      </c>
      <c r="B4" s="13">
        <v>1</v>
      </c>
      <c r="C4" s="13">
        <v>0</v>
      </c>
      <c r="D4" s="14">
        <v>1</v>
      </c>
      <c r="E4" s="52">
        <v>42598</v>
      </c>
      <c r="F4" s="52">
        <v>42608</v>
      </c>
      <c r="G4" s="13">
        <v>10</v>
      </c>
      <c r="H4" s="13">
        <v>1</v>
      </c>
      <c r="I4" s="52">
        <v>42660</v>
      </c>
      <c r="J4" s="52">
        <v>42717</v>
      </c>
      <c r="K4" s="52">
        <v>42654</v>
      </c>
      <c r="L4" s="52">
        <v>42675</v>
      </c>
      <c r="M4" s="52">
        <v>42696</v>
      </c>
      <c r="N4" s="54" t="s">
        <v>1126</v>
      </c>
      <c r="O4" s="54" t="s">
        <v>1126</v>
      </c>
      <c r="P4" s="52">
        <v>42759</v>
      </c>
      <c r="Q4" s="52">
        <v>42759</v>
      </c>
      <c r="R4" s="52" t="s">
        <v>513</v>
      </c>
      <c r="S4" s="52">
        <v>44231</v>
      </c>
      <c r="T4" s="52"/>
      <c r="U4" s="52"/>
      <c r="V4" s="53">
        <v>0</v>
      </c>
      <c r="W4" s="53">
        <v>53.65</v>
      </c>
      <c r="X4" s="13">
        <v>0</v>
      </c>
      <c r="Y4" s="53">
        <v>53.65</v>
      </c>
      <c r="Z4" s="13">
        <v>1</v>
      </c>
      <c r="AA4" s="13">
        <v>1</v>
      </c>
      <c r="AB4" s="12"/>
    </row>
    <row r="5" spans="1:28" x14ac:dyDescent="0.2">
      <c r="A5" s="12" t="s">
        <v>514</v>
      </c>
      <c r="B5" s="13">
        <v>0</v>
      </c>
      <c r="C5" s="13">
        <v>0</v>
      </c>
      <c r="D5" s="14">
        <v>0</v>
      </c>
      <c r="E5" s="52">
        <v>42660</v>
      </c>
      <c r="F5" s="52">
        <v>42667</v>
      </c>
      <c r="G5" s="13">
        <v>7</v>
      </c>
      <c r="H5" s="13">
        <v>0</v>
      </c>
      <c r="I5" s="52" t="s">
        <v>513</v>
      </c>
      <c r="J5" s="52" t="s">
        <v>513</v>
      </c>
      <c r="K5" s="52" t="s">
        <v>513</v>
      </c>
      <c r="L5" s="52" t="s">
        <v>513</v>
      </c>
      <c r="M5" s="52" t="s">
        <v>513</v>
      </c>
      <c r="N5" s="52" t="s">
        <v>513</v>
      </c>
      <c r="O5" s="52" t="s">
        <v>513</v>
      </c>
      <c r="P5" s="52" t="s">
        <v>513</v>
      </c>
      <c r="Q5" s="52">
        <v>42677</v>
      </c>
      <c r="R5" s="52" t="s">
        <v>513</v>
      </c>
      <c r="S5" s="55">
        <v>43032</v>
      </c>
      <c r="T5" s="52"/>
      <c r="U5" s="52"/>
      <c r="V5" s="53">
        <v>0</v>
      </c>
      <c r="W5" s="53">
        <v>12.22</v>
      </c>
      <c r="X5" s="13">
        <v>0</v>
      </c>
      <c r="Y5" s="53">
        <v>12.22</v>
      </c>
      <c r="Z5" s="13">
        <v>0</v>
      </c>
      <c r="AA5" s="13">
        <v>0</v>
      </c>
      <c r="AB5" s="12"/>
    </row>
    <row r="6" spans="1:28" x14ac:dyDescent="0.2">
      <c r="A6" s="12" t="s">
        <v>363</v>
      </c>
      <c r="B6" s="13">
        <v>1</v>
      </c>
      <c r="C6" s="13">
        <v>0</v>
      </c>
      <c r="D6" s="14">
        <v>0</v>
      </c>
      <c r="E6" s="52">
        <v>42670</v>
      </c>
      <c r="F6" s="52">
        <v>42678</v>
      </c>
      <c r="G6" s="13">
        <v>8</v>
      </c>
      <c r="H6" s="13">
        <v>1</v>
      </c>
      <c r="I6" s="52">
        <v>42725</v>
      </c>
      <c r="J6" s="52">
        <v>42774</v>
      </c>
      <c r="K6" s="52">
        <v>42725</v>
      </c>
      <c r="L6" s="52">
        <v>42747</v>
      </c>
      <c r="M6" s="52">
        <v>42768</v>
      </c>
      <c r="N6" s="52">
        <v>42789</v>
      </c>
      <c r="O6" s="52">
        <v>42810</v>
      </c>
      <c r="P6" s="52" t="s">
        <v>1125</v>
      </c>
      <c r="Q6" s="56">
        <v>42831</v>
      </c>
      <c r="R6" s="52" t="s">
        <v>513</v>
      </c>
      <c r="S6" s="52">
        <v>44302</v>
      </c>
      <c r="T6" s="52"/>
      <c r="U6" s="52"/>
      <c r="V6" s="53">
        <v>0</v>
      </c>
      <c r="W6" s="53">
        <v>53.61</v>
      </c>
      <c r="X6" s="13">
        <v>0</v>
      </c>
      <c r="Y6" s="53">
        <v>53.61</v>
      </c>
      <c r="Z6" s="13">
        <v>1</v>
      </c>
      <c r="AA6" s="13">
        <v>1</v>
      </c>
      <c r="AB6" s="12"/>
    </row>
    <row r="7" spans="1:28" x14ac:dyDescent="0.2">
      <c r="A7" s="12" t="s">
        <v>417</v>
      </c>
      <c r="B7" s="13">
        <v>1</v>
      </c>
      <c r="C7" s="13">
        <v>1</v>
      </c>
      <c r="D7" s="14">
        <v>1</v>
      </c>
      <c r="E7" s="52">
        <v>42724</v>
      </c>
      <c r="F7" s="52">
        <v>42745</v>
      </c>
      <c r="G7" s="13">
        <v>21</v>
      </c>
      <c r="H7" s="13">
        <v>2</v>
      </c>
      <c r="I7" s="52">
        <v>42793</v>
      </c>
      <c r="J7" s="52">
        <v>42832</v>
      </c>
      <c r="K7" s="52">
        <v>42787</v>
      </c>
      <c r="L7" s="52">
        <v>42808</v>
      </c>
      <c r="M7" s="52">
        <v>42829</v>
      </c>
      <c r="N7" s="52">
        <v>42850</v>
      </c>
      <c r="O7" s="52">
        <v>42871</v>
      </c>
      <c r="P7" s="52">
        <v>42892</v>
      </c>
      <c r="Q7" s="52">
        <v>42892</v>
      </c>
      <c r="R7" s="52" t="s">
        <v>513</v>
      </c>
      <c r="S7" s="52">
        <v>42963</v>
      </c>
      <c r="T7" s="52">
        <v>42926</v>
      </c>
      <c r="U7" s="52">
        <v>42964</v>
      </c>
      <c r="V7" s="53">
        <v>1</v>
      </c>
      <c r="W7" s="53">
        <v>6.64</v>
      </c>
      <c r="X7" s="13">
        <v>1</v>
      </c>
      <c r="Y7" s="53">
        <v>7.85</v>
      </c>
      <c r="Z7" s="13">
        <v>0</v>
      </c>
      <c r="AA7" s="13">
        <v>1</v>
      </c>
      <c r="AB7" s="12"/>
    </row>
    <row r="8" spans="1:28" x14ac:dyDescent="0.2">
      <c r="A8" s="12" t="s">
        <v>515</v>
      </c>
      <c r="B8" s="13">
        <v>0</v>
      </c>
      <c r="C8" s="13">
        <v>0</v>
      </c>
      <c r="D8" s="14">
        <v>0</v>
      </c>
      <c r="E8" s="52">
        <v>42755</v>
      </c>
      <c r="F8" s="54">
        <v>42762</v>
      </c>
      <c r="G8" s="13">
        <v>7</v>
      </c>
      <c r="H8" s="13">
        <v>0</v>
      </c>
      <c r="I8" s="52">
        <v>42808</v>
      </c>
      <c r="J8" s="52">
        <v>42850</v>
      </c>
      <c r="K8" s="52" t="s">
        <v>513</v>
      </c>
      <c r="L8" s="52" t="s">
        <v>513</v>
      </c>
      <c r="M8" s="52" t="s">
        <v>513</v>
      </c>
      <c r="N8" s="52" t="s">
        <v>513</v>
      </c>
      <c r="O8" s="52" t="s">
        <v>513</v>
      </c>
      <c r="P8" s="52" t="s">
        <v>513</v>
      </c>
      <c r="Q8" s="52">
        <v>42801</v>
      </c>
      <c r="R8" s="52">
        <v>42801</v>
      </c>
      <c r="S8" s="55">
        <v>43600</v>
      </c>
      <c r="T8" s="52"/>
      <c r="U8" s="52"/>
      <c r="V8" s="53">
        <v>0</v>
      </c>
      <c r="W8" s="53">
        <v>27.76</v>
      </c>
      <c r="X8" s="13">
        <v>0</v>
      </c>
      <c r="Y8" s="53">
        <v>27.76</v>
      </c>
      <c r="Z8" s="13">
        <v>0</v>
      </c>
      <c r="AA8" s="13">
        <v>0</v>
      </c>
      <c r="AB8" s="12"/>
    </row>
    <row r="9" spans="1:28" x14ac:dyDescent="0.2">
      <c r="A9" s="12" t="s">
        <v>367</v>
      </c>
      <c r="B9" s="13">
        <v>1</v>
      </c>
      <c r="C9" s="13">
        <v>1</v>
      </c>
      <c r="D9" s="14">
        <v>0</v>
      </c>
      <c r="E9" s="52">
        <v>42891</v>
      </c>
      <c r="F9" s="52">
        <v>42898</v>
      </c>
      <c r="G9" s="13">
        <v>7</v>
      </c>
      <c r="H9" s="13">
        <v>0</v>
      </c>
      <c r="I9" s="52">
        <v>42947</v>
      </c>
      <c r="J9" s="52">
        <v>42987</v>
      </c>
      <c r="K9" s="52">
        <v>42934</v>
      </c>
      <c r="L9" s="52">
        <v>42955</v>
      </c>
      <c r="M9" s="52">
        <v>42976</v>
      </c>
      <c r="N9" s="52">
        <v>42997</v>
      </c>
      <c r="O9" s="52">
        <v>43018</v>
      </c>
      <c r="P9" s="52">
        <v>43039</v>
      </c>
      <c r="Q9" s="52">
        <v>43039</v>
      </c>
      <c r="R9" s="52" t="s">
        <v>513</v>
      </c>
      <c r="S9" s="55">
        <v>44253</v>
      </c>
      <c r="T9" s="52">
        <v>43537</v>
      </c>
      <c r="U9" s="52"/>
      <c r="V9" s="53">
        <v>1</v>
      </c>
      <c r="W9" s="53">
        <v>21.22</v>
      </c>
      <c r="X9" s="13">
        <v>0</v>
      </c>
      <c r="Y9" s="53">
        <v>44.74</v>
      </c>
      <c r="Z9" s="13">
        <v>1</v>
      </c>
      <c r="AA9" s="57">
        <v>1</v>
      </c>
      <c r="AB9" s="12" t="s">
        <v>1127</v>
      </c>
    </row>
    <row r="10" spans="1:28" x14ac:dyDescent="0.2">
      <c r="A10" s="12" t="s">
        <v>372</v>
      </c>
      <c r="B10" s="13">
        <v>1</v>
      </c>
      <c r="C10" s="13">
        <v>1</v>
      </c>
      <c r="D10" s="14">
        <v>1</v>
      </c>
      <c r="E10" s="52">
        <v>42950</v>
      </c>
      <c r="F10" s="52">
        <v>42958</v>
      </c>
      <c r="G10" s="13">
        <v>8</v>
      </c>
      <c r="H10" s="13">
        <v>1</v>
      </c>
      <c r="I10" s="52">
        <v>42991</v>
      </c>
      <c r="J10" s="52">
        <v>43032</v>
      </c>
      <c r="K10" s="55">
        <v>42984</v>
      </c>
      <c r="L10" s="52">
        <v>43005</v>
      </c>
      <c r="M10" s="52">
        <v>43026</v>
      </c>
      <c r="N10" s="55">
        <v>43047</v>
      </c>
      <c r="O10" s="52">
        <v>43068</v>
      </c>
      <c r="P10" s="52">
        <v>43089</v>
      </c>
      <c r="Q10" s="52">
        <v>43089</v>
      </c>
      <c r="R10" s="52" t="s">
        <v>513</v>
      </c>
      <c r="S10" s="52">
        <v>44229</v>
      </c>
      <c r="T10" s="52"/>
      <c r="U10" s="52"/>
      <c r="V10" s="53">
        <v>0</v>
      </c>
      <c r="W10" s="53">
        <v>42.02</v>
      </c>
      <c r="X10" s="13">
        <v>0</v>
      </c>
      <c r="Y10" s="53">
        <v>42.02</v>
      </c>
      <c r="Z10" s="13">
        <v>1</v>
      </c>
      <c r="AA10" s="57">
        <v>1</v>
      </c>
      <c r="AB10" s="12" t="s">
        <v>1127</v>
      </c>
    </row>
    <row r="11" spans="1:28" x14ac:dyDescent="0.2">
      <c r="A11" s="12" t="s">
        <v>376</v>
      </c>
      <c r="B11" s="13">
        <v>1</v>
      </c>
      <c r="C11" s="13">
        <v>1</v>
      </c>
      <c r="D11" s="14">
        <v>1</v>
      </c>
      <c r="E11" s="52">
        <v>42971</v>
      </c>
      <c r="F11" s="52">
        <v>42979</v>
      </c>
      <c r="G11" s="13">
        <v>8</v>
      </c>
      <c r="H11" s="13">
        <v>1</v>
      </c>
      <c r="I11" s="52">
        <v>43019</v>
      </c>
      <c r="J11" s="52">
        <v>43061</v>
      </c>
      <c r="K11" s="52">
        <v>43012</v>
      </c>
      <c r="L11" s="52">
        <v>43033</v>
      </c>
      <c r="M11" s="55">
        <v>43059</v>
      </c>
      <c r="N11" s="52">
        <v>43075</v>
      </c>
      <c r="O11" s="52">
        <v>43096</v>
      </c>
      <c r="P11" s="52">
        <v>43118</v>
      </c>
      <c r="Q11" s="52">
        <v>43118</v>
      </c>
      <c r="R11" s="52" t="s">
        <v>513</v>
      </c>
      <c r="S11" s="55">
        <v>44355</v>
      </c>
      <c r="T11" s="52">
        <v>43880</v>
      </c>
      <c r="U11" s="52"/>
      <c r="V11" s="53">
        <v>1</v>
      </c>
      <c r="W11" s="53">
        <v>29.86</v>
      </c>
      <c r="X11" s="13">
        <v>0</v>
      </c>
      <c r="Y11" s="53">
        <v>45.47</v>
      </c>
      <c r="Z11" s="13">
        <v>1</v>
      </c>
      <c r="AA11" s="13">
        <v>2</v>
      </c>
      <c r="AB11" s="12"/>
    </row>
    <row r="12" spans="1:28" x14ac:dyDescent="0.2">
      <c r="A12" s="12" t="s">
        <v>421</v>
      </c>
      <c r="B12" s="13">
        <v>1</v>
      </c>
      <c r="C12" s="13">
        <v>1</v>
      </c>
      <c r="D12" s="14">
        <v>1</v>
      </c>
      <c r="E12" s="52">
        <v>42984</v>
      </c>
      <c r="F12" s="52">
        <v>42993</v>
      </c>
      <c r="G12" s="13">
        <v>9</v>
      </c>
      <c r="H12" s="13">
        <v>1</v>
      </c>
      <c r="I12" s="52">
        <v>43046</v>
      </c>
      <c r="J12" s="52">
        <v>43089</v>
      </c>
      <c r="K12" s="52">
        <v>43039</v>
      </c>
      <c r="L12" s="52">
        <v>43059</v>
      </c>
      <c r="M12" s="52">
        <v>43082</v>
      </c>
      <c r="N12" s="52">
        <v>43102</v>
      </c>
      <c r="O12" s="52">
        <v>43123</v>
      </c>
      <c r="P12" s="52">
        <v>43144</v>
      </c>
      <c r="Q12" s="52">
        <v>43144</v>
      </c>
      <c r="R12" s="52" t="s">
        <v>513</v>
      </c>
      <c r="S12" s="52">
        <v>43355</v>
      </c>
      <c r="T12" s="52">
        <v>43216</v>
      </c>
      <c r="U12" s="52">
        <v>43356</v>
      </c>
      <c r="V12" s="53">
        <v>1</v>
      </c>
      <c r="W12" s="53">
        <v>7.62</v>
      </c>
      <c r="X12" s="13">
        <v>1</v>
      </c>
      <c r="Y12" s="53">
        <v>12.19</v>
      </c>
      <c r="Z12" s="13">
        <v>0</v>
      </c>
      <c r="AA12" s="13">
        <v>1</v>
      </c>
      <c r="AB12" s="12"/>
    </row>
    <row r="13" spans="1:28" x14ac:dyDescent="0.2">
      <c r="A13" s="12" t="s">
        <v>381</v>
      </c>
      <c r="B13" s="13">
        <v>1</v>
      </c>
      <c r="C13" s="13">
        <v>1</v>
      </c>
      <c r="D13" s="14">
        <v>0</v>
      </c>
      <c r="E13" s="52">
        <v>43011</v>
      </c>
      <c r="F13" s="52">
        <v>43024</v>
      </c>
      <c r="G13" s="13">
        <v>13</v>
      </c>
      <c r="H13" s="13">
        <v>1</v>
      </c>
      <c r="I13" s="52">
        <v>43059</v>
      </c>
      <c r="J13" s="52">
        <v>43104</v>
      </c>
      <c r="K13" s="52">
        <v>43052</v>
      </c>
      <c r="L13" s="52">
        <v>43074</v>
      </c>
      <c r="M13" s="52">
        <v>43095</v>
      </c>
      <c r="N13" s="52">
        <v>43116</v>
      </c>
      <c r="O13" s="52">
        <v>43139</v>
      </c>
      <c r="P13" s="52">
        <v>43158</v>
      </c>
      <c r="Q13" s="52">
        <v>43158</v>
      </c>
      <c r="R13" s="52" t="s">
        <v>513</v>
      </c>
      <c r="S13" s="52">
        <v>44306</v>
      </c>
      <c r="T13" s="52"/>
      <c r="U13" s="52"/>
      <c r="V13" s="53">
        <v>0</v>
      </c>
      <c r="W13" s="53">
        <v>42.54</v>
      </c>
      <c r="X13" s="13">
        <v>0</v>
      </c>
      <c r="Y13" s="53">
        <v>42.54</v>
      </c>
      <c r="Z13" s="13">
        <v>1</v>
      </c>
      <c r="AA13" s="13">
        <v>2</v>
      </c>
      <c r="AB13" s="12"/>
    </row>
    <row r="14" spans="1:28" x14ac:dyDescent="0.2">
      <c r="A14" s="12" t="s">
        <v>387</v>
      </c>
      <c r="B14" s="31">
        <v>0</v>
      </c>
      <c r="C14" s="13">
        <v>0</v>
      </c>
      <c r="D14" s="14">
        <v>0</v>
      </c>
      <c r="E14" s="52">
        <v>43088</v>
      </c>
      <c r="F14" s="52">
        <v>43109</v>
      </c>
      <c r="G14" s="13">
        <v>21</v>
      </c>
      <c r="H14" s="13">
        <v>2</v>
      </c>
      <c r="I14" s="55">
        <v>43160</v>
      </c>
      <c r="J14" s="52">
        <v>43200</v>
      </c>
      <c r="K14" s="55" t="s">
        <v>513</v>
      </c>
      <c r="L14" s="55" t="s">
        <v>513</v>
      </c>
      <c r="M14" s="55" t="s">
        <v>513</v>
      </c>
      <c r="N14" s="52" t="s">
        <v>1125</v>
      </c>
      <c r="O14" s="52" t="s">
        <v>1125</v>
      </c>
      <c r="P14" s="52" t="s">
        <v>1125</v>
      </c>
      <c r="Q14" s="52">
        <v>43109</v>
      </c>
      <c r="R14" s="52" t="s">
        <v>513</v>
      </c>
      <c r="S14" s="55">
        <v>44329</v>
      </c>
      <c r="T14" s="52"/>
      <c r="U14" s="52"/>
      <c r="V14" s="53">
        <v>0</v>
      </c>
      <c r="W14" s="53">
        <v>40.770000000000003</v>
      </c>
      <c r="X14" s="13">
        <v>0</v>
      </c>
      <c r="Y14" s="53">
        <v>40.770000000000003</v>
      </c>
      <c r="Z14" s="13">
        <v>1</v>
      </c>
      <c r="AA14" s="13">
        <v>1</v>
      </c>
      <c r="AB14" s="12"/>
    </row>
    <row r="15" spans="1:28" x14ac:dyDescent="0.2">
      <c r="A15" s="12" t="s">
        <v>425</v>
      </c>
      <c r="B15" s="13">
        <v>1</v>
      </c>
      <c r="C15" s="13">
        <v>1</v>
      </c>
      <c r="D15" s="14">
        <v>1</v>
      </c>
      <c r="E15" s="52">
        <v>43087</v>
      </c>
      <c r="F15" s="52">
        <v>43108</v>
      </c>
      <c r="G15" s="13">
        <v>21</v>
      </c>
      <c r="H15" s="13">
        <v>2</v>
      </c>
      <c r="I15" s="52">
        <v>43173</v>
      </c>
      <c r="J15" s="52">
        <v>43214</v>
      </c>
      <c r="K15" s="52">
        <v>43166</v>
      </c>
      <c r="L15" s="52">
        <v>43187</v>
      </c>
      <c r="M15" s="52">
        <v>43208</v>
      </c>
      <c r="N15" s="52">
        <v>43229</v>
      </c>
      <c r="O15" s="52">
        <v>43250</v>
      </c>
      <c r="P15" s="52">
        <v>43272</v>
      </c>
      <c r="Q15" s="52">
        <v>43272</v>
      </c>
      <c r="R15" s="52" t="s">
        <v>513</v>
      </c>
      <c r="S15" s="52">
        <v>43410</v>
      </c>
      <c r="T15" s="52">
        <v>43308</v>
      </c>
      <c r="U15" s="52">
        <v>43411</v>
      </c>
      <c r="V15" s="53">
        <v>1</v>
      </c>
      <c r="W15" s="53">
        <v>7.26</v>
      </c>
      <c r="X15" s="13">
        <v>1</v>
      </c>
      <c r="Y15" s="53">
        <v>10.61</v>
      </c>
      <c r="Z15" s="13">
        <v>0</v>
      </c>
      <c r="AA15" s="13">
        <v>1</v>
      </c>
      <c r="AB15" s="12"/>
    </row>
    <row r="16" spans="1:28" x14ac:dyDescent="0.2">
      <c r="A16" s="12" t="s">
        <v>390</v>
      </c>
      <c r="B16" s="13">
        <v>1</v>
      </c>
      <c r="C16" s="13">
        <v>0</v>
      </c>
      <c r="D16" s="14">
        <v>1</v>
      </c>
      <c r="E16" s="52">
        <v>43091</v>
      </c>
      <c r="F16" s="52">
        <v>43112</v>
      </c>
      <c r="G16" s="13">
        <v>21</v>
      </c>
      <c r="H16" s="13">
        <v>2</v>
      </c>
      <c r="I16" s="52">
        <v>43165</v>
      </c>
      <c r="J16" s="52">
        <v>43206</v>
      </c>
      <c r="K16" s="52">
        <v>43158</v>
      </c>
      <c r="L16" s="52">
        <v>43178</v>
      </c>
      <c r="M16" s="52">
        <v>43199</v>
      </c>
      <c r="N16" s="55">
        <v>43220</v>
      </c>
      <c r="O16" s="52">
        <v>43241</v>
      </c>
      <c r="P16" s="52">
        <v>43262</v>
      </c>
      <c r="Q16" s="52">
        <v>43262</v>
      </c>
      <c r="R16" s="52" t="s">
        <v>513</v>
      </c>
      <c r="S16" s="52">
        <v>43643</v>
      </c>
      <c r="T16" s="52"/>
      <c r="U16" s="52"/>
      <c r="V16" s="53">
        <v>0</v>
      </c>
      <c r="W16" s="53">
        <v>18.13</v>
      </c>
      <c r="X16" s="13">
        <v>0</v>
      </c>
      <c r="Y16" s="53">
        <v>18.13</v>
      </c>
      <c r="Z16" s="13">
        <v>1</v>
      </c>
      <c r="AA16" s="13">
        <v>2</v>
      </c>
      <c r="AB16" s="12"/>
    </row>
    <row r="17" spans="1:28" x14ac:dyDescent="0.2">
      <c r="A17" s="12" t="s">
        <v>429</v>
      </c>
      <c r="B17" s="13">
        <v>1</v>
      </c>
      <c r="C17" s="13">
        <v>1</v>
      </c>
      <c r="D17" s="14">
        <v>1</v>
      </c>
      <c r="E17" s="52">
        <v>43109</v>
      </c>
      <c r="F17" s="52">
        <v>43130</v>
      </c>
      <c r="G17" s="13">
        <v>21</v>
      </c>
      <c r="H17" s="13">
        <v>2</v>
      </c>
      <c r="I17" s="52">
        <v>43186</v>
      </c>
      <c r="J17" s="52">
        <v>43237</v>
      </c>
      <c r="K17" s="52">
        <v>43179</v>
      </c>
      <c r="L17" s="52">
        <v>43200</v>
      </c>
      <c r="M17" s="52" t="s">
        <v>1125</v>
      </c>
      <c r="N17" s="52" t="s">
        <v>1125</v>
      </c>
      <c r="O17" s="52" t="s">
        <v>1125</v>
      </c>
      <c r="P17" s="52" t="s">
        <v>1125</v>
      </c>
      <c r="Q17" s="55">
        <v>43237</v>
      </c>
      <c r="R17" s="52">
        <v>43228</v>
      </c>
      <c r="S17" s="52">
        <v>44326</v>
      </c>
      <c r="T17" s="52"/>
      <c r="U17" s="52"/>
      <c r="V17" s="53">
        <v>0</v>
      </c>
      <c r="W17" s="53">
        <v>39.979999999999997</v>
      </c>
      <c r="X17" s="13">
        <v>0</v>
      </c>
      <c r="Y17" s="53">
        <v>39.979999999999997</v>
      </c>
      <c r="Z17" s="13">
        <v>0</v>
      </c>
      <c r="AA17" s="13">
        <v>1</v>
      </c>
      <c r="AB17" s="12"/>
    </row>
    <row r="18" spans="1:28" x14ac:dyDescent="0.2">
      <c r="A18" s="12" t="s">
        <v>395</v>
      </c>
      <c r="B18" s="13">
        <v>1</v>
      </c>
      <c r="C18" s="13">
        <v>0</v>
      </c>
      <c r="D18" s="14">
        <v>1</v>
      </c>
      <c r="E18" s="52">
        <v>43116</v>
      </c>
      <c r="F18" s="52">
        <v>43136</v>
      </c>
      <c r="G18" s="13">
        <v>20</v>
      </c>
      <c r="H18" s="13">
        <v>2</v>
      </c>
      <c r="I18" s="52">
        <v>43185</v>
      </c>
      <c r="J18" s="52">
        <v>43224</v>
      </c>
      <c r="K18" s="52">
        <v>43179</v>
      </c>
      <c r="L18" s="52">
        <v>43200</v>
      </c>
      <c r="M18" s="52">
        <v>43221</v>
      </c>
      <c r="N18" s="52">
        <v>43242</v>
      </c>
      <c r="O18" s="52">
        <v>43263</v>
      </c>
      <c r="P18" s="52">
        <v>43284</v>
      </c>
      <c r="Q18" s="52">
        <v>43284</v>
      </c>
      <c r="R18" s="52" t="s">
        <v>513</v>
      </c>
      <c r="S18" s="55">
        <v>44349</v>
      </c>
      <c r="T18" s="52"/>
      <c r="U18" s="52"/>
      <c r="V18" s="53">
        <v>0</v>
      </c>
      <c r="W18" s="53">
        <v>40.51</v>
      </c>
      <c r="X18" s="13">
        <v>0</v>
      </c>
      <c r="Y18" s="53">
        <v>40.51</v>
      </c>
      <c r="Z18" s="13">
        <v>1</v>
      </c>
      <c r="AA18" s="13">
        <v>2</v>
      </c>
      <c r="AB18" s="12"/>
    </row>
    <row r="19" spans="1:28" x14ac:dyDescent="0.2">
      <c r="A19" s="12" t="s">
        <v>433</v>
      </c>
      <c r="B19" s="13">
        <v>1</v>
      </c>
      <c r="C19" s="13">
        <v>1</v>
      </c>
      <c r="D19" s="14">
        <v>0</v>
      </c>
      <c r="E19" s="52">
        <v>43150</v>
      </c>
      <c r="F19" s="52">
        <v>43168</v>
      </c>
      <c r="G19" s="13">
        <v>18</v>
      </c>
      <c r="H19" s="13">
        <v>2</v>
      </c>
      <c r="I19" s="52">
        <v>43208</v>
      </c>
      <c r="J19" s="52">
        <v>43250</v>
      </c>
      <c r="K19" s="52">
        <v>43201</v>
      </c>
      <c r="L19" s="52">
        <v>43222</v>
      </c>
      <c r="M19" s="52">
        <v>43243</v>
      </c>
      <c r="N19" s="52">
        <v>43264</v>
      </c>
      <c r="O19" s="52">
        <v>43284</v>
      </c>
      <c r="P19" s="52">
        <v>43306</v>
      </c>
      <c r="Q19" s="52">
        <v>43306</v>
      </c>
      <c r="R19" s="52" t="s">
        <v>513</v>
      </c>
      <c r="S19" s="52">
        <v>44373</v>
      </c>
      <c r="T19" s="52"/>
      <c r="U19" s="52">
        <v>44374</v>
      </c>
      <c r="V19" s="53">
        <v>1</v>
      </c>
      <c r="W19" s="53">
        <v>40.18</v>
      </c>
      <c r="X19" s="13">
        <v>1</v>
      </c>
      <c r="Y19" s="53">
        <v>40.18</v>
      </c>
      <c r="Z19" s="13">
        <v>0</v>
      </c>
      <c r="AA19" s="13">
        <v>0</v>
      </c>
      <c r="AB19" s="12"/>
    </row>
    <row r="20" spans="1:28" x14ac:dyDescent="0.2">
      <c r="A20" s="12" t="s">
        <v>437</v>
      </c>
      <c r="B20" s="13">
        <v>1</v>
      </c>
      <c r="C20" s="13">
        <v>0</v>
      </c>
      <c r="D20" s="14">
        <v>1</v>
      </c>
      <c r="E20" s="52">
        <v>43173</v>
      </c>
      <c r="F20" s="52">
        <v>43182</v>
      </c>
      <c r="G20" s="13">
        <v>9</v>
      </c>
      <c r="H20" s="13">
        <v>1</v>
      </c>
      <c r="I20" s="52">
        <v>43235</v>
      </c>
      <c r="J20" s="52">
        <v>43277</v>
      </c>
      <c r="K20" s="52">
        <v>43227</v>
      </c>
      <c r="L20" s="52">
        <v>43249</v>
      </c>
      <c r="M20" s="52">
        <v>43269</v>
      </c>
      <c r="N20" s="52">
        <v>43287</v>
      </c>
      <c r="O20" s="52">
        <v>43311</v>
      </c>
      <c r="P20" s="52">
        <v>43332</v>
      </c>
      <c r="Q20" s="52">
        <v>43332</v>
      </c>
      <c r="R20" s="52" t="s">
        <v>513</v>
      </c>
      <c r="S20" s="55">
        <v>44336</v>
      </c>
      <c r="T20" s="52"/>
      <c r="U20" s="52"/>
      <c r="V20" s="53">
        <v>0</v>
      </c>
      <c r="W20" s="53">
        <v>38.21</v>
      </c>
      <c r="X20" s="13">
        <v>0</v>
      </c>
      <c r="Y20" s="53">
        <v>38.21</v>
      </c>
      <c r="Z20" s="13">
        <v>0</v>
      </c>
      <c r="AA20" s="13">
        <v>1</v>
      </c>
      <c r="AB20" s="12"/>
    </row>
    <row r="21" spans="1:28" x14ac:dyDescent="0.2">
      <c r="A21" s="12" t="s">
        <v>442</v>
      </c>
      <c r="B21" s="13">
        <v>1</v>
      </c>
      <c r="C21" s="13">
        <v>1</v>
      </c>
      <c r="D21" s="14">
        <v>1</v>
      </c>
      <c r="E21" s="52">
        <v>43182</v>
      </c>
      <c r="F21" s="58">
        <v>43192</v>
      </c>
      <c r="G21" s="13">
        <v>10</v>
      </c>
      <c r="H21" s="13">
        <v>1</v>
      </c>
      <c r="I21" s="52">
        <v>43229</v>
      </c>
      <c r="J21" s="52">
        <v>43277</v>
      </c>
      <c r="K21" s="52">
        <v>43222</v>
      </c>
      <c r="L21" s="52">
        <v>43243</v>
      </c>
      <c r="M21" s="52" t="s">
        <v>1125</v>
      </c>
      <c r="N21" s="52" t="s">
        <v>1125</v>
      </c>
      <c r="O21" s="52" t="s">
        <v>1125</v>
      </c>
      <c r="P21" s="52" t="s">
        <v>1125</v>
      </c>
      <c r="Q21" s="55">
        <v>43277</v>
      </c>
      <c r="R21" s="52">
        <v>43249</v>
      </c>
      <c r="S21" s="52">
        <v>44069</v>
      </c>
      <c r="T21" s="52">
        <v>43838</v>
      </c>
      <c r="U21" s="52">
        <v>44070</v>
      </c>
      <c r="V21" s="53">
        <v>1</v>
      </c>
      <c r="W21" s="53">
        <v>21.55</v>
      </c>
      <c r="X21" s="13">
        <v>1</v>
      </c>
      <c r="Y21" s="53">
        <v>29.14</v>
      </c>
      <c r="Z21" s="13">
        <v>0</v>
      </c>
      <c r="AA21" s="13">
        <v>2</v>
      </c>
      <c r="AB21" s="12"/>
    </row>
    <row r="22" spans="1:28" x14ac:dyDescent="0.2">
      <c r="A22" s="12" t="s">
        <v>399</v>
      </c>
      <c r="B22" s="13">
        <v>1</v>
      </c>
      <c r="C22" s="13">
        <v>1</v>
      </c>
      <c r="D22" s="13">
        <v>1</v>
      </c>
      <c r="E22" s="52">
        <v>43187</v>
      </c>
      <c r="F22" s="52">
        <v>43217</v>
      </c>
      <c r="G22" s="13">
        <v>30</v>
      </c>
      <c r="H22" s="13">
        <v>2</v>
      </c>
      <c r="I22" s="52">
        <v>43267</v>
      </c>
      <c r="J22" s="52">
        <v>43312</v>
      </c>
      <c r="K22" s="52">
        <v>43263</v>
      </c>
      <c r="L22" s="52">
        <v>43284</v>
      </c>
      <c r="M22" s="52">
        <v>43306</v>
      </c>
      <c r="N22" s="52">
        <v>43327</v>
      </c>
      <c r="O22" s="52">
        <v>43348</v>
      </c>
      <c r="P22" s="52">
        <v>43369</v>
      </c>
      <c r="Q22" s="52">
        <v>43369</v>
      </c>
      <c r="R22" s="52" t="s">
        <v>513</v>
      </c>
      <c r="S22" s="55">
        <v>44278</v>
      </c>
      <c r="T22" s="52"/>
      <c r="U22" s="52"/>
      <c r="V22" s="53">
        <v>0</v>
      </c>
      <c r="W22" s="53">
        <v>35.840000000000003</v>
      </c>
      <c r="X22" s="13">
        <v>0</v>
      </c>
      <c r="Y22" s="53">
        <v>35.840000000000003</v>
      </c>
      <c r="Z22" s="13">
        <v>1</v>
      </c>
      <c r="AA22" s="13">
        <v>0</v>
      </c>
      <c r="AB22" s="12"/>
    </row>
    <row r="23" spans="1:28" x14ac:dyDescent="0.2">
      <c r="A23" s="12" t="s">
        <v>446</v>
      </c>
      <c r="B23" s="13">
        <v>0</v>
      </c>
      <c r="C23" s="13">
        <v>1</v>
      </c>
      <c r="D23" s="13">
        <v>0</v>
      </c>
      <c r="E23" s="52">
        <v>43319</v>
      </c>
      <c r="F23" s="52">
        <v>43326</v>
      </c>
      <c r="G23" s="13">
        <v>7</v>
      </c>
      <c r="H23" s="13">
        <v>1</v>
      </c>
      <c r="I23" s="52" t="s">
        <v>513</v>
      </c>
      <c r="J23" s="52" t="s">
        <v>513</v>
      </c>
      <c r="K23" s="52" t="s">
        <v>513</v>
      </c>
      <c r="L23" s="52" t="s">
        <v>513</v>
      </c>
      <c r="M23" s="52" t="s">
        <v>513</v>
      </c>
      <c r="N23" s="52" t="s">
        <v>513</v>
      </c>
      <c r="O23" s="52" t="s">
        <v>513</v>
      </c>
      <c r="P23" s="52" t="s">
        <v>513</v>
      </c>
      <c r="Q23" s="52">
        <v>43376</v>
      </c>
      <c r="R23" s="52">
        <v>43376</v>
      </c>
      <c r="S23" s="52">
        <v>43376</v>
      </c>
      <c r="T23" s="52"/>
      <c r="U23" s="52"/>
      <c r="V23" s="53">
        <v>0</v>
      </c>
      <c r="W23" s="53">
        <v>1.87</v>
      </c>
      <c r="X23" s="13">
        <v>0</v>
      </c>
      <c r="Y23" s="53">
        <v>1.87</v>
      </c>
      <c r="Z23" s="13">
        <v>0</v>
      </c>
      <c r="AA23" s="13">
        <v>0</v>
      </c>
      <c r="AB23" s="12"/>
    </row>
    <row r="24" spans="1:28" x14ac:dyDescent="0.2">
      <c r="A24" s="12" t="s">
        <v>450</v>
      </c>
      <c r="B24" s="13">
        <v>1</v>
      </c>
      <c r="C24" s="13">
        <v>0</v>
      </c>
      <c r="D24" s="13">
        <v>1</v>
      </c>
      <c r="E24" s="52">
        <v>43399</v>
      </c>
      <c r="F24" s="52">
        <v>43409</v>
      </c>
      <c r="G24" s="13">
        <v>10</v>
      </c>
      <c r="H24" s="13">
        <v>1</v>
      </c>
      <c r="I24" s="52">
        <v>43460</v>
      </c>
      <c r="J24" s="52">
        <v>43508</v>
      </c>
      <c r="K24" s="52">
        <v>43452</v>
      </c>
      <c r="L24" s="52">
        <v>43473</v>
      </c>
      <c r="M24" s="52">
        <v>43494</v>
      </c>
      <c r="N24" s="52">
        <v>43517</v>
      </c>
      <c r="O24" s="52" t="s">
        <v>513</v>
      </c>
      <c r="P24" s="52">
        <v>43557</v>
      </c>
      <c r="Q24" s="52">
        <v>43557</v>
      </c>
      <c r="R24" s="52" t="s">
        <v>513</v>
      </c>
      <c r="S24" s="52">
        <v>44314</v>
      </c>
      <c r="T24" s="52"/>
      <c r="U24" s="52"/>
      <c r="V24" s="53">
        <v>0</v>
      </c>
      <c r="W24" s="53">
        <v>30.06</v>
      </c>
      <c r="X24" s="13">
        <v>0</v>
      </c>
      <c r="Y24" s="53">
        <v>30.06</v>
      </c>
      <c r="Z24" s="13">
        <v>0</v>
      </c>
      <c r="AA24" s="13">
        <v>1</v>
      </c>
      <c r="AB24" s="12"/>
    </row>
    <row r="25" spans="1:28" x14ac:dyDescent="0.2">
      <c r="A25" s="12" t="s">
        <v>403</v>
      </c>
      <c r="B25" s="13">
        <v>1</v>
      </c>
      <c r="C25" s="13">
        <v>1</v>
      </c>
      <c r="D25" s="13">
        <v>0</v>
      </c>
      <c r="E25" s="52">
        <v>43432</v>
      </c>
      <c r="F25" s="52">
        <v>43440</v>
      </c>
      <c r="G25" s="13">
        <v>8</v>
      </c>
      <c r="H25" s="13">
        <v>1</v>
      </c>
      <c r="I25" s="52">
        <v>43496</v>
      </c>
      <c r="J25" s="52">
        <v>43553</v>
      </c>
      <c r="K25" s="52">
        <v>43488</v>
      </c>
      <c r="L25" s="52">
        <v>43509</v>
      </c>
      <c r="M25" s="52">
        <v>43530</v>
      </c>
      <c r="N25" s="52">
        <v>43551</v>
      </c>
      <c r="O25" s="55">
        <v>43572</v>
      </c>
      <c r="P25" s="52">
        <v>43593</v>
      </c>
      <c r="Q25" s="52">
        <v>43593</v>
      </c>
      <c r="R25" s="52" t="s">
        <v>513</v>
      </c>
      <c r="S25" s="52">
        <v>44355</v>
      </c>
      <c r="T25" s="52"/>
      <c r="U25" s="52"/>
      <c r="V25" s="53">
        <v>0</v>
      </c>
      <c r="W25" s="53">
        <v>30.32</v>
      </c>
      <c r="X25" s="13">
        <v>0</v>
      </c>
      <c r="Y25" s="53">
        <v>30.32</v>
      </c>
      <c r="Z25" s="13">
        <v>1</v>
      </c>
      <c r="AA25" s="13">
        <v>1</v>
      </c>
      <c r="AB25" s="12"/>
    </row>
    <row r="26" spans="1:28" x14ac:dyDescent="0.2">
      <c r="A26" s="12" t="s">
        <v>497</v>
      </c>
      <c r="B26" s="13">
        <v>0</v>
      </c>
      <c r="C26" s="13">
        <v>1</v>
      </c>
      <c r="D26" s="13">
        <v>0</v>
      </c>
      <c r="E26" s="52">
        <v>43453</v>
      </c>
      <c r="F26" s="52">
        <v>43469</v>
      </c>
      <c r="G26" s="13">
        <v>16</v>
      </c>
      <c r="H26" s="13">
        <v>2</v>
      </c>
      <c r="I26" s="52">
        <v>43515</v>
      </c>
      <c r="J26" s="52">
        <v>43559</v>
      </c>
      <c r="K26" s="52" t="s">
        <v>513</v>
      </c>
      <c r="L26" s="52" t="s">
        <v>513</v>
      </c>
      <c r="M26" s="52" t="s">
        <v>513</v>
      </c>
      <c r="N26" s="52" t="s">
        <v>513</v>
      </c>
      <c r="O26" s="52" t="s">
        <v>513</v>
      </c>
      <c r="P26" s="52" t="s">
        <v>513</v>
      </c>
      <c r="Q26" s="55" t="s">
        <v>513</v>
      </c>
      <c r="R26" s="52">
        <v>43521</v>
      </c>
      <c r="S26" s="52">
        <v>44273</v>
      </c>
      <c r="T26" s="52"/>
      <c r="U26" s="52"/>
      <c r="V26" s="53">
        <v>0</v>
      </c>
      <c r="W26" s="53">
        <v>26.94</v>
      </c>
      <c r="X26" s="13">
        <v>0</v>
      </c>
      <c r="Y26" s="53">
        <v>26.94</v>
      </c>
      <c r="Z26" s="13">
        <v>1</v>
      </c>
      <c r="AA26" s="13">
        <v>1</v>
      </c>
      <c r="AB26" s="12"/>
    </row>
    <row r="27" spans="1:28" x14ac:dyDescent="0.2">
      <c r="A27" s="12" t="s">
        <v>500</v>
      </c>
      <c r="B27" s="13">
        <v>1</v>
      </c>
      <c r="C27" s="13">
        <v>0</v>
      </c>
      <c r="D27" s="13">
        <v>0</v>
      </c>
      <c r="E27" s="52">
        <v>43536</v>
      </c>
      <c r="F27" s="52">
        <v>43543</v>
      </c>
      <c r="G27" s="13">
        <v>7</v>
      </c>
      <c r="H27" s="13">
        <v>0</v>
      </c>
      <c r="I27" s="52">
        <v>43593</v>
      </c>
      <c r="J27" s="52">
        <v>43636</v>
      </c>
      <c r="K27" s="52">
        <v>43586</v>
      </c>
      <c r="L27" s="52">
        <v>43607</v>
      </c>
      <c r="M27" s="52">
        <v>43628</v>
      </c>
      <c r="N27" s="52">
        <v>43649</v>
      </c>
      <c r="O27" s="52" t="s">
        <v>513</v>
      </c>
      <c r="P27" s="52">
        <v>43691</v>
      </c>
      <c r="Q27" s="52">
        <v>43691</v>
      </c>
      <c r="R27" s="52" t="s">
        <v>513</v>
      </c>
      <c r="S27" s="52">
        <v>44348</v>
      </c>
      <c r="T27" s="52"/>
      <c r="U27" s="52"/>
      <c r="V27" s="53">
        <v>0</v>
      </c>
      <c r="W27" s="53">
        <v>26.68</v>
      </c>
      <c r="X27" s="13">
        <v>0</v>
      </c>
      <c r="Y27" s="53">
        <v>26.68</v>
      </c>
      <c r="Z27" s="13">
        <v>1</v>
      </c>
      <c r="AA27" s="13">
        <v>2</v>
      </c>
      <c r="AB27" s="12"/>
    </row>
    <row r="28" spans="1:28" x14ac:dyDescent="0.2">
      <c r="A28" s="12" t="s">
        <v>47</v>
      </c>
      <c r="B28" s="13">
        <v>1</v>
      </c>
      <c r="C28" s="13">
        <v>1</v>
      </c>
      <c r="D28" s="13">
        <v>1</v>
      </c>
      <c r="E28" s="52">
        <v>43535</v>
      </c>
      <c r="F28" s="52">
        <v>43542</v>
      </c>
      <c r="G28" s="13">
        <v>7</v>
      </c>
      <c r="H28" s="13">
        <v>0</v>
      </c>
      <c r="I28" s="52">
        <v>43586</v>
      </c>
      <c r="J28" s="52">
        <v>43628</v>
      </c>
      <c r="K28" s="52">
        <v>43581</v>
      </c>
      <c r="L28" s="52">
        <v>43599</v>
      </c>
      <c r="M28" s="52">
        <v>43620</v>
      </c>
      <c r="N28" s="52">
        <v>43641</v>
      </c>
      <c r="O28" s="52">
        <v>43662</v>
      </c>
      <c r="P28" s="52">
        <v>43683</v>
      </c>
      <c r="Q28" s="52">
        <v>43683</v>
      </c>
      <c r="R28" s="52" t="s">
        <v>513</v>
      </c>
      <c r="S28" s="52">
        <v>44130</v>
      </c>
      <c r="T28" s="52">
        <v>43899</v>
      </c>
      <c r="U28" s="52">
        <v>44131</v>
      </c>
      <c r="V28" s="53">
        <v>1</v>
      </c>
      <c r="W28" s="53">
        <v>11.96</v>
      </c>
      <c r="X28" s="13">
        <v>1</v>
      </c>
      <c r="Y28" s="53">
        <v>19.55</v>
      </c>
      <c r="Z28" s="13">
        <v>0</v>
      </c>
      <c r="AA28" s="13">
        <v>1</v>
      </c>
      <c r="AB28" s="12"/>
    </row>
    <row r="29" spans="1:28" x14ac:dyDescent="0.2">
      <c r="A29" s="12" t="s">
        <v>504</v>
      </c>
      <c r="B29" s="13">
        <v>0</v>
      </c>
      <c r="C29" s="13">
        <v>1</v>
      </c>
      <c r="D29" s="13">
        <v>1</v>
      </c>
      <c r="E29" s="52">
        <v>43578</v>
      </c>
      <c r="F29" s="52">
        <v>43591</v>
      </c>
      <c r="G29" s="13">
        <v>13</v>
      </c>
      <c r="H29" s="13">
        <v>1</v>
      </c>
      <c r="I29" s="52" t="s">
        <v>513</v>
      </c>
      <c r="J29" s="52" t="s">
        <v>513</v>
      </c>
      <c r="K29" s="52" t="s">
        <v>513</v>
      </c>
      <c r="L29" s="52" t="s">
        <v>513</v>
      </c>
      <c r="M29" s="52" t="s">
        <v>513</v>
      </c>
      <c r="N29" s="52" t="s">
        <v>513</v>
      </c>
      <c r="O29" s="52" t="s">
        <v>513</v>
      </c>
      <c r="P29" s="52" t="s">
        <v>513</v>
      </c>
      <c r="Q29" s="55"/>
      <c r="R29" s="52" t="s">
        <v>513</v>
      </c>
      <c r="S29" s="52">
        <v>43607</v>
      </c>
      <c r="T29" s="52"/>
      <c r="U29" s="52">
        <v>43608</v>
      </c>
      <c r="V29" s="53">
        <v>1</v>
      </c>
      <c r="W29" s="53">
        <v>0.95</v>
      </c>
      <c r="X29" s="13">
        <v>1</v>
      </c>
      <c r="Y29" s="53">
        <v>0.95</v>
      </c>
      <c r="Z29" s="13">
        <v>1</v>
      </c>
      <c r="AA29" s="13">
        <v>0</v>
      </c>
      <c r="AB29" s="12"/>
    </row>
    <row r="30" spans="1:28" x14ac:dyDescent="0.2">
      <c r="A30" s="12" t="s">
        <v>454</v>
      </c>
      <c r="B30" s="13">
        <v>1</v>
      </c>
      <c r="C30" s="13">
        <v>1</v>
      </c>
      <c r="D30" s="13">
        <v>1</v>
      </c>
      <c r="E30" s="52">
        <v>43606</v>
      </c>
      <c r="F30" s="52">
        <v>43613</v>
      </c>
      <c r="G30" s="13">
        <v>7</v>
      </c>
      <c r="H30" s="13">
        <v>0</v>
      </c>
      <c r="I30" s="52">
        <v>43663</v>
      </c>
      <c r="J30" s="52">
        <v>43705</v>
      </c>
      <c r="K30" s="52">
        <v>43657</v>
      </c>
      <c r="L30" s="52">
        <v>43677</v>
      </c>
      <c r="M30" s="52">
        <v>43697</v>
      </c>
      <c r="N30" s="52">
        <v>43718</v>
      </c>
      <c r="O30" s="52">
        <v>43739</v>
      </c>
      <c r="P30" s="52">
        <v>43760</v>
      </c>
      <c r="Q30" s="52">
        <v>43760</v>
      </c>
      <c r="R30" s="52" t="s">
        <v>513</v>
      </c>
      <c r="S30" s="52">
        <v>44327</v>
      </c>
      <c r="T30" s="52"/>
      <c r="U30" s="52"/>
      <c r="V30" s="53">
        <v>0</v>
      </c>
      <c r="W30" s="53">
        <v>23.69</v>
      </c>
      <c r="X30" s="13">
        <v>0</v>
      </c>
      <c r="Y30" s="53">
        <v>23.69</v>
      </c>
      <c r="Z30" s="13">
        <v>0</v>
      </c>
      <c r="AA30" s="13">
        <v>0</v>
      </c>
      <c r="AB30" s="12"/>
    </row>
    <row r="31" spans="1:28" x14ac:dyDescent="0.2">
      <c r="A31" s="12" t="s">
        <v>459</v>
      </c>
      <c r="B31" s="13">
        <v>1</v>
      </c>
      <c r="C31" s="13">
        <v>1</v>
      </c>
      <c r="D31" s="13">
        <v>0</v>
      </c>
      <c r="E31" s="52">
        <v>43607</v>
      </c>
      <c r="F31" s="52">
        <v>43620</v>
      </c>
      <c r="G31" s="13">
        <v>13</v>
      </c>
      <c r="H31" s="13">
        <v>1</v>
      </c>
      <c r="I31" s="52">
        <v>43657</v>
      </c>
      <c r="J31" s="52">
        <v>43703</v>
      </c>
      <c r="K31" s="52">
        <v>43649</v>
      </c>
      <c r="L31" s="52">
        <v>43670</v>
      </c>
      <c r="M31" s="52">
        <v>43691</v>
      </c>
      <c r="N31" s="52">
        <v>43712</v>
      </c>
      <c r="O31" s="52">
        <v>43733</v>
      </c>
      <c r="P31" s="52">
        <v>43753</v>
      </c>
      <c r="Q31" s="52">
        <v>43753</v>
      </c>
      <c r="R31" s="52" t="s">
        <v>513</v>
      </c>
      <c r="S31" s="52">
        <v>44334</v>
      </c>
      <c r="T31" s="52"/>
      <c r="U31" s="52"/>
      <c r="V31" s="53">
        <v>0</v>
      </c>
      <c r="W31" s="53">
        <v>23.88</v>
      </c>
      <c r="X31" s="13">
        <v>0</v>
      </c>
      <c r="Y31" s="53">
        <v>23.88</v>
      </c>
      <c r="Z31" s="13">
        <v>0</v>
      </c>
      <c r="AA31" s="13">
        <v>0</v>
      </c>
      <c r="AB31" s="12"/>
    </row>
    <row r="32" spans="1:28" x14ac:dyDescent="0.2">
      <c r="A32" s="12" t="s">
        <v>516</v>
      </c>
      <c r="B32" s="13">
        <v>1</v>
      </c>
      <c r="C32" s="13">
        <v>0</v>
      </c>
      <c r="D32" s="13">
        <v>0</v>
      </c>
      <c r="E32" s="52">
        <v>43938</v>
      </c>
      <c r="F32" s="52">
        <v>43949</v>
      </c>
      <c r="G32" s="13">
        <v>11</v>
      </c>
      <c r="H32" s="13">
        <v>1</v>
      </c>
      <c r="I32" s="52">
        <v>44005</v>
      </c>
      <c r="J32" s="52">
        <v>44047</v>
      </c>
      <c r="K32" s="52">
        <v>43998</v>
      </c>
      <c r="L32" s="52">
        <v>44019</v>
      </c>
      <c r="M32" s="52">
        <v>44040</v>
      </c>
      <c r="N32" s="52">
        <v>44061</v>
      </c>
      <c r="O32" s="52">
        <v>44082</v>
      </c>
      <c r="P32" s="52">
        <v>44103</v>
      </c>
      <c r="Q32" s="52">
        <v>44103</v>
      </c>
      <c r="R32" s="52" t="s">
        <v>513</v>
      </c>
      <c r="S32" s="52">
        <v>44343</v>
      </c>
      <c r="T32" s="52"/>
      <c r="U32" s="52"/>
      <c r="V32" s="53">
        <v>0</v>
      </c>
      <c r="W32" s="53">
        <v>13.3</v>
      </c>
      <c r="X32" s="13">
        <v>0</v>
      </c>
      <c r="Y32" s="53">
        <v>13.3</v>
      </c>
      <c r="Z32" s="13">
        <v>1</v>
      </c>
      <c r="AA32" s="13"/>
      <c r="AB32" s="12"/>
    </row>
    <row r="33" spans="1:28" x14ac:dyDescent="0.2">
      <c r="A33" s="12" t="s">
        <v>70</v>
      </c>
      <c r="B33" s="13">
        <v>1</v>
      </c>
      <c r="C33" s="13">
        <v>0</v>
      </c>
      <c r="D33" s="13">
        <v>1</v>
      </c>
      <c r="E33" s="52">
        <v>43994</v>
      </c>
      <c r="F33" s="52">
        <v>44012</v>
      </c>
      <c r="G33" s="13">
        <v>18</v>
      </c>
      <c r="H33" s="13">
        <v>2</v>
      </c>
      <c r="I33" s="52" t="s">
        <v>513</v>
      </c>
      <c r="J33" s="52" t="s">
        <v>513</v>
      </c>
      <c r="K33" s="52">
        <v>44061</v>
      </c>
      <c r="L33" s="52" t="s">
        <v>1126</v>
      </c>
      <c r="M33" s="52" t="s">
        <v>1126</v>
      </c>
      <c r="N33" s="52" t="s">
        <v>1126</v>
      </c>
      <c r="O33" s="52" t="s">
        <v>1126</v>
      </c>
      <c r="P33" s="52" t="s">
        <v>1126</v>
      </c>
      <c r="Q33" s="52">
        <v>44105</v>
      </c>
      <c r="R33" s="52" t="s">
        <v>513</v>
      </c>
      <c r="S33" s="52">
        <v>44159</v>
      </c>
      <c r="T33" s="52">
        <v>44106</v>
      </c>
      <c r="U33" s="52">
        <v>44160</v>
      </c>
      <c r="V33" s="53">
        <v>1</v>
      </c>
      <c r="W33" s="53">
        <v>3.68</v>
      </c>
      <c r="X33" s="13">
        <v>1</v>
      </c>
      <c r="Y33" s="53">
        <v>5.42</v>
      </c>
      <c r="Z33" s="13">
        <v>0</v>
      </c>
      <c r="AA33" s="13">
        <v>1</v>
      </c>
      <c r="AB33" s="12"/>
    </row>
    <row r="34" spans="1:28" x14ac:dyDescent="0.2">
      <c r="A34" s="12" t="s">
        <v>86</v>
      </c>
      <c r="B34" s="13">
        <v>1</v>
      </c>
      <c r="C34" s="13">
        <v>1</v>
      </c>
      <c r="D34" s="13">
        <v>1</v>
      </c>
      <c r="E34" s="52">
        <v>43994</v>
      </c>
      <c r="F34" s="52">
        <v>44001</v>
      </c>
      <c r="G34" s="13">
        <v>7</v>
      </c>
      <c r="H34" s="13">
        <v>0</v>
      </c>
      <c r="I34" s="52">
        <v>44039</v>
      </c>
      <c r="J34" s="52">
        <v>44078</v>
      </c>
      <c r="K34" s="52">
        <v>44033</v>
      </c>
      <c r="L34" s="52">
        <v>44054</v>
      </c>
      <c r="M34" s="52">
        <v>44075</v>
      </c>
      <c r="N34" s="52" t="s">
        <v>1126</v>
      </c>
      <c r="O34" s="52">
        <v>44117</v>
      </c>
      <c r="P34" s="52">
        <v>44138</v>
      </c>
      <c r="Q34" s="52">
        <v>44159</v>
      </c>
      <c r="R34" s="52" t="s">
        <v>513</v>
      </c>
      <c r="S34" s="52">
        <v>44341</v>
      </c>
      <c r="T34" s="52"/>
      <c r="U34" s="52"/>
      <c r="V34" s="53">
        <v>0</v>
      </c>
      <c r="W34" s="53">
        <v>11.4</v>
      </c>
      <c r="X34" s="13">
        <v>0</v>
      </c>
      <c r="Y34" s="53">
        <v>11.4</v>
      </c>
      <c r="Z34" s="13">
        <v>0</v>
      </c>
      <c r="AA34" s="13">
        <v>1</v>
      </c>
      <c r="AB34" s="12"/>
    </row>
    <row r="35" spans="1:28" x14ac:dyDescent="0.2">
      <c r="A35" s="12" t="s">
        <v>98</v>
      </c>
      <c r="B35" s="13">
        <v>0</v>
      </c>
      <c r="C35" s="13">
        <v>0</v>
      </c>
      <c r="D35" s="13">
        <v>0</v>
      </c>
      <c r="E35" s="52">
        <v>44000</v>
      </c>
      <c r="F35" s="52">
        <v>44008</v>
      </c>
      <c r="G35" s="13">
        <v>8</v>
      </c>
      <c r="H35" s="13">
        <v>1</v>
      </c>
      <c r="I35" s="52" t="s">
        <v>513</v>
      </c>
      <c r="J35" s="52" t="s">
        <v>513</v>
      </c>
      <c r="K35" s="52" t="s">
        <v>513</v>
      </c>
      <c r="L35" s="52" t="s">
        <v>513</v>
      </c>
      <c r="M35" s="52" t="s">
        <v>513</v>
      </c>
      <c r="N35" s="52" t="s">
        <v>513</v>
      </c>
      <c r="O35" s="52" t="s">
        <v>513</v>
      </c>
      <c r="P35" s="52" t="s">
        <v>513</v>
      </c>
      <c r="Q35" s="55" t="s">
        <v>513</v>
      </c>
      <c r="R35" s="55" t="s">
        <v>513</v>
      </c>
      <c r="S35" s="52">
        <v>44333</v>
      </c>
      <c r="T35" s="52"/>
      <c r="U35" s="52"/>
      <c r="V35" s="53">
        <v>0</v>
      </c>
      <c r="W35" s="53">
        <v>10.94</v>
      </c>
      <c r="X35" s="13">
        <v>0</v>
      </c>
      <c r="Y35" s="53">
        <v>10.94</v>
      </c>
      <c r="Z35" s="13">
        <v>1</v>
      </c>
      <c r="AA35" s="13">
        <v>1</v>
      </c>
      <c r="AB35" s="12"/>
    </row>
    <row r="36" spans="1:28" x14ac:dyDescent="0.2">
      <c r="A36" s="12" t="s">
        <v>517</v>
      </c>
      <c r="B36" s="13">
        <v>1</v>
      </c>
      <c r="C36" s="13">
        <v>0</v>
      </c>
      <c r="D36" s="13">
        <v>1</v>
      </c>
      <c r="E36" s="52">
        <v>44123</v>
      </c>
      <c r="F36" s="52">
        <v>44133</v>
      </c>
      <c r="G36" s="13">
        <v>10</v>
      </c>
      <c r="H36" s="13">
        <v>1</v>
      </c>
      <c r="I36" s="52" t="s">
        <v>513</v>
      </c>
      <c r="J36" s="52" t="s">
        <v>513</v>
      </c>
      <c r="K36" s="52">
        <v>44165</v>
      </c>
      <c r="L36" s="52">
        <v>44186</v>
      </c>
      <c r="M36" s="52">
        <v>44207</v>
      </c>
      <c r="N36" s="52">
        <v>44228</v>
      </c>
      <c r="O36" s="52">
        <v>44249</v>
      </c>
      <c r="P36" s="52">
        <v>44270</v>
      </c>
      <c r="Q36" s="52">
        <v>44270</v>
      </c>
      <c r="R36" s="52" t="s">
        <v>513</v>
      </c>
      <c r="S36" s="52">
        <v>44315</v>
      </c>
      <c r="T36" s="52">
        <v>44307</v>
      </c>
      <c r="U36" s="52"/>
      <c r="V36" s="53">
        <v>1</v>
      </c>
      <c r="W36" s="53">
        <v>6.04</v>
      </c>
      <c r="X36" s="13">
        <v>0</v>
      </c>
      <c r="Y36" s="53">
        <v>6.31</v>
      </c>
      <c r="Z36" s="13">
        <v>0</v>
      </c>
      <c r="AA36" s="13">
        <v>1</v>
      </c>
      <c r="AB36" s="12"/>
    </row>
    <row r="37" spans="1:28" x14ac:dyDescent="0.2">
      <c r="A37" s="12" t="s">
        <v>518</v>
      </c>
      <c r="B37" s="13">
        <v>1</v>
      </c>
      <c r="C37" s="13">
        <v>0</v>
      </c>
      <c r="D37" s="13">
        <v>0</v>
      </c>
      <c r="E37" s="52">
        <v>44125</v>
      </c>
      <c r="F37" s="52">
        <v>44132</v>
      </c>
      <c r="G37" s="13">
        <v>7</v>
      </c>
      <c r="H37" s="13">
        <v>0</v>
      </c>
      <c r="I37" s="52" t="s">
        <v>513</v>
      </c>
      <c r="J37" s="52" t="s">
        <v>513</v>
      </c>
      <c r="K37" s="52">
        <v>44166</v>
      </c>
      <c r="L37" s="52">
        <v>44187</v>
      </c>
      <c r="M37" s="52">
        <v>44208</v>
      </c>
      <c r="N37" s="52">
        <v>44229</v>
      </c>
      <c r="O37" s="52">
        <v>44250</v>
      </c>
      <c r="P37" s="52">
        <v>44271</v>
      </c>
      <c r="Q37" s="52">
        <v>44271</v>
      </c>
      <c r="R37" s="52" t="s">
        <v>513</v>
      </c>
      <c r="S37" s="52">
        <v>44344</v>
      </c>
      <c r="T37" s="52"/>
      <c r="U37" s="52"/>
      <c r="V37" s="53">
        <v>0</v>
      </c>
      <c r="W37" s="53">
        <v>7.19</v>
      </c>
      <c r="X37" s="13">
        <v>0</v>
      </c>
      <c r="Y37" s="53">
        <v>7.19</v>
      </c>
      <c r="Z37" s="13">
        <v>1</v>
      </c>
      <c r="AA37" s="13">
        <v>2</v>
      </c>
      <c r="AB37" s="12"/>
    </row>
    <row r="38" spans="1:28" x14ac:dyDescent="0.2">
      <c r="A38" s="12" t="s">
        <v>109</v>
      </c>
      <c r="B38" s="13">
        <v>1</v>
      </c>
      <c r="C38" s="13">
        <v>0</v>
      </c>
      <c r="D38" s="13">
        <v>1</v>
      </c>
      <c r="E38" s="52">
        <v>42908</v>
      </c>
      <c r="F38" s="52">
        <v>42921</v>
      </c>
      <c r="G38" s="13">
        <v>13</v>
      </c>
      <c r="H38" s="13">
        <v>1</v>
      </c>
      <c r="I38" s="52">
        <v>42962</v>
      </c>
      <c r="J38" s="52">
        <v>43004</v>
      </c>
      <c r="K38" s="52">
        <v>42955</v>
      </c>
      <c r="L38" s="52">
        <v>42976</v>
      </c>
      <c r="M38" s="52">
        <v>42997</v>
      </c>
      <c r="N38" s="52">
        <v>43018</v>
      </c>
      <c r="O38" s="52">
        <v>43039</v>
      </c>
      <c r="P38" s="52">
        <v>43060</v>
      </c>
      <c r="Q38" s="52">
        <v>43060</v>
      </c>
      <c r="R38" s="52" t="s">
        <v>513</v>
      </c>
      <c r="S38" s="52">
        <v>43625</v>
      </c>
      <c r="T38" s="52">
        <v>43220</v>
      </c>
      <c r="U38" s="52">
        <v>43626</v>
      </c>
      <c r="V38" s="53">
        <v>1</v>
      </c>
      <c r="W38" s="53">
        <v>10.25</v>
      </c>
      <c r="X38" s="13">
        <v>1</v>
      </c>
      <c r="Y38" s="53">
        <v>23.55</v>
      </c>
      <c r="Z38" s="13">
        <v>0</v>
      </c>
      <c r="AA38" s="13">
        <v>1</v>
      </c>
      <c r="AB38" s="12"/>
    </row>
    <row r="39" spans="1:28" x14ac:dyDescent="0.2">
      <c r="A39" s="12" t="s">
        <v>464</v>
      </c>
      <c r="B39" s="13">
        <v>1</v>
      </c>
      <c r="C39" s="13">
        <v>0</v>
      </c>
      <c r="D39" s="13">
        <v>1</v>
      </c>
      <c r="E39" s="52">
        <v>42990</v>
      </c>
      <c r="F39" s="52">
        <v>42997</v>
      </c>
      <c r="G39" s="13">
        <v>7</v>
      </c>
      <c r="H39" s="13">
        <v>0</v>
      </c>
      <c r="I39" s="52">
        <v>43046</v>
      </c>
      <c r="J39" s="52">
        <v>43096</v>
      </c>
      <c r="K39" s="52">
        <v>43038</v>
      </c>
      <c r="L39" s="52">
        <v>43059</v>
      </c>
      <c r="M39" s="52">
        <v>43080</v>
      </c>
      <c r="N39" s="52">
        <v>43102</v>
      </c>
      <c r="O39" s="52">
        <v>43124</v>
      </c>
      <c r="P39" s="52">
        <v>43144</v>
      </c>
      <c r="Q39" s="52">
        <v>43144</v>
      </c>
      <c r="R39" s="52" t="s">
        <v>513</v>
      </c>
      <c r="S39" s="52">
        <v>43498</v>
      </c>
      <c r="T39" s="52">
        <v>43377</v>
      </c>
      <c r="U39" s="52">
        <v>43499</v>
      </c>
      <c r="V39" s="53">
        <v>1</v>
      </c>
      <c r="W39" s="53">
        <v>12.71</v>
      </c>
      <c r="X39" s="13">
        <v>1</v>
      </c>
      <c r="Y39" s="53">
        <v>16.690000000000001</v>
      </c>
      <c r="Z39" s="13">
        <v>0</v>
      </c>
      <c r="AA39" s="13">
        <v>1</v>
      </c>
      <c r="AB39" s="12"/>
    </row>
    <row r="40" spans="1:28" x14ac:dyDescent="0.2">
      <c r="A40" s="12" t="s">
        <v>407</v>
      </c>
      <c r="B40" s="13">
        <v>1</v>
      </c>
      <c r="C40" s="13">
        <v>0</v>
      </c>
      <c r="D40" s="13">
        <v>0</v>
      </c>
      <c r="E40" s="52">
        <v>43018</v>
      </c>
      <c r="F40" s="52">
        <v>43025</v>
      </c>
      <c r="G40" s="13">
        <v>7</v>
      </c>
      <c r="H40" s="13">
        <v>0</v>
      </c>
      <c r="I40" s="52">
        <v>43066</v>
      </c>
      <c r="J40" s="52">
        <v>43109</v>
      </c>
      <c r="K40" s="52">
        <v>43059</v>
      </c>
      <c r="L40" s="52">
        <v>43080</v>
      </c>
      <c r="M40" s="52">
        <v>43102</v>
      </c>
      <c r="N40" s="52">
        <v>43122</v>
      </c>
      <c r="O40" s="52">
        <v>43143</v>
      </c>
      <c r="P40" s="52">
        <v>43164</v>
      </c>
      <c r="Q40" s="52">
        <v>43164</v>
      </c>
      <c r="R40" s="52" t="s">
        <v>513</v>
      </c>
      <c r="S40" s="52">
        <v>44320</v>
      </c>
      <c r="T40" s="52"/>
      <c r="U40" s="52"/>
      <c r="V40" s="53">
        <v>0</v>
      </c>
      <c r="W40" s="53">
        <v>42.77</v>
      </c>
      <c r="X40" s="13">
        <v>0</v>
      </c>
      <c r="Y40" s="53">
        <v>42.77</v>
      </c>
      <c r="Z40" s="13">
        <v>1</v>
      </c>
      <c r="AA40" s="13">
        <v>1</v>
      </c>
      <c r="AB40" s="12"/>
    </row>
    <row r="41" spans="1:28" x14ac:dyDescent="0.2">
      <c r="A41" s="12" t="s">
        <v>519</v>
      </c>
      <c r="B41" s="13">
        <v>1</v>
      </c>
      <c r="C41" s="13">
        <v>0</v>
      </c>
      <c r="D41" s="13">
        <v>0</v>
      </c>
      <c r="E41" s="52">
        <v>43059</v>
      </c>
      <c r="F41" s="52">
        <v>43066</v>
      </c>
      <c r="G41" s="13">
        <v>7</v>
      </c>
      <c r="H41" s="13">
        <v>0</v>
      </c>
      <c r="I41" s="52">
        <v>43103</v>
      </c>
      <c r="J41" s="52">
        <v>43144</v>
      </c>
      <c r="K41" s="52">
        <v>43096</v>
      </c>
      <c r="L41" s="52">
        <v>43117</v>
      </c>
      <c r="M41" s="52">
        <v>43138</v>
      </c>
      <c r="N41" s="52">
        <v>43159</v>
      </c>
      <c r="O41" s="52">
        <v>43180</v>
      </c>
      <c r="P41" s="52">
        <v>43201</v>
      </c>
      <c r="Q41" s="52">
        <v>43201</v>
      </c>
      <c r="R41" s="52" t="s">
        <v>513</v>
      </c>
      <c r="S41" s="52">
        <v>44355</v>
      </c>
      <c r="T41" s="52"/>
      <c r="U41" s="52"/>
      <c r="V41" s="53">
        <v>0</v>
      </c>
      <c r="W41" s="53">
        <v>42.58</v>
      </c>
      <c r="X41" s="13">
        <v>0</v>
      </c>
      <c r="Y41" s="53">
        <v>42.58</v>
      </c>
      <c r="Z41" s="13">
        <v>1</v>
      </c>
      <c r="AA41" s="13">
        <v>1</v>
      </c>
      <c r="AB41" s="12"/>
    </row>
    <row r="42" spans="1:28" x14ac:dyDescent="0.2">
      <c r="A42" s="12" t="s">
        <v>468</v>
      </c>
      <c r="B42" s="13">
        <v>1</v>
      </c>
      <c r="C42" s="13">
        <v>0</v>
      </c>
      <c r="D42" s="13">
        <v>1</v>
      </c>
      <c r="E42" s="52">
        <v>43076</v>
      </c>
      <c r="F42" s="52">
        <v>43083</v>
      </c>
      <c r="G42" s="13">
        <v>7</v>
      </c>
      <c r="H42" s="13">
        <v>0</v>
      </c>
      <c r="I42" s="52">
        <v>43123</v>
      </c>
      <c r="J42" s="52">
        <v>43165</v>
      </c>
      <c r="K42" s="52">
        <v>43116</v>
      </c>
      <c r="L42" s="52">
        <v>43136</v>
      </c>
      <c r="M42" s="52">
        <v>43160</v>
      </c>
      <c r="N42" s="52">
        <v>43180</v>
      </c>
      <c r="O42" s="52">
        <v>43202</v>
      </c>
      <c r="P42" s="52">
        <v>43223</v>
      </c>
      <c r="Q42" s="52">
        <v>43223</v>
      </c>
      <c r="R42" s="52" t="s">
        <v>513</v>
      </c>
      <c r="S42" s="52">
        <v>43563</v>
      </c>
      <c r="T42" s="52">
        <v>43326</v>
      </c>
      <c r="U42" s="52">
        <v>43564</v>
      </c>
      <c r="V42" s="53">
        <v>1</v>
      </c>
      <c r="W42" s="53">
        <v>8.2100000000000009</v>
      </c>
      <c r="X42" s="13">
        <v>1</v>
      </c>
      <c r="Y42" s="53">
        <v>16</v>
      </c>
      <c r="Z42" s="13">
        <v>0</v>
      </c>
      <c r="AA42" s="13">
        <v>0</v>
      </c>
      <c r="AB42" s="12"/>
    </row>
    <row r="43" spans="1:28" x14ac:dyDescent="0.2">
      <c r="A43" s="12" t="s">
        <v>116</v>
      </c>
      <c r="B43" s="13">
        <v>1</v>
      </c>
      <c r="C43" s="13">
        <v>0</v>
      </c>
      <c r="D43" s="13">
        <v>0</v>
      </c>
      <c r="E43" s="52">
        <v>43377</v>
      </c>
      <c r="F43" s="52">
        <v>43388</v>
      </c>
      <c r="G43" s="13">
        <v>11</v>
      </c>
      <c r="H43" s="13">
        <v>1</v>
      </c>
      <c r="I43" s="55">
        <v>43438</v>
      </c>
      <c r="J43" s="55">
        <v>43479</v>
      </c>
      <c r="K43" s="52">
        <v>43430</v>
      </c>
      <c r="L43" s="52">
        <v>43451</v>
      </c>
      <c r="M43" s="52">
        <v>43472</v>
      </c>
      <c r="N43" s="52">
        <v>43494</v>
      </c>
      <c r="O43" s="52">
        <v>43515</v>
      </c>
      <c r="P43" s="52">
        <v>43536</v>
      </c>
      <c r="Q43" s="52">
        <v>43536</v>
      </c>
      <c r="R43" s="52" t="s">
        <v>513</v>
      </c>
      <c r="S43" s="52">
        <v>44323</v>
      </c>
      <c r="T43" s="52">
        <v>43756</v>
      </c>
      <c r="U43" s="52"/>
      <c r="V43" s="53">
        <v>1</v>
      </c>
      <c r="W43" s="53">
        <v>12.45</v>
      </c>
      <c r="X43" s="13">
        <v>0</v>
      </c>
      <c r="Y43" s="53">
        <v>31.08</v>
      </c>
      <c r="Z43" s="13">
        <v>0</v>
      </c>
      <c r="AA43" s="13">
        <v>0</v>
      </c>
      <c r="AB43" s="12"/>
    </row>
    <row r="44" spans="1:28" x14ac:dyDescent="0.2">
      <c r="A44" s="12" t="s">
        <v>130</v>
      </c>
      <c r="B44" s="13">
        <v>1</v>
      </c>
      <c r="C44" s="13">
        <v>0</v>
      </c>
      <c r="D44" s="13">
        <v>1</v>
      </c>
      <c r="E44" s="52">
        <v>43440</v>
      </c>
      <c r="F44" s="52">
        <v>43454</v>
      </c>
      <c r="G44" s="13">
        <v>14</v>
      </c>
      <c r="H44" s="13">
        <v>1</v>
      </c>
      <c r="I44" s="52">
        <v>43494</v>
      </c>
      <c r="J44" s="52">
        <v>43538</v>
      </c>
      <c r="K44" s="52">
        <v>43487</v>
      </c>
      <c r="L44" s="52">
        <v>43508</v>
      </c>
      <c r="M44" s="52">
        <v>43529</v>
      </c>
      <c r="N44" s="55">
        <v>43553</v>
      </c>
      <c r="O44" s="52">
        <v>43574</v>
      </c>
      <c r="P44" s="52">
        <v>43592</v>
      </c>
      <c r="Q44" s="52">
        <v>43592</v>
      </c>
      <c r="R44" s="52" t="s">
        <v>513</v>
      </c>
      <c r="S44" s="52">
        <v>43822</v>
      </c>
      <c r="T44" s="52">
        <v>43803</v>
      </c>
      <c r="U44" s="52">
        <v>43823</v>
      </c>
      <c r="V44" s="53">
        <v>1</v>
      </c>
      <c r="W44" s="53">
        <v>11.93</v>
      </c>
      <c r="X44" s="13">
        <v>1</v>
      </c>
      <c r="Y44" s="53">
        <v>12.55</v>
      </c>
      <c r="Z44" s="13">
        <v>1</v>
      </c>
      <c r="AA44" s="13"/>
      <c r="AB44" s="12"/>
    </row>
    <row r="45" spans="1:28" x14ac:dyDescent="0.2">
      <c r="A45" s="12" t="s">
        <v>145</v>
      </c>
      <c r="B45" s="13">
        <v>1</v>
      </c>
      <c r="C45" s="13">
        <v>0</v>
      </c>
      <c r="D45" s="13">
        <v>1</v>
      </c>
      <c r="E45" s="52">
        <v>42901</v>
      </c>
      <c r="F45" s="52">
        <v>42908</v>
      </c>
      <c r="G45" s="13">
        <v>7</v>
      </c>
      <c r="H45" s="13">
        <v>0</v>
      </c>
      <c r="I45" s="52">
        <v>42965</v>
      </c>
      <c r="J45" s="52">
        <v>43018</v>
      </c>
      <c r="K45" s="52">
        <v>42958</v>
      </c>
      <c r="L45" s="52">
        <v>42979</v>
      </c>
      <c r="M45" s="52">
        <v>43007</v>
      </c>
      <c r="N45" s="52">
        <v>43028</v>
      </c>
      <c r="O45" s="52">
        <v>43049</v>
      </c>
      <c r="P45" s="52">
        <v>43076</v>
      </c>
      <c r="Q45" s="52">
        <v>43076</v>
      </c>
      <c r="R45" s="52" t="s">
        <v>513</v>
      </c>
      <c r="S45" s="52">
        <v>44356</v>
      </c>
      <c r="T45" s="52"/>
      <c r="U45" s="52"/>
      <c r="V45" s="53">
        <v>0</v>
      </c>
      <c r="W45" s="53">
        <v>47.8</v>
      </c>
      <c r="X45" s="13">
        <v>0</v>
      </c>
      <c r="Y45" s="53">
        <v>47.8</v>
      </c>
      <c r="Z45" s="13">
        <v>0</v>
      </c>
      <c r="AA45" s="13"/>
      <c r="AB45" s="12"/>
    </row>
    <row r="46" spans="1:28" x14ac:dyDescent="0.2">
      <c r="A46" s="12" t="s">
        <v>520</v>
      </c>
      <c r="B46" s="13">
        <v>0</v>
      </c>
      <c r="C46" s="13">
        <v>0</v>
      </c>
      <c r="D46" s="13">
        <v>1</v>
      </c>
      <c r="E46" s="52">
        <v>42950</v>
      </c>
      <c r="F46" s="52">
        <v>42970</v>
      </c>
      <c r="G46" s="13">
        <v>20</v>
      </c>
      <c r="H46" s="13">
        <v>2</v>
      </c>
      <c r="I46" s="52" t="s">
        <v>513</v>
      </c>
      <c r="J46" s="52" t="s">
        <v>513</v>
      </c>
      <c r="K46" s="52" t="s">
        <v>513</v>
      </c>
      <c r="L46" s="52" t="s">
        <v>513</v>
      </c>
      <c r="M46" s="52" t="s">
        <v>513</v>
      </c>
      <c r="N46" s="52" t="s">
        <v>513</v>
      </c>
      <c r="O46" s="52" t="s">
        <v>513</v>
      </c>
      <c r="P46" s="52" t="s">
        <v>513</v>
      </c>
      <c r="Q46" s="55" t="s">
        <v>513</v>
      </c>
      <c r="R46" s="52">
        <v>42993</v>
      </c>
      <c r="S46" s="52">
        <v>42970</v>
      </c>
      <c r="T46" s="52"/>
      <c r="U46" s="52"/>
      <c r="V46" s="53">
        <v>0</v>
      </c>
      <c r="W46" s="53">
        <v>0.66</v>
      </c>
      <c r="X46" s="13">
        <v>0</v>
      </c>
      <c r="Y46" s="53">
        <v>0.66</v>
      </c>
      <c r="Z46" s="13"/>
      <c r="AA46" s="13"/>
      <c r="AB46" s="12"/>
    </row>
    <row r="47" spans="1:28" x14ac:dyDescent="0.2">
      <c r="A47" s="12" t="s">
        <v>159</v>
      </c>
      <c r="B47" s="13">
        <v>1</v>
      </c>
      <c r="C47" s="13">
        <v>1</v>
      </c>
      <c r="D47" s="13">
        <v>1</v>
      </c>
      <c r="E47" s="52">
        <v>43598</v>
      </c>
      <c r="F47" s="52">
        <v>43621</v>
      </c>
      <c r="G47" s="13">
        <v>23</v>
      </c>
      <c r="H47" s="13">
        <v>2</v>
      </c>
      <c r="I47" s="52">
        <v>43664</v>
      </c>
      <c r="J47" s="52">
        <v>43707</v>
      </c>
      <c r="K47" s="52">
        <v>43654</v>
      </c>
      <c r="L47" s="52">
        <v>43675</v>
      </c>
      <c r="M47" s="52">
        <v>43696</v>
      </c>
      <c r="N47" s="52">
        <v>43717</v>
      </c>
      <c r="O47" s="52">
        <v>43738</v>
      </c>
      <c r="P47" s="52">
        <v>43759</v>
      </c>
      <c r="Q47" s="52">
        <v>43759</v>
      </c>
      <c r="R47" s="52" t="s">
        <v>513</v>
      </c>
      <c r="S47" s="52">
        <v>44334</v>
      </c>
      <c r="T47" s="52"/>
      <c r="U47" s="52"/>
      <c r="V47" s="53">
        <v>0</v>
      </c>
      <c r="W47" s="53">
        <v>24.18</v>
      </c>
      <c r="X47" s="13">
        <v>0</v>
      </c>
      <c r="Y47" s="53">
        <v>24.18</v>
      </c>
      <c r="Z47" s="13">
        <v>1</v>
      </c>
      <c r="AA47" s="13">
        <v>1</v>
      </c>
      <c r="AB47" s="12"/>
    </row>
    <row r="48" spans="1:28" x14ac:dyDescent="0.2">
      <c r="A48" s="12" t="s">
        <v>173</v>
      </c>
      <c r="B48" s="13">
        <v>1</v>
      </c>
      <c r="C48" s="13">
        <v>1</v>
      </c>
      <c r="D48" s="13">
        <v>1</v>
      </c>
      <c r="E48" s="52">
        <v>43727</v>
      </c>
      <c r="F48" s="52">
        <v>43740</v>
      </c>
      <c r="G48" s="13">
        <v>13</v>
      </c>
      <c r="H48" s="13">
        <v>1</v>
      </c>
      <c r="I48" s="52">
        <v>43776</v>
      </c>
      <c r="J48" s="52">
        <v>43826</v>
      </c>
      <c r="K48" s="52">
        <v>43769</v>
      </c>
      <c r="L48" s="52">
        <v>43790</v>
      </c>
      <c r="M48" s="52">
        <v>43815</v>
      </c>
      <c r="N48" s="52">
        <v>43836</v>
      </c>
      <c r="O48" s="52">
        <v>43857</v>
      </c>
      <c r="P48" s="52">
        <v>43878</v>
      </c>
      <c r="Q48" s="52">
        <v>43878</v>
      </c>
      <c r="R48" s="52" t="s">
        <v>513</v>
      </c>
      <c r="S48" s="52">
        <v>44314</v>
      </c>
      <c r="T48" s="52"/>
      <c r="U48" s="52"/>
      <c r="V48" s="53">
        <v>0</v>
      </c>
      <c r="W48" s="53">
        <v>19.28</v>
      </c>
      <c r="X48" s="13">
        <v>0</v>
      </c>
      <c r="Y48" s="53">
        <v>19.28</v>
      </c>
      <c r="Z48" s="13">
        <v>0</v>
      </c>
      <c r="AA48" s="13">
        <v>0</v>
      </c>
      <c r="AB48" s="12"/>
    </row>
    <row r="49" spans="1:28" x14ac:dyDescent="0.2">
      <c r="A49" s="12" t="s">
        <v>521</v>
      </c>
      <c r="B49" s="13">
        <v>1</v>
      </c>
      <c r="C49" s="13">
        <v>0</v>
      </c>
      <c r="D49" s="13">
        <v>0</v>
      </c>
      <c r="E49" s="52">
        <v>44119</v>
      </c>
      <c r="F49" s="52">
        <v>44131</v>
      </c>
      <c r="G49" s="13">
        <v>12</v>
      </c>
      <c r="H49" s="13">
        <v>1</v>
      </c>
      <c r="I49" s="52">
        <v>44174</v>
      </c>
      <c r="J49" s="55">
        <v>44218</v>
      </c>
      <c r="K49" s="52">
        <v>44166</v>
      </c>
      <c r="L49" s="52">
        <v>44187</v>
      </c>
      <c r="M49" s="52">
        <v>44208</v>
      </c>
      <c r="N49" s="52">
        <v>44229</v>
      </c>
      <c r="O49" s="52">
        <v>44250</v>
      </c>
      <c r="P49" s="52">
        <v>44271</v>
      </c>
      <c r="Q49" s="52">
        <v>44271</v>
      </c>
      <c r="R49" s="52" t="s">
        <v>513</v>
      </c>
      <c r="S49" s="52">
        <v>44306</v>
      </c>
      <c r="T49" s="52"/>
      <c r="U49" s="52"/>
      <c r="V49" s="53">
        <v>0</v>
      </c>
      <c r="W49" s="53">
        <v>6.14</v>
      </c>
      <c r="X49" s="13">
        <v>0</v>
      </c>
      <c r="Y49" s="53">
        <v>6.14</v>
      </c>
      <c r="Z49" s="13">
        <v>0</v>
      </c>
      <c r="AA49" s="13">
        <v>2</v>
      </c>
      <c r="AB49" s="12"/>
    </row>
    <row r="50" spans="1:28" x14ac:dyDescent="0.2">
      <c r="A50" s="12" t="s">
        <v>182</v>
      </c>
      <c r="B50" s="13">
        <v>1</v>
      </c>
      <c r="C50" s="13">
        <v>0</v>
      </c>
      <c r="D50" s="13">
        <v>0</v>
      </c>
      <c r="E50" s="52">
        <v>42919</v>
      </c>
      <c r="F50" s="52">
        <v>42926</v>
      </c>
      <c r="G50" s="13">
        <v>7</v>
      </c>
      <c r="H50" s="13">
        <v>0</v>
      </c>
      <c r="I50" s="52">
        <v>42962</v>
      </c>
      <c r="J50" s="55">
        <v>42997</v>
      </c>
      <c r="K50" s="52">
        <v>42955</v>
      </c>
      <c r="L50" s="52">
        <v>42977</v>
      </c>
      <c r="M50" s="52">
        <v>42997</v>
      </c>
      <c r="N50" s="52">
        <v>43018</v>
      </c>
      <c r="O50" s="52">
        <v>43039</v>
      </c>
      <c r="P50" s="52">
        <v>43060</v>
      </c>
      <c r="Q50" s="52">
        <v>43060</v>
      </c>
      <c r="R50" s="52" t="s">
        <v>513</v>
      </c>
      <c r="S50" s="52">
        <v>44328</v>
      </c>
      <c r="T50" s="52"/>
      <c r="U50" s="52"/>
      <c r="V50" s="53">
        <v>0</v>
      </c>
      <c r="W50" s="53">
        <v>46.29</v>
      </c>
      <c r="X50" s="13">
        <v>0</v>
      </c>
      <c r="Y50" s="53">
        <v>46.29</v>
      </c>
      <c r="Z50" s="13">
        <v>0</v>
      </c>
      <c r="AA50" s="13">
        <v>1</v>
      </c>
      <c r="AB50" s="12"/>
    </row>
    <row r="51" spans="1:28" x14ac:dyDescent="0.2">
      <c r="A51" s="12" t="s">
        <v>472</v>
      </c>
      <c r="B51" s="13">
        <v>1</v>
      </c>
      <c r="C51" s="13">
        <v>0</v>
      </c>
      <c r="D51" s="13">
        <v>0</v>
      </c>
      <c r="E51" s="52">
        <v>42926</v>
      </c>
      <c r="F51" s="52">
        <v>42934</v>
      </c>
      <c r="G51" s="13">
        <v>8</v>
      </c>
      <c r="H51" s="13">
        <v>1</v>
      </c>
      <c r="I51" s="52">
        <v>42976</v>
      </c>
      <c r="J51" s="55">
        <v>43010</v>
      </c>
      <c r="K51" s="52">
        <v>42969</v>
      </c>
      <c r="L51" s="52">
        <v>42989</v>
      </c>
      <c r="M51" s="52">
        <v>43010</v>
      </c>
      <c r="N51" s="52">
        <v>43032</v>
      </c>
      <c r="O51" s="52">
        <v>43053</v>
      </c>
      <c r="P51" s="52">
        <v>43074</v>
      </c>
      <c r="Q51" s="52">
        <v>43074</v>
      </c>
      <c r="R51" s="52" t="s">
        <v>513</v>
      </c>
      <c r="S51" s="52">
        <v>44326</v>
      </c>
      <c r="T51" s="52">
        <v>44326</v>
      </c>
      <c r="U51" s="52"/>
      <c r="V51" s="53">
        <v>1</v>
      </c>
      <c r="W51" s="53">
        <v>45.99</v>
      </c>
      <c r="X51" s="13">
        <v>0</v>
      </c>
      <c r="Y51" s="53">
        <v>45.99</v>
      </c>
      <c r="Z51" s="13">
        <v>0</v>
      </c>
      <c r="AA51" s="13">
        <v>0</v>
      </c>
      <c r="AB51" s="12"/>
    </row>
    <row r="52" spans="1:28" x14ac:dyDescent="0.2">
      <c r="A52" s="12" t="s">
        <v>476</v>
      </c>
      <c r="B52" s="13">
        <v>1</v>
      </c>
      <c r="C52" s="13">
        <v>1</v>
      </c>
      <c r="D52" s="13">
        <v>0</v>
      </c>
      <c r="E52" s="52">
        <v>43144</v>
      </c>
      <c r="F52" s="52">
        <v>43153</v>
      </c>
      <c r="G52" s="13">
        <v>9</v>
      </c>
      <c r="H52" s="13">
        <v>1</v>
      </c>
      <c r="I52" s="52">
        <v>43207</v>
      </c>
      <c r="J52" s="55">
        <v>43243</v>
      </c>
      <c r="K52" s="52">
        <v>43200</v>
      </c>
      <c r="L52" s="52">
        <v>43221</v>
      </c>
      <c r="M52" s="52">
        <v>43242</v>
      </c>
      <c r="N52" s="52">
        <v>43263</v>
      </c>
      <c r="O52" s="52">
        <v>43284</v>
      </c>
      <c r="P52" s="52">
        <v>43305</v>
      </c>
      <c r="Q52" s="52">
        <v>43305</v>
      </c>
      <c r="R52" s="52" t="s">
        <v>513</v>
      </c>
      <c r="S52" s="52">
        <v>44315</v>
      </c>
      <c r="T52" s="52"/>
      <c r="U52" s="52"/>
      <c r="V52" s="53">
        <v>0</v>
      </c>
      <c r="W52" s="53">
        <v>38.47</v>
      </c>
      <c r="X52" s="13">
        <v>0</v>
      </c>
      <c r="Y52" s="53">
        <v>38.47</v>
      </c>
      <c r="Z52" s="13">
        <v>1</v>
      </c>
      <c r="AA52" s="13">
        <v>0</v>
      </c>
      <c r="AB52" s="12"/>
    </row>
    <row r="53" spans="1:28" x14ac:dyDescent="0.2">
      <c r="A53" s="12" t="s">
        <v>479</v>
      </c>
      <c r="B53" s="13">
        <v>1</v>
      </c>
      <c r="C53" s="13">
        <v>0</v>
      </c>
      <c r="D53" s="13">
        <v>1</v>
      </c>
      <c r="E53" s="52">
        <v>43146</v>
      </c>
      <c r="F53" s="52">
        <v>43153</v>
      </c>
      <c r="G53" s="13">
        <v>7</v>
      </c>
      <c r="H53" s="13">
        <v>0</v>
      </c>
      <c r="I53" s="55">
        <v>43199</v>
      </c>
      <c r="J53" s="55">
        <v>43236</v>
      </c>
      <c r="K53" s="52">
        <v>43192</v>
      </c>
      <c r="L53" s="52">
        <v>43213</v>
      </c>
      <c r="M53" s="52">
        <v>43234</v>
      </c>
      <c r="N53" s="55">
        <v>43261</v>
      </c>
      <c r="O53" s="52">
        <v>43276</v>
      </c>
      <c r="P53" s="52">
        <v>43300</v>
      </c>
      <c r="Q53" s="52">
        <v>43300</v>
      </c>
      <c r="R53" s="52" t="s">
        <v>513</v>
      </c>
      <c r="S53" s="52">
        <v>44354</v>
      </c>
      <c r="T53" s="52"/>
      <c r="U53" s="52"/>
      <c r="V53" s="53">
        <v>0</v>
      </c>
      <c r="W53" s="53">
        <v>39.68</v>
      </c>
      <c r="X53" s="13">
        <v>0</v>
      </c>
      <c r="Y53" s="53">
        <v>39.68</v>
      </c>
      <c r="Z53" s="13">
        <v>0</v>
      </c>
      <c r="AA53" s="13">
        <v>1</v>
      </c>
      <c r="AB53" s="12"/>
    </row>
    <row r="54" spans="1:28" x14ac:dyDescent="0.2">
      <c r="A54" s="45" t="s">
        <v>522</v>
      </c>
      <c r="B54" s="14">
        <v>0</v>
      </c>
      <c r="C54" s="25">
        <v>0</v>
      </c>
      <c r="D54" s="13"/>
      <c r="E54" s="52">
        <v>43152</v>
      </c>
      <c r="F54" s="52">
        <v>43160</v>
      </c>
      <c r="G54" s="13">
        <v>8</v>
      </c>
      <c r="H54" s="13">
        <v>1</v>
      </c>
      <c r="I54" s="52" t="s">
        <v>513</v>
      </c>
      <c r="J54" s="52" t="s">
        <v>513</v>
      </c>
      <c r="K54" s="52" t="s">
        <v>513</v>
      </c>
      <c r="L54" s="52" t="s">
        <v>513</v>
      </c>
      <c r="M54" s="52" t="s">
        <v>513</v>
      </c>
      <c r="N54" s="52" t="s">
        <v>513</v>
      </c>
      <c r="O54" s="52" t="s">
        <v>513</v>
      </c>
      <c r="P54" s="52" t="s">
        <v>513</v>
      </c>
      <c r="Q54" s="55">
        <v>43160</v>
      </c>
      <c r="R54" s="55">
        <v>43160</v>
      </c>
      <c r="S54" s="52">
        <v>43775</v>
      </c>
      <c r="T54" s="52"/>
      <c r="U54" s="52"/>
      <c r="V54" s="53">
        <v>0</v>
      </c>
      <c r="W54" s="53">
        <v>20.47</v>
      </c>
      <c r="X54" s="13">
        <v>0</v>
      </c>
      <c r="Y54" s="53">
        <v>20.47</v>
      </c>
      <c r="Z54" s="13" t="s">
        <v>513</v>
      </c>
      <c r="AA54" s="13" t="s">
        <v>513</v>
      </c>
      <c r="AB54" s="12"/>
    </row>
    <row r="55" spans="1:28" x14ac:dyDescent="0.2">
      <c r="A55" s="12" t="s">
        <v>483</v>
      </c>
      <c r="B55" s="13">
        <v>1</v>
      </c>
      <c r="C55" s="13">
        <v>0</v>
      </c>
      <c r="D55" s="13">
        <v>0</v>
      </c>
      <c r="E55" s="52">
        <v>43165</v>
      </c>
      <c r="F55" s="52">
        <v>43172</v>
      </c>
      <c r="G55" s="13">
        <v>7</v>
      </c>
      <c r="H55" s="13">
        <v>0</v>
      </c>
      <c r="I55" s="52">
        <v>43228</v>
      </c>
      <c r="J55" s="55">
        <v>43638</v>
      </c>
      <c r="K55" s="52">
        <v>43221</v>
      </c>
      <c r="L55" s="52">
        <v>43242</v>
      </c>
      <c r="M55" s="52" t="s">
        <v>1126</v>
      </c>
      <c r="N55" s="55">
        <v>43284</v>
      </c>
      <c r="O55" s="52" t="s">
        <v>513</v>
      </c>
      <c r="P55" s="52" t="s">
        <v>513</v>
      </c>
      <c r="Q55" s="55">
        <v>43284</v>
      </c>
      <c r="R55" s="52">
        <v>43284</v>
      </c>
      <c r="S55" s="52">
        <v>44217</v>
      </c>
      <c r="T55" s="52"/>
      <c r="U55" s="52"/>
      <c r="V55" s="53">
        <v>0</v>
      </c>
      <c r="W55" s="53">
        <v>34.56</v>
      </c>
      <c r="X55" s="13">
        <v>0</v>
      </c>
      <c r="Y55" s="53">
        <v>34.56</v>
      </c>
      <c r="Z55" s="13">
        <v>0</v>
      </c>
      <c r="AA55" s="13">
        <v>0</v>
      </c>
      <c r="AB55" s="12"/>
    </row>
    <row r="56" spans="1:28" x14ac:dyDescent="0.2">
      <c r="A56" s="12" t="s">
        <v>192</v>
      </c>
      <c r="B56" s="13">
        <v>1</v>
      </c>
      <c r="C56" s="13">
        <v>1</v>
      </c>
      <c r="D56" s="13">
        <v>0</v>
      </c>
      <c r="E56" s="52">
        <v>43257</v>
      </c>
      <c r="F56" s="52">
        <v>43265</v>
      </c>
      <c r="G56" s="13">
        <v>8</v>
      </c>
      <c r="H56" s="13">
        <v>1</v>
      </c>
      <c r="I56" s="52">
        <v>43313</v>
      </c>
      <c r="J56" s="52">
        <v>43355</v>
      </c>
      <c r="K56" s="52">
        <v>43306</v>
      </c>
      <c r="L56" s="52">
        <v>43326</v>
      </c>
      <c r="M56" s="52">
        <v>43347</v>
      </c>
      <c r="N56" s="52">
        <v>43368</v>
      </c>
      <c r="O56" s="52">
        <v>43389</v>
      </c>
      <c r="P56" s="52">
        <v>43410</v>
      </c>
      <c r="Q56" s="52">
        <v>43410</v>
      </c>
      <c r="R56" s="52" t="s">
        <v>513</v>
      </c>
      <c r="S56" s="52">
        <v>44306</v>
      </c>
      <c r="T56" s="52"/>
      <c r="U56" s="52"/>
      <c r="V56" s="53">
        <v>0</v>
      </c>
      <c r="W56" s="53">
        <v>34.46</v>
      </c>
      <c r="X56" s="13">
        <v>0</v>
      </c>
      <c r="Y56" s="53">
        <v>34.46</v>
      </c>
      <c r="Z56" s="13">
        <v>0</v>
      </c>
      <c r="AA56" s="13">
        <v>0</v>
      </c>
      <c r="AB56" s="12"/>
    </row>
    <row r="57" spans="1:28" x14ac:dyDescent="0.2">
      <c r="A57" s="45" t="s">
        <v>199</v>
      </c>
      <c r="B57" s="14">
        <v>1</v>
      </c>
      <c r="C57" s="25">
        <v>1</v>
      </c>
      <c r="D57" s="13">
        <v>0</v>
      </c>
      <c r="E57" s="52">
        <v>43354</v>
      </c>
      <c r="F57" s="52">
        <v>43361</v>
      </c>
      <c r="G57" s="13">
        <v>7</v>
      </c>
      <c r="H57" s="13">
        <v>0</v>
      </c>
      <c r="I57" s="52">
        <v>43416</v>
      </c>
      <c r="J57" s="52">
        <v>43458</v>
      </c>
      <c r="K57" s="52">
        <v>43409</v>
      </c>
      <c r="L57" s="52">
        <v>43430</v>
      </c>
      <c r="M57" s="52">
        <v>43451</v>
      </c>
      <c r="N57" s="52">
        <v>43472</v>
      </c>
      <c r="O57" s="52">
        <v>43493</v>
      </c>
      <c r="P57" s="52">
        <v>43514</v>
      </c>
      <c r="Q57" s="52">
        <v>43514</v>
      </c>
      <c r="R57" s="52" t="s">
        <v>513</v>
      </c>
      <c r="S57" s="52">
        <v>44292</v>
      </c>
      <c r="T57" s="52"/>
      <c r="U57" s="52"/>
      <c r="V57" s="53">
        <v>0</v>
      </c>
      <c r="W57" s="53">
        <v>30.81</v>
      </c>
      <c r="X57" s="13">
        <v>0</v>
      </c>
      <c r="Y57" s="53">
        <v>30.81</v>
      </c>
      <c r="Z57" s="13">
        <v>1</v>
      </c>
      <c r="AA57" s="13">
        <v>1</v>
      </c>
      <c r="AB57" s="12"/>
    </row>
    <row r="58" spans="1:28" x14ac:dyDescent="0.2">
      <c r="A58" s="45" t="s">
        <v>213</v>
      </c>
      <c r="B58" s="14">
        <v>1</v>
      </c>
      <c r="C58" s="25">
        <v>1</v>
      </c>
      <c r="D58" s="13">
        <v>0</v>
      </c>
      <c r="E58" s="52">
        <v>43406</v>
      </c>
      <c r="F58" s="52">
        <v>43413</v>
      </c>
      <c r="G58" s="13">
        <v>7</v>
      </c>
      <c r="H58" s="13">
        <v>0</v>
      </c>
      <c r="I58" s="52">
        <v>43475</v>
      </c>
      <c r="J58" s="52">
        <v>43516</v>
      </c>
      <c r="K58" s="52">
        <v>43467</v>
      </c>
      <c r="L58" s="52">
        <v>43486</v>
      </c>
      <c r="M58" s="52">
        <v>43507</v>
      </c>
      <c r="N58" s="52">
        <v>43528</v>
      </c>
      <c r="O58" s="52" t="s">
        <v>1126</v>
      </c>
      <c r="P58" s="52" t="s">
        <v>1126</v>
      </c>
      <c r="Q58" s="52">
        <v>43580</v>
      </c>
      <c r="R58" s="52" t="s">
        <v>513</v>
      </c>
      <c r="S58" s="52">
        <v>44323</v>
      </c>
      <c r="T58" s="52"/>
      <c r="U58" s="52"/>
      <c r="V58" s="53">
        <v>0</v>
      </c>
      <c r="W58" s="53">
        <v>30.12</v>
      </c>
      <c r="X58" s="13">
        <v>0</v>
      </c>
      <c r="Y58" s="53">
        <v>30.12</v>
      </c>
      <c r="Z58" s="13">
        <v>1</v>
      </c>
      <c r="AA58" s="13">
        <v>0</v>
      </c>
      <c r="AB58" s="12"/>
    </row>
    <row r="59" spans="1:28" x14ac:dyDescent="0.2">
      <c r="A59" s="45" t="s">
        <v>224</v>
      </c>
      <c r="B59" s="14">
        <v>1</v>
      </c>
      <c r="C59" s="25">
        <v>1</v>
      </c>
      <c r="D59" s="13">
        <v>0</v>
      </c>
      <c r="E59" s="52">
        <v>43615</v>
      </c>
      <c r="F59" s="52">
        <v>43627</v>
      </c>
      <c r="G59" s="13">
        <v>12</v>
      </c>
      <c r="H59" s="13">
        <v>1</v>
      </c>
      <c r="I59" s="55">
        <v>43711</v>
      </c>
      <c r="J59" s="52">
        <v>43711</v>
      </c>
      <c r="K59" s="52">
        <v>43668</v>
      </c>
      <c r="L59" s="52">
        <v>43689</v>
      </c>
      <c r="M59" s="52">
        <v>43711</v>
      </c>
      <c r="N59" s="52">
        <v>43731</v>
      </c>
      <c r="O59" s="52">
        <v>43752</v>
      </c>
      <c r="P59" s="52">
        <v>43773</v>
      </c>
      <c r="Q59" s="52">
        <v>43773</v>
      </c>
      <c r="R59" s="52" t="s">
        <v>513</v>
      </c>
      <c r="S59" s="52">
        <v>44309</v>
      </c>
      <c r="T59" s="52"/>
      <c r="U59" s="52"/>
      <c r="V59" s="53">
        <v>0</v>
      </c>
      <c r="W59" s="53">
        <v>22.8</v>
      </c>
      <c r="X59" s="13">
        <v>0</v>
      </c>
      <c r="Y59" s="53">
        <v>22.8</v>
      </c>
      <c r="Z59" s="13">
        <v>0</v>
      </c>
      <c r="AA59" s="13">
        <v>0</v>
      </c>
      <c r="AB59" s="12"/>
    </row>
    <row r="60" spans="1:28" x14ac:dyDescent="0.2">
      <c r="A60" s="45" t="s">
        <v>523</v>
      </c>
      <c r="B60" s="14">
        <v>0</v>
      </c>
      <c r="C60" s="25">
        <v>0</v>
      </c>
      <c r="D60" s="13"/>
      <c r="E60" s="52">
        <v>43620</v>
      </c>
      <c r="F60" s="52" t="s">
        <v>513</v>
      </c>
      <c r="G60" s="13" t="s">
        <v>513</v>
      </c>
      <c r="H60" s="13" t="s">
        <v>513</v>
      </c>
      <c r="I60" s="52" t="s">
        <v>513</v>
      </c>
      <c r="J60" s="52" t="s">
        <v>513</v>
      </c>
      <c r="K60" s="52" t="s">
        <v>513</v>
      </c>
      <c r="L60" s="52" t="s">
        <v>513</v>
      </c>
      <c r="M60" s="52" t="s">
        <v>513</v>
      </c>
      <c r="N60" s="52" t="s">
        <v>513</v>
      </c>
      <c r="O60" s="52" t="s">
        <v>513</v>
      </c>
      <c r="P60" s="52" t="s">
        <v>513</v>
      </c>
      <c r="Q60" s="55" t="s">
        <v>513</v>
      </c>
      <c r="R60" s="52" t="s">
        <v>513</v>
      </c>
      <c r="S60" s="52">
        <v>43755</v>
      </c>
      <c r="T60" s="52"/>
      <c r="U60" s="52">
        <v>43756</v>
      </c>
      <c r="V60" s="53">
        <v>1</v>
      </c>
      <c r="W60" s="53">
        <v>4.43</v>
      </c>
      <c r="X60" s="13">
        <v>1</v>
      </c>
      <c r="Y60" s="53">
        <v>4.43</v>
      </c>
      <c r="Z60" s="13" t="s">
        <v>513</v>
      </c>
      <c r="AA60" s="13"/>
      <c r="AB60" s="12"/>
    </row>
    <row r="61" spans="1:28" x14ac:dyDescent="0.2">
      <c r="A61" s="45" t="s">
        <v>524</v>
      </c>
      <c r="B61" s="14">
        <v>0</v>
      </c>
      <c r="C61" s="25">
        <v>0</v>
      </c>
      <c r="D61" s="13">
        <v>0</v>
      </c>
      <c r="E61" s="52">
        <v>43657</v>
      </c>
      <c r="F61" s="52">
        <v>43664</v>
      </c>
      <c r="G61" s="13">
        <v>7</v>
      </c>
      <c r="H61" s="13">
        <v>0</v>
      </c>
      <c r="I61" s="52" t="s">
        <v>513</v>
      </c>
      <c r="J61" s="52" t="s">
        <v>513</v>
      </c>
      <c r="K61" s="52" t="s">
        <v>513</v>
      </c>
      <c r="L61" s="52" t="s">
        <v>513</v>
      </c>
      <c r="M61" s="52" t="s">
        <v>513</v>
      </c>
      <c r="N61" s="52" t="s">
        <v>513</v>
      </c>
      <c r="O61" s="52" t="s">
        <v>513</v>
      </c>
      <c r="P61" s="52" t="s">
        <v>513</v>
      </c>
      <c r="Q61" s="55" t="s">
        <v>513</v>
      </c>
      <c r="R61" s="52">
        <v>43691</v>
      </c>
      <c r="S61" s="52">
        <v>44222</v>
      </c>
      <c r="T61" s="52"/>
      <c r="U61" s="52"/>
      <c r="V61" s="53">
        <v>0</v>
      </c>
      <c r="W61" s="53">
        <v>18.559999999999999</v>
      </c>
      <c r="X61" s="13">
        <v>0</v>
      </c>
      <c r="Y61" s="53">
        <v>18.559999999999999</v>
      </c>
      <c r="Z61" s="13"/>
      <c r="AA61" s="13">
        <v>0</v>
      </c>
      <c r="AB61" s="12"/>
    </row>
    <row r="62" spans="1:28" x14ac:dyDescent="0.2">
      <c r="A62" s="45" t="s">
        <v>234</v>
      </c>
      <c r="B62" s="14">
        <v>1</v>
      </c>
      <c r="C62" s="25">
        <v>1</v>
      </c>
      <c r="D62" s="13">
        <v>0</v>
      </c>
      <c r="E62" s="52">
        <v>43795</v>
      </c>
      <c r="F62" s="52">
        <v>43802</v>
      </c>
      <c r="G62" s="13">
        <v>7</v>
      </c>
      <c r="H62" s="13">
        <v>0</v>
      </c>
      <c r="I62" s="52">
        <v>43837</v>
      </c>
      <c r="J62" s="52">
        <v>43880</v>
      </c>
      <c r="K62" s="52">
        <v>43830</v>
      </c>
      <c r="L62" s="52">
        <v>43851</v>
      </c>
      <c r="M62" s="52">
        <v>43872</v>
      </c>
      <c r="N62" s="52">
        <v>43893</v>
      </c>
      <c r="O62" s="52">
        <v>43914</v>
      </c>
      <c r="P62" s="55">
        <v>43925</v>
      </c>
      <c r="Q62" s="55">
        <v>43925</v>
      </c>
      <c r="R62" s="52" t="s">
        <v>513</v>
      </c>
      <c r="S62" s="52">
        <v>44327</v>
      </c>
      <c r="T62" s="52"/>
      <c r="U62" s="52"/>
      <c r="V62" s="53">
        <v>0</v>
      </c>
      <c r="W62" s="53">
        <v>17.48</v>
      </c>
      <c r="X62" s="13">
        <v>0</v>
      </c>
      <c r="Y62" s="53">
        <v>17.48</v>
      </c>
      <c r="Z62" s="13">
        <v>0</v>
      </c>
      <c r="AA62" s="13">
        <v>1</v>
      </c>
      <c r="AB62" s="12"/>
    </row>
    <row r="63" spans="1:28" x14ac:dyDescent="0.2">
      <c r="A63" s="45" t="s">
        <v>525</v>
      </c>
      <c r="B63" s="14">
        <v>1</v>
      </c>
      <c r="C63" s="25">
        <v>0</v>
      </c>
      <c r="D63" s="13">
        <v>1</v>
      </c>
      <c r="E63" s="52">
        <v>43906</v>
      </c>
      <c r="F63" s="52">
        <v>43921</v>
      </c>
      <c r="G63" s="13">
        <v>15</v>
      </c>
      <c r="H63" s="13">
        <v>2</v>
      </c>
      <c r="I63" s="52">
        <v>43962</v>
      </c>
      <c r="J63" s="52">
        <v>44001</v>
      </c>
      <c r="K63" s="52">
        <v>43955</v>
      </c>
      <c r="L63" s="52">
        <v>43978</v>
      </c>
      <c r="M63" s="52">
        <v>43997</v>
      </c>
      <c r="N63" s="52">
        <v>44018</v>
      </c>
      <c r="O63" s="52">
        <v>44040</v>
      </c>
      <c r="P63" s="52">
        <v>44063</v>
      </c>
      <c r="Q63" s="52">
        <v>44063</v>
      </c>
      <c r="R63" s="52" t="s">
        <v>513</v>
      </c>
      <c r="S63" s="52">
        <v>44321</v>
      </c>
      <c r="T63" s="52">
        <v>44102</v>
      </c>
      <c r="U63" s="52"/>
      <c r="V63" s="53">
        <v>1</v>
      </c>
      <c r="W63" s="53">
        <v>6.44</v>
      </c>
      <c r="X63" s="13">
        <v>0</v>
      </c>
      <c r="Y63" s="53">
        <v>13.63</v>
      </c>
      <c r="Z63" s="13">
        <v>1</v>
      </c>
      <c r="AA63" s="13">
        <v>2</v>
      </c>
      <c r="AB63" s="12"/>
    </row>
    <row r="64" spans="1:28" x14ac:dyDescent="0.2">
      <c r="A64" s="45" t="s">
        <v>241</v>
      </c>
      <c r="B64" s="14">
        <v>1</v>
      </c>
      <c r="C64" s="25">
        <v>0</v>
      </c>
      <c r="D64" s="13">
        <v>1</v>
      </c>
      <c r="E64" s="52">
        <v>44067</v>
      </c>
      <c r="F64" s="52">
        <v>44074</v>
      </c>
      <c r="G64" s="13">
        <v>7</v>
      </c>
      <c r="H64" s="13">
        <v>0</v>
      </c>
      <c r="I64" s="52">
        <v>44109</v>
      </c>
      <c r="J64" s="52">
        <v>44154</v>
      </c>
      <c r="K64" s="52">
        <v>44102</v>
      </c>
      <c r="L64" s="52">
        <v>44123</v>
      </c>
      <c r="M64" s="52">
        <v>44144</v>
      </c>
      <c r="N64" s="52">
        <v>44165</v>
      </c>
      <c r="O64" s="52">
        <v>44196</v>
      </c>
      <c r="P64" s="52">
        <v>44217</v>
      </c>
      <c r="Q64" s="55">
        <v>44217</v>
      </c>
      <c r="R64" s="52" t="s">
        <v>513</v>
      </c>
      <c r="S64" s="52">
        <v>44354</v>
      </c>
      <c r="T64" s="52"/>
      <c r="U64" s="52"/>
      <c r="V64" s="53">
        <v>0</v>
      </c>
      <c r="W64" s="53">
        <v>9.43</v>
      </c>
      <c r="X64" s="13">
        <v>0</v>
      </c>
      <c r="Y64" s="53">
        <v>9.43</v>
      </c>
      <c r="Z64" s="13">
        <v>0</v>
      </c>
      <c r="AA64" s="13">
        <v>1</v>
      </c>
      <c r="AB64" s="12"/>
    </row>
    <row r="65" spans="1:28" x14ac:dyDescent="0.2">
      <c r="A65" s="45" t="s">
        <v>526</v>
      </c>
      <c r="B65" s="14">
        <v>0</v>
      </c>
      <c r="C65" s="25">
        <v>0</v>
      </c>
      <c r="D65" s="13">
        <v>0</v>
      </c>
      <c r="E65" s="52">
        <v>44132</v>
      </c>
      <c r="F65" s="52">
        <v>44142</v>
      </c>
      <c r="G65" s="13">
        <v>10</v>
      </c>
      <c r="H65" s="13">
        <v>1</v>
      </c>
      <c r="I65" s="52" t="s">
        <v>513</v>
      </c>
      <c r="J65" s="52" t="s">
        <v>513</v>
      </c>
      <c r="K65" s="52" t="s">
        <v>513</v>
      </c>
      <c r="L65" s="52" t="s">
        <v>513</v>
      </c>
      <c r="M65" s="52" t="s">
        <v>513</v>
      </c>
      <c r="N65" s="52" t="s">
        <v>513</v>
      </c>
      <c r="O65" s="52" t="s">
        <v>513</v>
      </c>
      <c r="P65" s="52" t="s">
        <v>513</v>
      </c>
      <c r="Q65" s="55" t="s">
        <v>513</v>
      </c>
      <c r="R65" s="52">
        <v>44172</v>
      </c>
      <c r="S65" s="52">
        <v>44259</v>
      </c>
      <c r="T65" s="52"/>
      <c r="U65" s="52"/>
      <c r="V65" s="53">
        <v>0</v>
      </c>
      <c r="W65" s="53">
        <v>4.17</v>
      </c>
      <c r="X65" s="13">
        <v>0</v>
      </c>
      <c r="Y65" s="53">
        <v>4.17</v>
      </c>
      <c r="Z65" s="13"/>
      <c r="AA65" s="13"/>
      <c r="AB65" s="12"/>
    </row>
    <row r="66" spans="1:28" x14ac:dyDescent="0.2">
      <c r="A66" s="45" t="s">
        <v>487</v>
      </c>
      <c r="B66" s="14">
        <v>1</v>
      </c>
      <c r="C66" s="25">
        <v>0</v>
      </c>
      <c r="D66" s="13">
        <v>1</v>
      </c>
      <c r="E66" s="52">
        <v>43361</v>
      </c>
      <c r="F66" s="52">
        <v>43368</v>
      </c>
      <c r="G66" s="13">
        <v>7</v>
      </c>
      <c r="H66" s="13">
        <v>0</v>
      </c>
      <c r="I66" s="52">
        <v>43418</v>
      </c>
      <c r="J66" s="52">
        <v>43475</v>
      </c>
      <c r="K66" s="52">
        <v>43411</v>
      </c>
      <c r="L66" s="52">
        <v>43432</v>
      </c>
      <c r="M66" s="52">
        <v>43453</v>
      </c>
      <c r="N66" s="52">
        <v>43474</v>
      </c>
      <c r="O66" s="52">
        <v>43497</v>
      </c>
      <c r="P66" s="52">
        <v>43516</v>
      </c>
      <c r="Q66" s="52">
        <v>43516</v>
      </c>
      <c r="R66" s="52" t="s">
        <v>513</v>
      </c>
      <c r="S66" s="52">
        <v>43948</v>
      </c>
      <c r="T66" s="52">
        <v>43846</v>
      </c>
      <c r="U66" s="52">
        <v>43949</v>
      </c>
      <c r="V66" s="53">
        <v>1</v>
      </c>
      <c r="W66" s="53">
        <v>15.93</v>
      </c>
      <c r="X66" s="13">
        <v>1</v>
      </c>
      <c r="Y66" s="53">
        <v>19.28</v>
      </c>
      <c r="Z66" s="13">
        <v>1</v>
      </c>
      <c r="AA66" s="13">
        <v>2</v>
      </c>
      <c r="AB66" s="12"/>
    </row>
    <row r="67" spans="1:28" x14ac:dyDescent="0.2">
      <c r="A67" s="45" t="s">
        <v>492</v>
      </c>
      <c r="B67" s="14">
        <v>1</v>
      </c>
      <c r="C67" s="25">
        <v>0</v>
      </c>
      <c r="D67" s="13">
        <v>0</v>
      </c>
      <c r="E67" s="52">
        <v>43374</v>
      </c>
      <c r="F67" s="55">
        <v>43381</v>
      </c>
      <c r="G67" s="13">
        <v>7</v>
      </c>
      <c r="H67" s="13">
        <v>0</v>
      </c>
      <c r="I67" s="52">
        <v>43411</v>
      </c>
      <c r="J67" s="52">
        <v>43453</v>
      </c>
      <c r="K67" s="52">
        <v>43404</v>
      </c>
      <c r="L67" s="52">
        <v>43425</v>
      </c>
      <c r="M67" s="52">
        <v>43446</v>
      </c>
      <c r="N67" s="52">
        <v>43467</v>
      </c>
      <c r="O67" s="52">
        <v>43488</v>
      </c>
      <c r="P67" s="52">
        <v>43509</v>
      </c>
      <c r="Q67" s="52">
        <v>43509</v>
      </c>
      <c r="R67" s="52" t="s">
        <v>513</v>
      </c>
      <c r="S67" s="52">
        <v>44335</v>
      </c>
      <c r="T67" s="52"/>
      <c r="U67" s="52"/>
      <c r="V67" s="53">
        <v>0</v>
      </c>
      <c r="W67" s="53">
        <v>31.57</v>
      </c>
      <c r="X67" s="13">
        <v>0</v>
      </c>
      <c r="Y67" s="53">
        <v>31.57</v>
      </c>
      <c r="Z67" s="13">
        <v>1</v>
      </c>
      <c r="AA67" s="13">
        <v>0</v>
      </c>
      <c r="AB67" s="12"/>
    </row>
    <row r="68" spans="1:28" x14ac:dyDescent="0.2">
      <c r="A68" s="45" t="s">
        <v>245</v>
      </c>
      <c r="B68" s="14">
        <v>1</v>
      </c>
      <c r="C68" s="25">
        <v>0</v>
      </c>
      <c r="D68" s="13">
        <v>0</v>
      </c>
      <c r="E68" s="52">
        <v>43496</v>
      </c>
      <c r="F68" s="52">
        <v>43508</v>
      </c>
      <c r="G68" s="13">
        <v>12</v>
      </c>
      <c r="H68" s="13">
        <v>1</v>
      </c>
      <c r="I68" s="55">
        <v>43550</v>
      </c>
      <c r="J68" s="52">
        <v>43588</v>
      </c>
      <c r="K68" s="52">
        <v>43542</v>
      </c>
      <c r="L68" s="52">
        <v>43563</v>
      </c>
      <c r="M68" s="52">
        <v>43584</v>
      </c>
      <c r="N68" s="52">
        <v>43605</v>
      </c>
      <c r="O68" s="52">
        <v>43626</v>
      </c>
      <c r="P68" s="52">
        <v>43647</v>
      </c>
      <c r="Q68" s="52">
        <v>43647</v>
      </c>
      <c r="R68" s="52" t="s">
        <v>513</v>
      </c>
      <c r="S68" s="52">
        <v>44281</v>
      </c>
      <c r="T68" s="52"/>
      <c r="U68" s="52"/>
      <c r="V68" s="53">
        <v>0</v>
      </c>
      <c r="W68" s="53">
        <v>25.79</v>
      </c>
      <c r="X68" s="13">
        <v>0</v>
      </c>
      <c r="Y68" s="53">
        <v>25.79</v>
      </c>
      <c r="Z68" s="13">
        <v>1</v>
      </c>
      <c r="AA68" s="13">
        <v>1</v>
      </c>
      <c r="AB68" s="12"/>
    </row>
    <row r="69" spans="1:28" x14ac:dyDescent="0.2">
      <c r="A69" s="45" t="s">
        <v>253</v>
      </c>
      <c r="B69" s="14">
        <v>1</v>
      </c>
      <c r="C69" s="25">
        <v>1</v>
      </c>
      <c r="D69" s="13">
        <v>1</v>
      </c>
      <c r="E69" s="52">
        <v>43537</v>
      </c>
      <c r="F69" s="52">
        <v>43552</v>
      </c>
      <c r="G69" s="13">
        <v>15</v>
      </c>
      <c r="H69" s="13">
        <v>2</v>
      </c>
      <c r="I69" s="59">
        <v>43591</v>
      </c>
      <c r="J69" s="55">
        <v>43636</v>
      </c>
      <c r="K69" s="52">
        <v>43584</v>
      </c>
      <c r="L69" s="52">
        <v>43605</v>
      </c>
      <c r="M69" s="52">
        <v>43627</v>
      </c>
      <c r="N69" s="52">
        <v>43647</v>
      </c>
      <c r="O69" s="52">
        <v>43668</v>
      </c>
      <c r="P69" s="52">
        <v>43689</v>
      </c>
      <c r="Q69" s="52">
        <v>43689</v>
      </c>
      <c r="R69" s="52" t="s">
        <v>513</v>
      </c>
      <c r="S69" s="52">
        <v>44092</v>
      </c>
      <c r="T69" s="52">
        <v>43725</v>
      </c>
      <c r="U69" s="52">
        <v>44093</v>
      </c>
      <c r="V69" s="53">
        <v>1</v>
      </c>
      <c r="W69" s="53">
        <v>6.18</v>
      </c>
      <c r="X69" s="13">
        <v>1</v>
      </c>
      <c r="Y69" s="53">
        <v>18.23</v>
      </c>
      <c r="Z69" s="13">
        <v>0</v>
      </c>
      <c r="AA69" s="57">
        <v>1</v>
      </c>
      <c r="AB69" s="12"/>
    </row>
    <row r="70" spans="1:28" x14ac:dyDescent="0.2">
      <c r="A70" s="45" t="s">
        <v>264</v>
      </c>
      <c r="B70" s="14">
        <v>1</v>
      </c>
      <c r="C70" s="25">
        <v>1</v>
      </c>
      <c r="D70" s="13">
        <v>1</v>
      </c>
      <c r="E70" s="52">
        <v>43542</v>
      </c>
      <c r="F70" s="52">
        <v>43549</v>
      </c>
      <c r="G70" s="13">
        <v>7</v>
      </c>
      <c r="H70" s="13">
        <v>0</v>
      </c>
      <c r="I70" s="59">
        <v>43593</v>
      </c>
      <c r="J70" s="52">
        <v>43636</v>
      </c>
      <c r="K70" s="52">
        <v>43586</v>
      </c>
      <c r="L70" s="52">
        <v>43607</v>
      </c>
      <c r="M70" s="52">
        <v>43628</v>
      </c>
      <c r="N70" s="52">
        <v>43649</v>
      </c>
      <c r="O70" s="52">
        <v>43670</v>
      </c>
      <c r="P70" s="55">
        <v>43691</v>
      </c>
      <c r="Q70" s="55">
        <v>43691</v>
      </c>
      <c r="R70" s="52" t="s">
        <v>513</v>
      </c>
      <c r="S70" s="52">
        <v>43914</v>
      </c>
      <c r="T70" s="52">
        <v>43908</v>
      </c>
      <c r="U70" s="52">
        <v>43915</v>
      </c>
      <c r="V70" s="53">
        <v>1</v>
      </c>
      <c r="W70" s="53">
        <v>12.02</v>
      </c>
      <c r="X70" s="13">
        <v>1</v>
      </c>
      <c r="Y70" s="53">
        <v>12.22</v>
      </c>
      <c r="Z70" s="13">
        <v>0</v>
      </c>
      <c r="AA70" s="13">
        <v>0</v>
      </c>
      <c r="AB70" s="12"/>
    </row>
    <row r="71" spans="1:28" x14ac:dyDescent="0.2">
      <c r="A71" s="45" t="s">
        <v>527</v>
      </c>
      <c r="B71" s="14">
        <v>1</v>
      </c>
      <c r="C71" s="25">
        <v>1</v>
      </c>
      <c r="D71" s="13">
        <v>1</v>
      </c>
      <c r="E71" s="52">
        <v>43717</v>
      </c>
      <c r="F71" s="52">
        <v>43726</v>
      </c>
      <c r="G71" s="13">
        <v>9</v>
      </c>
      <c r="H71" s="13">
        <v>1</v>
      </c>
      <c r="I71" s="60">
        <v>43758</v>
      </c>
      <c r="J71" s="52">
        <v>43812</v>
      </c>
      <c r="K71" s="52">
        <v>43761</v>
      </c>
      <c r="L71" s="52">
        <v>43782</v>
      </c>
      <c r="M71" s="52">
        <v>43803</v>
      </c>
      <c r="N71" s="52">
        <v>43822</v>
      </c>
      <c r="O71" s="52">
        <v>43843</v>
      </c>
      <c r="P71" s="52">
        <v>43864</v>
      </c>
      <c r="Q71" s="52">
        <v>43864</v>
      </c>
      <c r="R71" s="52" t="s">
        <v>513</v>
      </c>
      <c r="S71" s="52">
        <v>44204</v>
      </c>
      <c r="T71" s="52">
        <v>43903</v>
      </c>
      <c r="U71" s="52">
        <v>44205</v>
      </c>
      <c r="V71" s="53">
        <v>1</v>
      </c>
      <c r="W71" s="53">
        <v>6.11</v>
      </c>
      <c r="X71" s="13">
        <v>1</v>
      </c>
      <c r="Y71" s="53">
        <v>16</v>
      </c>
      <c r="Z71" s="13">
        <v>0</v>
      </c>
      <c r="AA71" s="13">
        <v>0</v>
      </c>
      <c r="AB71" s="12"/>
    </row>
    <row r="72" spans="1:28" x14ac:dyDescent="0.2">
      <c r="A72" s="45" t="s">
        <v>272</v>
      </c>
      <c r="B72" s="14">
        <v>1</v>
      </c>
      <c r="C72" s="25">
        <v>1</v>
      </c>
      <c r="D72" s="13">
        <v>0</v>
      </c>
      <c r="E72" s="52">
        <v>43770</v>
      </c>
      <c r="F72" s="52">
        <v>43780</v>
      </c>
      <c r="G72" s="13">
        <v>10</v>
      </c>
      <c r="H72" s="13">
        <v>1</v>
      </c>
      <c r="I72" s="59">
        <v>43817</v>
      </c>
      <c r="J72" s="52">
        <v>43864</v>
      </c>
      <c r="K72" s="52">
        <v>43810</v>
      </c>
      <c r="L72" s="52">
        <v>43830</v>
      </c>
      <c r="M72" s="52">
        <v>43852</v>
      </c>
      <c r="N72" s="52">
        <v>43873</v>
      </c>
      <c r="O72" s="52">
        <v>43894</v>
      </c>
      <c r="P72" s="52">
        <v>43915</v>
      </c>
      <c r="Q72" s="52">
        <v>43915</v>
      </c>
      <c r="R72" s="52" t="s">
        <v>513</v>
      </c>
      <c r="S72" s="52">
        <v>44256</v>
      </c>
      <c r="T72" s="52"/>
      <c r="U72" s="52"/>
      <c r="V72" s="53">
        <v>0</v>
      </c>
      <c r="W72" s="53">
        <v>15.97</v>
      </c>
      <c r="X72" s="13">
        <v>0</v>
      </c>
      <c r="Y72" s="53">
        <v>15.97</v>
      </c>
      <c r="Z72" s="13">
        <v>1</v>
      </c>
      <c r="AA72" s="13">
        <v>1</v>
      </c>
      <c r="AB72" s="12"/>
    </row>
    <row r="73" spans="1:28" x14ac:dyDescent="0.2">
      <c r="A73" s="45" t="s">
        <v>282</v>
      </c>
      <c r="B73" s="14">
        <v>1</v>
      </c>
      <c r="C73" s="25">
        <v>0</v>
      </c>
      <c r="D73" s="13">
        <v>1</v>
      </c>
      <c r="E73" s="52">
        <v>43784</v>
      </c>
      <c r="F73" s="52">
        <v>43794</v>
      </c>
      <c r="G73" s="13">
        <v>10</v>
      </c>
      <c r="H73" s="13">
        <v>1</v>
      </c>
      <c r="I73" s="55">
        <v>43871</v>
      </c>
      <c r="J73" s="52">
        <v>43875</v>
      </c>
      <c r="K73" s="52">
        <v>43829</v>
      </c>
      <c r="L73" s="52">
        <v>43850</v>
      </c>
      <c r="M73" s="52">
        <v>43871</v>
      </c>
      <c r="N73" s="52">
        <v>43892</v>
      </c>
      <c r="O73" s="52">
        <v>43910</v>
      </c>
      <c r="P73" s="52">
        <v>43934</v>
      </c>
      <c r="Q73" s="52">
        <v>43934</v>
      </c>
      <c r="R73" s="52" t="s">
        <v>513</v>
      </c>
      <c r="S73" s="52">
        <v>44392</v>
      </c>
      <c r="T73" s="52"/>
      <c r="U73" s="52"/>
      <c r="V73" s="53">
        <v>0</v>
      </c>
      <c r="W73" s="53">
        <v>19.97</v>
      </c>
      <c r="X73" s="13">
        <v>0</v>
      </c>
      <c r="Y73" s="53">
        <v>19.97</v>
      </c>
      <c r="Z73" s="13">
        <v>0</v>
      </c>
      <c r="AA73" s="13">
        <v>0</v>
      </c>
      <c r="AB73" s="12"/>
    </row>
    <row r="74" spans="1:28" x14ac:dyDescent="0.2">
      <c r="A74" s="45" t="s">
        <v>289</v>
      </c>
      <c r="B74" s="14">
        <v>1</v>
      </c>
      <c r="C74" s="25">
        <v>1</v>
      </c>
      <c r="D74" s="13">
        <v>0</v>
      </c>
      <c r="E74" s="52">
        <v>43587</v>
      </c>
      <c r="F74" s="52">
        <v>43601</v>
      </c>
      <c r="G74" s="13">
        <v>14</v>
      </c>
      <c r="H74" s="13">
        <v>1</v>
      </c>
      <c r="I74" s="59">
        <v>43640</v>
      </c>
      <c r="J74" s="55">
        <v>43672</v>
      </c>
      <c r="K74" s="52">
        <v>43628</v>
      </c>
      <c r="L74" s="52">
        <v>43656</v>
      </c>
      <c r="M74" s="52">
        <v>43677</v>
      </c>
      <c r="N74" s="52">
        <v>43698</v>
      </c>
      <c r="O74" s="52">
        <v>43720</v>
      </c>
      <c r="P74" s="52">
        <v>43740</v>
      </c>
      <c r="Q74" s="52">
        <v>43740</v>
      </c>
      <c r="R74" s="52" t="s">
        <v>513</v>
      </c>
      <c r="S74" s="52">
        <v>44265</v>
      </c>
      <c r="T74" s="52"/>
      <c r="U74" s="52"/>
      <c r="V74" s="53">
        <v>0</v>
      </c>
      <c r="W74" s="53">
        <v>22.27</v>
      </c>
      <c r="X74" s="13">
        <v>0</v>
      </c>
      <c r="Y74" s="53">
        <v>22.27</v>
      </c>
      <c r="Z74" s="13">
        <v>0</v>
      </c>
      <c r="AA74" s="13">
        <v>1</v>
      </c>
      <c r="AB74" s="12"/>
    </row>
    <row r="75" spans="1:28" x14ac:dyDescent="0.2">
      <c r="A75" s="45" t="s">
        <v>298</v>
      </c>
      <c r="B75" s="14">
        <v>1</v>
      </c>
      <c r="C75" s="25">
        <v>1</v>
      </c>
      <c r="D75" s="13">
        <v>1</v>
      </c>
      <c r="E75" s="52">
        <v>43615</v>
      </c>
      <c r="F75" s="52">
        <v>43626</v>
      </c>
      <c r="G75" s="13">
        <v>11</v>
      </c>
      <c r="H75" s="13">
        <v>1</v>
      </c>
      <c r="I75" s="59">
        <v>43661</v>
      </c>
      <c r="J75" s="55">
        <v>43697</v>
      </c>
      <c r="K75" s="52">
        <v>43657</v>
      </c>
      <c r="L75" s="52">
        <v>43676</v>
      </c>
      <c r="M75" s="52">
        <v>43697</v>
      </c>
      <c r="N75" s="52">
        <v>43720</v>
      </c>
      <c r="O75" s="52">
        <v>43741</v>
      </c>
      <c r="P75" s="52">
        <v>43760</v>
      </c>
      <c r="Q75" s="52">
        <v>43760</v>
      </c>
      <c r="R75" s="52" t="s">
        <v>513</v>
      </c>
      <c r="S75" s="52">
        <v>44172</v>
      </c>
      <c r="T75" s="52"/>
      <c r="U75" s="52">
        <v>44173</v>
      </c>
      <c r="V75" s="53">
        <v>1</v>
      </c>
      <c r="W75" s="53">
        <v>18.3</v>
      </c>
      <c r="X75" s="13">
        <v>1</v>
      </c>
      <c r="Y75" s="53">
        <v>18.3</v>
      </c>
      <c r="Z75" s="13">
        <v>0</v>
      </c>
      <c r="AA75" s="13">
        <v>1</v>
      </c>
      <c r="AB75" s="12"/>
    </row>
    <row r="76" spans="1:28" x14ac:dyDescent="0.2">
      <c r="A76" s="45" t="s">
        <v>528</v>
      </c>
      <c r="B76" s="14">
        <v>1</v>
      </c>
      <c r="C76" s="25">
        <v>1</v>
      </c>
      <c r="D76" s="13">
        <v>1</v>
      </c>
      <c r="E76" s="52">
        <v>43640</v>
      </c>
      <c r="F76" s="52">
        <v>43646</v>
      </c>
      <c r="G76" s="13">
        <v>6</v>
      </c>
      <c r="H76" s="13">
        <v>0</v>
      </c>
      <c r="I76" s="59">
        <v>43689</v>
      </c>
      <c r="J76" s="52">
        <v>43728</v>
      </c>
      <c r="K76" s="52">
        <v>43682</v>
      </c>
      <c r="L76" s="52">
        <v>43706</v>
      </c>
      <c r="M76" s="52">
        <v>43727</v>
      </c>
      <c r="N76" s="52">
        <v>43749</v>
      </c>
      <c r="O76" s="52">
        <v>43769</v>
      </c>
      <c r="P76" s="52">
        <v>43790</v>
      </c>
      <c r="Q76" s="52">
        <v>43790</v>
      </c>
      <c r="R76" s="52" t="s">
        <v>513</v>
      </c>
      <c r="S76" s="52">
        <v>44335</v>
      </c>
      <c r="T76" s="52"/>
      <c r="U76" s="52"/>
      <c r="V76" s="53">
        <v>0</v>
      </c>
      <c r="W76" s="53">
        <v>22.83</v>
      </c>
      <c r="X76" s="13">
        <v>0</v>
      </c>
      <c r="Y76" s="53">
        <v>22.83</v>
      </c>
      <c r="Z76" s="13">
        <v>0</v>
      </c>
      <c r="AA76" s="13">
        <v>1</v>
      </c>
      <c r="AB76" s="12"/>
    </row>
    <row r="77" spans="1:28" x14ac:dyDescent="0.2">
      <c r="A77" s="45" t="s">
        <v>309</v>
      </c>
      <c r="B77" s="14">
        <v>1</v>
      </c>
      <c r="C77" s="25">
        <v>1</v>
      </c>
      <c r="D77" s="13">
        <v>1</v>
      </c>
      <c r="E77" s="52">
        <v>43663</v>
      </c>
      <c r="F77" s="52">
        <v>43684</v>
      </c>
      <c r="G77" s="13">
        <v>21</v>
      </c>
      <c r="H77" s="13">
        <v>2</v>
      </c>
      <c r="I77" s="55">
        <v>40430</v>
      </c>
      <c r="J77" s="55">
        <v>43754</v>
      </c>
      <c r="K77" s="52">
        <v>43711</v>
      </c>
      <c r="L77" s="52">
        <v>43733</v>
      </c>
      <c r="M77" s="52">
        <v>43753</v>
      </c>
      <c r="N77" s="52">
        <v>43774</v>
      </c>
      <c r="O77" s="52">
        <v>43795</v>
      </c>
      <c r="P77" s="52">
        <v>43816</v>
      </c>
      <c r="Q77" s="52">
        <v>43816</v>
      </c>
      <c r="R77" s="52" t="s">
        <v>513</v>
      </c>
      <c r="S77" s="52">
        <v>44300</v>
      </c>
      <c r="T77" s="52"/>
      <c r="U77" s="52"/>
      <c r="V77" s="53">
        <v>0</v>
      </c>
      <c r="W77" s="53">
        <v>20.93</v>
      </c>
      <c r="X77" s="13">
        <v>0</v>
      </c>
      <c r="Y77" s="53">
        <v>20.93</v>
      </c>
      <c r="Z77" s="13">
        <v>1</v>
      </c>
      <c r="AA77" s="13">
        <v>1</v>
      </c>
      <c r="AB77" s="12"/>
    </row>
    <row r="78" spans="1:28" x14ac:dyDescent="0.2">
      <c r="A78" s="45" t="s">
        <v>317</v>
      </c>
      <c r="B78" s="14">
        <v>1</v>
      </c>
      <c r="C78" s="25">
        <v>1</v>
      </c>
      <c r="D78" s="13">
        <v>0</v>
      </c>
      <c r="E78" s="52">
        <v>43683</v>
      </c>
      <c r="F78" s="52">
        <v>43704</v>
      </c>
      <c r="G78" s="13">
        <v>21</v>
      </c>
      <c r="H78" s="13">
        <v>2</v>
      </c>
      <c r="I78" s="52">
        <v>43746</v>
      </c>
      <c r="J78" s="52">
        <v>43784</v>
      </c>
      <c r="K78" s="55">
        <v>43738</v>
      </c>
      <c r="L78" s="52">
        <v>43759</v>
      </c>
      <c r="M78" s="52">
        <v>43780</v>
      </c>
      <c r="N78" s="52">
        <v>43801</v>
      </c>
      <c r="O78" s="52">
        <v>43822</v>
      </c>
      <c r="P78" s="52">
        <v>43843</v>
      </c>
      <c r="Q78" s="52">
        <v>43843</v>
      </c>
      <c r="R78" s="52" t="s">
        <v>513</v>
      </c>
      <c r="S78" s="52">
        <v>44354</v>
      </c>
      <c r="T78" s="52"/>
      <c r="U78" s="52"/>
      <c r="V78" s="53">
        <v>0</v>
      </c>
      <c r="W78" s="53">
        <v>22.04</v>
      </c>
      <c r="X78" s="13">
        <v>0</v>
      </c>
      <c r="Y78" s="53">
        <v>22.04</v>
      </c>
      <c r="Z78" s="13">
        <v>0</v>
      </c>
      <c r="AA78" s="57">
        <v>1</v>
      </c>
      <c r="AB78" s="12"/>
    </row>
    <row r="79" spans="1:28" x14ac:dyDescent="0.2">
      <c r="A79" s="45" t="s">
        <v>529</v>
      </c>
      <c r="B79" s="14">
        <v>0</v>
      </c>
      <c r="C79" s="25">
        <v>0</v>
      </c>
      <c r="D79" s="43">
        <v>0</v>
      </c>
      <c r="E79" s="52">
        <v>43707</v>
      </c>
      <c r="F79" s="52">
        <v>43718</v>
      </c>
      <c r="G79" s="13">
        <v>11</v>
      </c>
      <c r="H79" s="13">
        <v>1</v>
      </c>
      <c r="I79" s="52" t="s">
        <v>513</v>
      </c>
      <c r="J79" s="52" t="s">
        <v>513</v>
      </c>
      <c r="K79" s="52" t="s">
        <v>513</v>
      </c>
      <c r="L79" s="52" t="s">
        <v>513</v>
      </c>
      <c r="M79" s="52" t="s">
        <v>513</v>
      </c>
      <c r="N79" s="52" t="s">
        <v>513</v>
      </c>
      <c r="O79" s="52" t="s">
        <v>513</v>
      </c>
      <c r="P79" s="52" t="s">
        <v>513</v>
      </c>
      <c r="Q79" s="55" t="s">
        <v>513</v>
      </c>
      <c r="R79" s="52">
        <v>43787</v>
      </c>
      <c r="S79" s="52">
        <v>43718</v>
      </c>
      <c r="T79" s="52"/>
      <c r="U79" s="52"/>
      <c r="V79" s="53">
        <v>0</v>
      </c>
      <c r="W79" s="53">
        <v>0.36</v>
      </c>
      <c r="X79" s="13">
        <v>0</v>
      </c>
      <c r="Y79" s="53">
        <v>0.36</v>
      </c>
      <c r="Z79" s="13" t="s">
        <v>513</v>
      </c>
      <c r="AA79" s="13">
        <v>2</v>
      </c>
      <c r="AB79" s="12"/>
    </row>
    <row r="80" spans="1:28" x14ac:dyDescent="0.2">
      <c r="A80" s="45" t="s">
        <v>324</v>
      </c>
      <c r="B80" s="14">
        <v>1</v>
      </c>
      <c r="C80" s="25">
        <v>1</v>
      </c>
      <c r="D80" s="13">
        <v>1</v>
      </c>
      <c r="E80" s="52">
        <v>43740</v>
      </c>
      <c r="F80" s="52">
        <v>43747</v>
      </c>
      <c r="G80" s="13">
        <v>7</v>
      </c>
      <c r="H80" s="13">
        <v>0</v>
      </c>
      <c r="I80" s="52">
        <v>43780</v>
      </c>
      <c r="J80" s="55">
        <v>43816</v>
      </c>
      <c r="K80" s="52">
        <v>43774</v>
      </c>
      <c r="L80" s="52">
        <v>43795</v>
      </c>
      <c r="M80" s="52">
        <v>43816</v>
      </c>
      <c r="N80" s="52">
        <v>43837</v>
      </c>
      <c r="O80" s="52">
        <v>43858</v>
      </c>
      <c r="P80" s="52">
        <v>43879</v>
      </c>
      <c r="Q80" s="52">
        <v>43879</v>
      </c>
      <c r="R80" s="52" t="s">
        <v>513</v>
      </c>
      <c r="S80" s="52">
        <v>44306</v>
      </c>
      <c r="T80" s="52"/>
      <c r="U80" s="52"/>
      <c r="V80" s="53">
        <v>0</v>
      </c>
      <c r="W80" s="53">
        <v>18.59</v>
      </c>
      <c r="X80" s="13">
        <v>0</v>
      </c>
      <c r="Y80" s="53">
        <v>18.59</v>
      </c>
      <c r="Z80" s="13">
        <v>0</v>
      </c>
      <c r="AA80" s="13">
        <v>0</v>
      </c>
      <c r="AB80" s="12"/>
    </row>
    <row r="81" spans="1:28" x14ac:dyDescent="0.2">
      <c r="A81" s="45" t="s">
        <v>329</v>
      </c>
      <c r="B81" s="14">
        <v>0</v>
      </c>
      <c r="C81" s="25">
        <v>1</v>
      </c>
      <c r="D81" s="13">
        <v>0</v>
      </c>
      <c r="E81" s="52">
        <v>43753</v>
      </c>
      <c r="F81" s="52">
        <v>43761</v>
      </c>
      <c r="G81" s="13">
        <v>8</v>
      </c>
      <c r="H81" s="13">
        <v>1</v>
      </c>
      <c r="I81" s="52" t="s">
        <v>513</v>
      </c>
      <c r="J81" s="52" t="s">
        <v>513</v>
      </c>
      <c r="K81" s="52" t="s">
        <v>513</v>
      </c>
      <c r="L81" s="52" t="s">
        <v>513</v>
      </c>
      <c r="M81" s="52" t="s">
        <v>513</v>
      </c>
      <c r="N81" s="52" t="s">
        <v>513</v>
      </c>
      <c r="O81" s="52" t="s">
        <v>513</v>
      </c>
      <c r="P81" s="52" t="s">
        <v>513</v>
      </c>
      <c r="Q81" s="55" t="s">
        <v>513</v>
      </c>
      <c r="R81" s="52" t="s">
        <v>513</v>
      </c>
      <c r="S81" s="52">
        <v>43761</v>
      </c>
      <c r="T81" s="52"/>
      <c r="U81" s="52"/>
      <c r="V81" s="53">
        <v>0</v>
      </c>
      <c r="W81" s="53">
        <v>0.26</v>
      </c>
      <c r="X81" s="13">
        <v>0</v>
      </c>
      <c r="Y81" s="53">
        <v>0.26</v>
      </c>
      <c r="Z81" s="13">
        <v>0</v>
      </c>
      <c r="AA81" s="13">
        <v>1</v>
      </c>
      <c r="AB81" s="12"/>
    </row>
    <row r="82" spans="1:28" x14ac:dyDescent="0.2">
      <c r="A82" s="45" t="s">
        <v>335</v>
      </c>
      <c r="B82" s="14">
        <v>1</v>
      </c>
      <c r="C82" s="25">
        <v>1</v>
      </c>
      <c r="D82" s="13">
        <v>0</v>
      </c>
      <c r="E82" s="52">
        <v>43874</v>
      </c>
      <c r="F82" s="52">
        <v>43892</v>
      </c>
      <c r="G82" s="13">
        <v>18</v>
      </c>
      <c r="H82" s="13">
        <v>2</v>
      </c>
      <c r="I82" s="52">
        <v>43934</v>
      </c>
      <c r="J82" s="55">
        <v>43971</v>
      </c>
      <c r="K82" s="52">
        <v>43927</v>
      </c>
      <c r="L82" s="52">
        <v>43950</v>
      </c>
      <c r="M82" s="52">
        <v>43971</v>
      </c>
      <c r="N82" s="52">
        <v>43994</v>
      </c>
      <c r="O82" s="52">
        <v>44013</v>
      </c>
      <c r="P82" s="52">
        <v>44034</v>
      </c>
      <c r="Q82" s="52">
        <v>44034</v>
      </c>
      <c r="R82" s="52" t="s">
        <v>513</v>
      </c>
      <c r="S82" s="52">
        <v>44328</v>
      </c>
      <c r="T82" s="52"/>
      <c r="U82" s="52"/>
      <c r="V82" s="53">
        <v>0</v>
      </c>
      <c r="W82" s="53">
        <v>14.91</v>
      </c>
      <c r="X82" s="13">
        <v>0</v>
      </c>
      <c r="Y82" s="53">
        <v>14.91</v>
      </c>
      <c r="Z82" s="13">
        <v>1</v>
      </c>
      <c r="AA82" s="13">
        <v>2</v>
      </c>
      <c r="AB82" s="12"/>
    </row>
    <row r="83" spans="1:28" x14ac:dyDescent="0.2">
      <c r="A83" s="45" t="s">
        <v>339</v>
      </c>
      <c r="B83" s="14">
        <v>1</v>
      </c>
      <c r="C83" s="25">
        <v>0</v>
      </c>
      <c r="D83" s="13">
        <v>0</v>
      </c>
      <c r="E83" s="52">
        <v>43875</v>
      </c>
      <c r="F83" s="52">
        <v>43882</v>
      </c>
      <c r="G83" s="13">
        <v>7</v>
      </c>
      <c r="H83" s="13">
        <v>0</v>
      </c>
      <c r="I83" s="52">
        <v>43920</v>
      </c>
      <c r="J83" s="52">
        <v>43959</v>
      </c>
      <c r="K83" s="52">
        <v>43913</v>
      </c>
      <c r="L83" s="52">
        <v>43934</v>
      </c>
      <c r="M83" s="52">
        <v>43955</v>
      </c>
      <c r="N83" s="52">
        <v>43979</v>
      </c>
      <c r="O83" s="52">
        <v>44000</v>
      </c>
      <c r="P83" s="52">
        <v>44021</v>
      </c>
      <c r="Q83" s="52">
        <v>44021</v>
      </c>
      <c r="R83" s="52" t="s">
        <v>513</v>
      </c>
      <c r="S83" s="52">
        <v>44333</v>
      </c>
      <c r="T83" s="52"/>
      <c r="U83" s="52"/>
      <c r="V83" s="53">
        <v>0</v>
      </c>
      <c r="W83" s="53">
        <v>15.05</v>
      </c>
      <c r="X83" s="13">
        <v>0</v>
      </c>
      <c r="Y83" s="53">
        <v>15.05</v>
      </c>
      <c r="Z83" s="13">
        <v>1</v>
      </c>
      <c r="AA83" s="13">
        <v>2</v>
      </c>
      <c r="AB83" s="12"/>
    </row>
    <row r="84" spans="1:28" x14ac:dyDescent="0.2">
      <c r="A84" s="45" t="s">
        <v>530</v>
      </c>
      <c r="B84" s="14">
        <v>0</v>
      </c>
      <c r="C84" s="25">
        <v>0</v>
      </c>
      <c r="D84" s="13"/>
      <c r="E84" s="52">
        <v>43893</v>
      </c>
      <c r="F84" s="52" t="s">
        <v>513</v>
      </c>
      <c r="G84" s="13" t="s">
        <v>513</v>
      </c>
      <c r="H84" s="13" t="s">
        <v>513</v>
      </c>
      <c r="I84" s="52" t="s">
        <v>513</v>
      </c>
      <c r="J84" s="52" t="s">
        <v>513</v>
      </c>
      <c r="K84" s="52" t="s">
        <v>513</v>
      </c>
      <c r="L84" s="52" t="s">
        <v>513</v>
      </c>
      <c r="M84" s="52" t="s">
        <v>513</v>
      </c>
      <c r="N84" s="52" t="s">
        <v>513</v>
      </c>
      <c r="O84" s="52" t="s">
        <v>513</v>
      </c>
      <c r="P84" s="52" t="s">
        <v>513</v>
      </c>
      <c r="Q84" s="55">
        <v>43899</v>
      </c>
      <c r="R84" s="52" t="s">
        <v>513</v>
      </c>
      <c r="S84" s="52">
        <v>43899</v>
      </c>
      <c r="T84" s="52"/>
      <c r="U84" s="52"/>
      <c r="V84" s="53">
        <v>0</v>
      </c>
      <c r="W84" s="53">
        <v>0.2</v>
      </c>
      <c r="X84" s="13">
        <v>0</v>
      </c>
      <c r="Y84" s="53">
        <v>0.2</v>
      </c>
      <c r="Z84" s="13" t="s">
        <v>513</v>
      </c>
      <c r="AA84" s="13"/>
      <c r="AB84" s="12"/>
    </row>
    <row r="85" spans="1:28" x14ac:dyDescent="0.2">
      <c r="A85" s="45" t="s">
        <v>531</v>
      </c>
      <c r="B85" s="14">
        <v>1</v>
      </c>
      <c r="C85" s="25">
        <v>0</v>
      </c>
      <c r="D85" s="13">
        <v>1</v>
      </c>
      <c r="E85" s="52">
        <v>43915</v>
      </c>
      <c r="F85" s="52">
        <v>43922</v>
      </c>
      <c r="G85" s="13">
        <v>7</v>
      </c>
      <c r="H85" s="13">
        <v>0</v>
      </c>
      <c r="I85" s="52">
        <v>43962</v>
      </c>
      <c r="J85" s="52">
        <v>44001</v>
      </c>
      <c r="K85" s="52">
        <v>43950</v>
      </c>
      <c r="L85" s="52">
        <v>43978</v>
      </c>
      <c r="M85" s="52">
        <v>43999</v>
      </c>
      <c r="N85" s="52" t="s">
        <v>1126</v>
      </c>
      <c r="O85" s="52" t="s">
        <v>1126</v>
      </c>
      <c r="P85" s="52" t="s">
        <v>1128</v>
      </c>
      <c r="Q85" s="55">
        <v>44062</v>
      </c>
      <c r="R85" s="52" t="s">
        <v>513</v>
      </c>
      <c r="S85" s="52">
        <v>44278</v>
      </c>
      <c r="T85" s="52"/>
      <c r="U85" s="52"/>
      <c r="V85" s="53">
        <v>0</v>
      </c>
      <c r="W85" s="53">
        <v>11.93</v>
      </c>
      <c r="X85" s="13">
        <v>0</v>
      </c>
      <c r="Y85" s="53">
        <v>11.93</v>
      </c>
      <c r="Z85" s="13">
        <v>0</v>
      </c>
      <c r="AA85" s="13">
        <v>0</v>
      </c>
      <c r="AB85" s="12"/>
    </row>
    <row r="86" spans="1:28" x14ac:dyDescent="0.2">
      <c r="A86" s="45" t="s">
        <v>532</v>
      </c>
      <c r="B86" s="14">
        <v>1</v>
      </c>
      <c r="C86" s="25">
        <v>0</v>
      </c>
      <c r="D86" s="13">
        <v>1</v>
      </c>
      <c r="E86" s="52">
        <v>43913</v>
      </c>
      <c r="F86" s="52">
        <v>43920</v>
      </c>
      <c r="G86" s="13">
        <v>7</v>
      </c>
      <c r="H86" s="13">
        <v>0</v>
      </c>
      <c r="I86" s="52">
        <v>43963</v>
      </c>
      <c r="J86" s="52">
        <v>43997</v>
      </c>
      <c r="K86" s="52">
        <v>43952</v>
      </c>
      <c r="L86" s="52">
        <v>43970</v>
      </c>
      <c r="M86" s="52">
        <v>43991</v>
      </c>
      <c r="N86" s="52" t="s">
        <v>1129</v>
      </c>
      <c r="O86" s="52" t="s">
        <v>1126</v>
      </c>
      <c r="P86" s="52" t="s">
        <v>513</v>
      </c>
      <c r="Q86" s="55">
        <v>44033</v>
      </c>
      <c r="R86" s="55" t="s">
        <v>513</v>
      </c>
      <c r="S86" s="52">
        <v>44384</v>
      </c>
      <c r="T86" s="52"/>
      <c r="U86" s="52"/>
      <c r="V86" s="53">
        <v>0</v>
      </c>
      <c r="W86" s="53">
        <v>15.47</v>
      </c>
      <c r="X86" s="13">
        <v>0</v>
      </c>
      <c r="Y86" s="53">
        <v>15.47</v>
      </c>
      <c r="Z86" s="13">
        <v>0</v>
      </c>
      <c r="AA86" s="13">
        <v>1</v>
      </c>
      <c r="AB86" s="12"/>
    </row>
    <row r="87" spans="1:28" x14ac:dyDescent="0.2">
      <c r="A87" s="45" t="s">
        <v>345</v>
      </c>
      <c r="B87" s="14">
        <v>1</v>
      </c>
      <c r="C87" s="25">
        <v>0</v>
      </c>
      <c r="D87" s="13">
        <v>1</v>
      </c>
      <c r="E87" s="52">
        <v>44033</v>
      </c>
      <c r="F87" s="52">
        <v>44040</v>
      </c>
      <c r="G87" s="13">
        <v>7</v>
      </c>
      <c r="H87" s="13">
        <v>0</v>
      </c>
      <c r="I87" s="52">
        <v>44082</v>
      </c>
      <c r="J87" s="52">
        <v>44120</v>
      </c>
      <c r="K87" s="52">
        <v>44074</v>
      </c>
      <c r="L87" s="52">
        <v>44095</v>
      </c>
      <c r="M87" s="52">
        <v>44116</v>
      </c>
      <c r="N87" s="52">
        <v>44137</v>
      </c>
      <c r="O87" s="52">
        <v>44158</v>
      </c>
      <c r="P87" s="52">
        <v>44179</v>
      </c>
      <c r="Q87" s="52">
        <v>44179</v>
      </c>
      <c r="R87" s="52" t="s">
        <v>513</v>
      </c>
      <c r="S87" s="52">
        <v>44335</v>
      </c>
      <c r="T87" s="52">
        <v>44259</v>
      </c>
      <c r="U87" s="52"/>
      <c r="V87" s="53">
        <v>1</v>
      </c>
      <c r="W87" s="53">
        <v>7.42</v>
      </c>
      <c r="X87" s="13">
        <v>0</v>
      </c>
      <c r="Y87" s="53">
        <v>9.92</v>
      </c>
      <c r="Z87" s="13">
        <v>0</v>
      </c>
      <c r="AA87" s="57">
        <v>0</v>
      </c>
      <c r="AB87" s="12" t="s">
        <v>1130</v>
      </c>
    </row>
    <row r="88" spans="1:28" x14ac:dyDescent="0.2">
      <c r="A88" s="45" t="s">
        <v>350</v>
      </c>
      <c r="B88" s="14">
        <v>1</v>
      </c>
      <c r="C88" s="25">
        <v>0</v>
      </c>
      <c r="D88" s="13">
        <v>1</v>
      </c>
      <c r="E88" s="52">
        <v>44041</v>
      </c>
      <c r="F88" s="52">
        <v>44048</v>
      </c>
      <c r="G88" s="13">
        <v>7</v>
      </c>
      <c r="H88" s="13">
        <v>0</v>
      </c>
      <c r="I88" s="52" t="s">
        <v>513</v>
      </c>
      <c r="J88" s="52" t="s">
        <v>513</v>
      </c>
      <c r="K88" s="52">
        <v>44109</v>
      </c>
      <c r="L88" s="52" t="s">
        <v>1129</v>
      </c>
      <c r="M88" s="52" t="s">
        <v>1129</v>
      </c>
      <c r="N88" s="52" t="s">
        <v>1129</v>
      </c>
      <c r="O88" s="52">
        <v>44206</v>
      </c>
      <c r="P88" s="52">
        <v>44224</v>
      </c>
      <c r="Q88" s="52">
        <v>44224</v>
      </c>
      <c r="R88" s="52" t="s">
        <v>513</v>
      </c>
      <c r="S88" s="52">
        <v>44351</v>
      </c>
      <c r="T88" s="52"/>
      <c r="U88" s="52"/>
      <c r="V88" s="53">
        <v>0</v>
      </c>
      <c r="W88" s="53">
        <v>10.18</v>
      </c>
      <c r="X88" s="13">
        <v>0</v>
      </c>
      <c r="Y88" s="53">
        <v>10.18</v>
      </c>
      <c r="Z88" s="13">
        <v>0</v>
      </c>
      <c r="AA88" s="13">
        <v>2</v>
      </c>
      <c r="AB88" s="12"/>
    </row>
    <row r="89" spans="1:28" x14ac:dyDescent="0.2">
      <c r="A89" s="45" t="s">
        <v>533</v>
      </c>
      <c r="B89" s="14">
        <v>0</v>
      </c>
      <c r="C89" s="25">
        <v>0</v>
      </c>
      <c r="D89" s="13">
        <v>0</v>
      </c>
      <c r="E89" s="52">
        <v>44069</v>
      </c>
      <c r="F89" s="52">
        <v>44085</v>
      </c>
      <c r="G89" s="13">
        <v>16</v>
      </c>
      <c r="H89" s="13"/>
      <c r="I89" s="52" t="s">
        <v>513</v>
      </c>
      <c r="J89" s="52" t="s">
        <v>513</v>
      </c>
      <c r="K89" s="52" t="s">
        <v>513</v>
      </c>
      <c r="L89" s="52" t="s">
        <v>513</v>
      </c>
      <c r="M89" s="52" t="s">
        <v>513</v>
      </c>
      <c r="N89" s="52" t="s">
        <v>513</v>
      </c>
      <c r="O89" s="52" t="s">
        <v>513</v>
      </c>
      <c r="P89" s="52" t="s">
        <v>513</v>
      </c>
      <c r="Q89" s="55">
        <v>44085</v>
      </c>
      <c r="R89" s="52">
        <v>44117</v>
      </c>
      <c r="S89" s="52">
        <v>44117</v>
      </c>
      <c r="T89" s="52"/>
      <c r="U89" s="52"/>
      <c r="V89" s="53">
        <v>0</v>
      </c>
      <c r="W89" s="53">
        <v>1.58</v>
      </c>
      <c r="X89" s="13">
        <v>0</v>
      </c>
      <c r="Y89" s="53">
        <v>1.58</v>
      </c>
      <c r="Z89" s="13"/>
      <c r="AA89" s="13"/>
      <c r="AB89" s="12"/>
    </row>
    <row r="90" spans="1:28" x14ac:dyDescent="0.2">
      <c r="A90" s="45" t="s">
        <v>534</v>
      </c>
      <c r="B90" s="14">
        <v>1</v>
      </c>
      <c r="C90" s="25">
        <v>0</v>
      </c>
      <c r="D90" s="13">
        <v>1</v>
      </c>
      <c r="E90" s="52">
        <v>44075</v>
      </c>
      <c r="F90" s="52">
        <v>44099</v>
      </c>
      <c r="G90" s="13">
        <v>24</v>
      </c>
      <c r="H90" s="13">
        <v>2</v>
      </c>
      <c r="I90" s="52">
        <v>44145</v>
      </c>
      <c r="J90" s="52">
        <v>44174</v>
      </c>
      <c r="K90" s="52">
        <v>44138</v>
      </c>
      <c r="L90" s="52">
        <v>44158</v>
      </c>
      <c r="M90" s="52">
        <v>44179</v>
      </c>
      <c r="N90" s="52" t="s">
        <v>1126</v>
      </c>
      <c r="O90" s="52">
        <v>44221</v>
      </c>
      <c r="P90" s="52" t="s">
        <v>1126</v>
      </c>
      <c r="Q90" s="55" t="s">
        <v>535</v>
      </c>
      <c r="R90" s="52" t="s">
        <v>513</v>
      </c>
      <c r="S90" s="52">
        <v>44342</v>
      </c>
      <c r="T90" s="52"/>
      <c r="U90" s="52"/>
      <c r="V90" s="53">
        <v>0</v>
      </c>
      <c r="W90" s="53">
        <v>8.77</v>
      </c>
      <c r="X90" s="13">
        <v>0</v>
      </c>
      <c r="Y90" s="53">
        <v>8.77</v>
      </c>
      <c r="Z90" s="13">
        <v>0</v>
      </c>
      <c r="AA90" s="13">
        <v>2</v>
      </c>
      <c r="AB90" s="12"/>
    </row>
    <row r="91" spans="1:28" x14ac:dyDescent="0.2">
      <c r="A91" s="45" t="s">
        <v>536</v>
      </c>
      <c r="B91" s="14">
        <v>0</v>
      </c>
      <c r="C91" s="25">
        <v>0</v>
      </c>
      <c r="D91" s="13" t="s">
        <v>513</v>
      </c>
      <c r="E91" s="52">
        <v>44110</v>
      </c>
      <c r="F91" s="52" t="s">
        <v>513</v>
      </c>
      <c r="G91" s="13" t="s">
        <v>513</v>
      </c>
      <c r="H91" s="13" t="s">
        <v>513</v>
      </c>
      <c r="I91" s="52" t="s">
        <v>513</v>
      </c>
      <c r="J91" s="52" t="s">
        <v>513</v>
      </c>
      <c r="K91" s="52" t="s">
        <v>513</v>
      </c>
      <c r="L91" s="52" t="s">
        <v>513</v>
      </c>
      <c r="M91" s="52" t="s">
        <v>513</v>
      </c>
      <c r="N91" s="52" t="s">
        <v>513</v>
      </c>
      <c r="O91" s="52" t="s">
        <v>513</v>
      </c>
      <c r="P91" s="52" t="s">
        <v>513</v>
      </c>
      <c r="Q91" s="55">
        <v>44475</v>
      </c>
      <c r="R91" s="52">
        <v>44113</v>
      </c>
      <c r="S91" s="52">
        <v>44113</v>
      </c>
      <c r="T91" s="52"/>
      <c r="U91" s="52"/>
      <c r="V91" s="53">
        <v>0</v>
      </c>
      <c r="W91" s="53">
        <v>0.1</v>
      </c>
      <c r="X91" s="13">
        <v>0</v>
      </c>
      <c r="Y91" s="53">
        <v>0.1</v>
      </c>
      <c r="Z91" s="13"/>
      <c r="AA91" s="13"/>
      <c r="AB91" s="12"/>
    </row>
    <row r="92" spans="1:28" x14ac:dyDescent="0.2">
      <c r="A92" s="45" t="s">
        <v>537</v>
      </c>
      <c r="B92" s="14">
        <v>1</v>
      </c>
      <c r="C92" s="25">
        <v>0</v>
      </c>
      <c r="D92" s="13">
        <v>0</v>
      </c>
      <c r="E92" s="52">
        <v>44126</v>
      </c>
      <c r="F92" s="52">
        <v>44137</v>
      </c>
      <c r="G92" s="13">
        <v>11</v>
      </c>
      <c r="H92" s="13">
        <v>1</v>
      </c>
      <c r="I92" s="52">
        <v>44201</v>
      </c>
      <c r="J92" s="52">
        <v>44239</v>
      </c>
      <c r="K92" s="52">
        <v>44193</v>
      </c>
      <c r="L92" s="52">
        <v>44216</v>
      </c>
      <c r="M92" s="52">
        <v>44237</v>
      </c>
      <c r="N92" s="52">
        <v>44258</v>
      </c>
      <c r="O92" s="52">
        <v>44279</v>
      </c>
      <c r="P92" s="52">
        <v>44299</v>
      </c>
      <c r="Q92" s="55">
        <v>44299</v>
      </c>
      <c r="R92" s="52" t="s">
        <v>513</v>
      </c>
      <c r="S92" s="52">
        <v>44326</v>
      </c>
      <c r="T92" s="52"/>
      <c r="U92" s="52"/>
      <c r="V92" s="53">
        <v>0</v>
      </c>
      <c r="W92" s="53">
        <v>6.57</v>
      </c>
      <c r="X92" s="13">
        <v>0</v>
      </c>
      <c r="Y92" s="53">
        <v>6.57</v>
      </c>
      <c r="Z92" s="13">
        <v>0</v>
      </c>
      <c r="AA92" s="13">
        <v>2</v>
      </c>
      <c r="AB92" s="12"/>
    </row>
    <row r="93" spans="1:28" x14ac:dyDescent="0.2">
      <c r="A93" s="45" t="s">
        <v>538</v>
      </c>
      <c r="B93" s="14">
        <v>1</v>
      </c>
      <c r="C93" s="25">
        <v>0</v>
      </c>
      <c r="D93" s="13">
        <v>1</v>
      </c>
      <c r="E93" s="52">
        <v>44121</v>
      </c>
      <c r="F93" s="52">
        <v>44132</v>
      </c>
      <c r="G93" s="13">
        <v>11</v>
      </c>
      <c r="H93" s="13">
        <v>1</v>
      </c>
      <c r="I93" s="52">
        <v>44172</v>
      </c>
      <c r="J93" s="52">
        <v>44174</v>
      </c>
      <c r="K93" s="52">
        <v>44165</v>
      </c>
      <c r="L93" s="52">
        <v>44188</v>
      </c>
      <c r="M93" s="52">
        <v>44210</v>
      </c>
      <c r="N93" s="52">
        <v>44231</v>
      </c>
      <c r="O93" s="52">
        <v>44252</v>
      </c>
      <c r="P93" s="52">
        <v>44273</v>
      </c>
      <c r="Q93" s="52">
        <v>44273</v>
      </c>
      <c r="R93" s="52" t="s">
        <v>513</v>
      </c>
      <c r="S93" s="52">
        <v>44294</v>
      </c>
      <c r="T93" s="52"/>
      <c r="U93" s="52"/>
      <c r="V93" s="53">
        <v>0</v>
      </c>
      <c r="W93" s="53">
        <v>5.68</v>
      </c>
      <c r="X93" s="13">
        <v>0</v>
      </c>
      <c r="Y93" s="53">
        <v>5.68</v>
      </c>
      <c r="Z93" s="13">
        <v>0</v>
      </c>
      <c r="AA93" s="13">
        <v>2</v>
      </c>
      <c r="AB93"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04930-2007-1543-A45B-5340346B692E}">
  <dimension ref="A1:AI196"/>
  <sheetViews>
    <sheetView topLeftCell="A75" workbookViewId="0">
      <selection activeCell="T39" sqref="T39"/>
    </sheetView>
  </sheetViews>
  <sheetFormatPr baseColWidth="10" defaultRowHeight="16" x14ac:dyDescent="0.2"/>
  <sheetData>
    <row r="1" spans="1:35" x14ac:dyDescent="0.2">
      <c r="A1" t="s">
        <v>944</v>
      </c>
      <c r="B1" t="s">
        <v>945</v>
      </c>
      <c r="C1" t="s">
        <v>946</v>
      </c>
      <c r="D1" t="s">
        <v>0</v>
      </c>
      <c r="E1" t="s">
        <v>647</v>
      </c>
      <c r="F1" t="s">
        <v>947</v>
      </c>
      <c r="G1" t="s">
        <v>948</v>
      </c>
      <c r="H1" t="s">
        <v>949</v>
      </c>
      <c r="I1" t="s">
        <v>22</v>
      </c>
      <c r="J1" t="s">
        <v>23</v>
      </c>
      <c r="K1" t="s">
        <v>24</v>
      </c>
      <c r="L1" t="s">
        <v>950</v>
      </c>
      <c r="M1" t="s">
        <v>26</v>
      </c>
      <c r="N1" t="s">
        <v>951</v>
      </c>
      <c r="O1" t="s">
        <v>952</v>
      </c>
      <c r="P1" t="s">
        <v>849</v>
      </c>
      <c r="Q1" t="s">
        <v>953</v>
      </c>
      <c r="R1" t="s">
        <v>28</v>
      </c>
      <c r="S1" t="s">
        <v>30</v>
      </c>
      <c r="T1" t="s">
        <v>854</v>
      </c>
      <c r="U1" t="s">
        <v>954</v>
      </c>
      <c r="V1" t="s">
        <v>955</v>
      </c>
      <c r="W1" t="s">
        <v>956</v>
      </c>
      <c r="X1" t="s">
        <v>957</v>
      </c>
      <c r="Y1" t="s">
        <v>958</v>
      </c>
      <c r="Z1" t="s">
        <v>959</v>
      </c>
      <c r="AA1" t="s">
        <v>40</v>
      </c>
      <c r="AB1" t="s">
        <v>960</v>
      </c>
      <c r="AC1" t="s">
        <v>42</v>
      </c>
      <c r="AD1" t="s">
        <v>43</v>
      </c>
      <c r="AE1" t="s">
        <v>961</v>
      </c>
      <c r="AG1" t="s">
        <v>0</v>
      </c>
      <c r="AH1" t="s">
        <v>1112</v>
      </c>
      <c r="AI1" t="s">
        <v>1113</v>
      </c>
    </row>
    <row r="2" spans="1:35" x14ac:dyDescent="0.2">
      <c r="A2">
        <v>53</v>
      </c>
      <c r="B2" t="s">
        <v>962</v>
      </c>
      <c r="C2">
        <v>1</v>
      </c>
      <c r="D2" t="s">
        <v>648</v>
      </c>
      <c r="E2" t="s">
        <v>649</v>
      </c>
      <c r="F2" t="s">
        <v>46</v>
      </c>
      <c r="G2">
        <v>1</v>
      </c>
      <c r="H2" t="s">
        <v>963</v>
      </c>
      <c r="I2">
        <v>46</v>
      </c>
      <c r="J2" t="s">
        <v>48</v>
      </c>
      <c r="K2" t="s">
        <v>49</v>
      </c>
      <c r="L2" t="s">
        <v>52</v>
      </c>
      <c r="M2" t="s">
        <v>51</v>
      </c>
      <c r="N2" t="s">
        <v>52</v>
      </c>
      <c r="O2" s="1">
        <v>43343</v>
      </c>
      <c r="P2" t="s">
        <v>872</v>
      </c>
      <c r="Q2" t="s">
        <v>964</v>
      </c>
      <c r="R2" t="s">
        <v>898</v>
      </c>
      <c r="S2" t="s">
        <v>55</v>
      </c>
      <c r="T2" t="s">
        <v>52</v>
      </c>
      <c r="V2" t="s">
        <v>513</v>
      </c>
      <c r="W2" t="s">
        <v>965</v>
      </c>
      <c r="X2">
        <v>24</v>
      </c>
      <c r="Y2">
        <v>15</v>
      </c>
      <c r="Z2">
        <v>35</v>
      </c>
      <c r="AA2">
        <v>21.2</v>
      </c>
      <c r="AB2">
        <v>1.1792450000000001</v>
      </c>
      <c r="AC2" t="s">
        <v>966</v>
      </c>
      <c r="AD2" t="s">
        <v>967</v>
      </c>
      <c r="AE2" t="s">
        <v>968</v>
      </c>
      <c r="AG2" t="s">
        <v>352</v>
      </c>
      <c r="AH2" s="1">
        <v>43825</v>
      </c>
      <c r="AI2" s="1">
        <v>43888</v>
      </c>
    </row>
    <row r="3" spans="1:35" x14ac:dyDescent="0.2">
      <c r="A3">
        <v>2</v>
      </c>
      <c r="B3" t="s">
        <v>969</v>
      </c>
      <c r="C3">
        <v>2</v>
      </c>
      <c r="D3" t="s">
        <v>650</v>
      </c>
      <c r="E3" t="s">
        <v>651</v>
      </c>
      <c r="F3" t="s">
        <v>46</v>
      </c>
      <c r="G3">
        <v>2</v>
      </c>
      <c r="H3" t="s">
        <v>963</v>
      </c>
      <c r="I3">
        <v>46</v>
      </c>
      <c r="J3" t="s">
        <v>48</v>
      </c>
      <c r="K3" t="s">
        <v>49</v>
      </c>
      <c r="L3" t="s">
        <v>52</v>
      </c>
      <c r="M3" t="s">
        <v>51</v>
      </c>
      <c r="N3" t="s">
        <v>52</v>
      </c>
      <c r="O3" s="1">
        <v>43343</v>
      </c>
      <c r="P3" t="s">
        <v>872</v>
      </c>
      <c r="Q3" t="s">
        <v>964</v>
      </c>
      <c r="R3" t="s">
        <v>898</v>
      </c>
      <c r="S3" t="s">
        <v>55</v>
      </c>
      <c r="T3" t="s">
        <v>52</v>
      </c>
      <c r="V3" t="s">
        <v>513</v>
      </c>
      <c r="W3">
        <v>0.122</v>
      </c>
      <c r="X3">
        <v>24</v>
      </c>
      <c r="Y3">
        <v>8.1967210000000001</v>
      </c>
      <c r="Z3">
        <v>41.803280000000001</v>
      </c>
      <c r="AA3">
        <v>17.100000000000001</v>
      </c>
      <c r="AB3">
        <v>1.4619880000000001</v>
      </c>
      <c r="AC3" t="s">
        <v>970</v>
      </c>
      <c r="AD3" t="s">
        <v>971</v>
      </c>
      <c r="AE3" t="s">
        <v>972</v>
      </c>
      <c r="AG3" t="s">
        <v>355</v>
      </c>
      <c r="AH3" s="1">
        <v>43825</v>
      </c>
      <c r="AI3" s="1">
        <v>43901</v>
      </c>
    </row>
    <row r="4" spans="1:35" x14ac:dyDescent="0.2">
      <c r="A4">
        <v>54</v>
      </c>
      <c r="B4" t="s">
        <v>973</v>
      </c>
      <c r="C4">
        <v>3</v>
      </c>
      <c r="D4" t="s">
        <v>652</v>
      </c>
      <c r="E4" t="s">
        <v>653</v>
      </c>
      <c r="F4" t="s">
        <v>46</v>
      </c>
      <c r="G4">
        <v>1</v>
      </c>
      <c r="H4" t="s">
        <v>974</v>
      </c>
      <c r="I4">
        <v>44</v>
      </c>
      <c r="J4" t="s">
        <v>48</v>
      </c>
      <c r="K4" t="s">
        <v>49</v>
      </c>
      <c r="L4" t="s">
        <v>50</v>
      </c>
      <c r="M4" t="s">
        <v>51</v>
      </c>
      <c r="N4" t="s">
        <v>52</v>
      </c>
      <c r="O4" s="1">
        <v>43514</v>
      </c>
      <c r="P4" t="s">
        <v>872</v>
      </c>
      <c r="Q4" t="s">
        <v>964</v>
      </c>
      <c r="R4" t="s">
        <v>53</v>
      </c>
      <c r="S4" t="s">
        <v>55</v>
      </c>
      <c r="T4" t="s">
        <v>52</v>
      </c>
      <c r="U4" t="s">
        <v>975</v>
      </c>
      <c r="V4" t="s">
        <v>56</v>
      </c>
      <c r="W4" t="s">
        <v>965</v>
      </c>
      <c r="X4">
        <v>24</v>
      </c>
      <c r="Y4">
        <v>15</v>
      </c>
      <c r="Z4">
        <v>35</v>
      </c>
      <c r="AA4">
        <v>16.600000000000001</v>
      </c>
      <c r="AB4">
        <v>1.506024</v>
      </c>
      <c r="AC4" t="s">
        <v>58</v>
      </c>
      <c r="AD4" t="s">
        <v>59</v>
      </c>
      <c r="AE4" t="s">
        <v>60</v>
      </c>
      <c r="AG4" t="s">
        <v>356</v>
      </c>
      <c r="AH4" s="1">
        <v>43825</v>
      </c>
      <c r="AI4" s="1">
        <v>43898</v>
      </c>
    </row>
    <row r="5" spans="1:35" x14ac:dyDescent="0.2">
      <c r="A5">
        <v>23</v>
      </c>
      <c r="B5" t="s">
        <v>976</v>
      </c>
      <c r="C5">
        <v>4</v>
      </c>
      <c r="D5" t="s">
        <v>654</v>
      </c>
      <c r="E5" t="s">
        <v>655</v>
      </c>
      <c r="F5" t="s">
        <v>46</v>
      </c>
      <c r="G5">
        <v>2</v>
      </c>
      <c r="H5" t="s">
        <v>974</v>
      </c>
      <c r="I5">
        <v>44</v>
      </c>
      <c r="J5" t="s">
        <v>48</v>
      </c>
      <c r="K5" t="s">
        <v>49</v>
      </c>
      <c r="L5" t="s">
        <v>50</v>
      </c>
      <c r="M5" t="s">
        <v>51</v>
      </c>
      <c r="N5" t="s">
        <v>52</v>
      </c>
      <c r="O5" s="1">
        <v>43514</v>
      </c>
      <c r="P5" t="s">
        <v>872</v>
      </c>
      <c r="Q5" t="s">
        <v>964</v>
      </c>
      <c r="R5" t="s">
        <v>53</v>
      </c>
      <c r="S5" t="s">
        <v>55</v>
      </c>
      <c r="T5" t="s">
        <v>52</v>
      </c>
      <c r="U5" t="s">
        <v>975</v>
      </c>
      <c r="V5" t="s">
        <v>56</v>
      </c>
      <c r="W5">
        <v>0.46400000000000002</v>
      </c>
      <c r="X5">
        <v>24</v>
      </c>
      <c r="Y5">
        <v>2.1551719999999999</v>
      </c>
      <c r="Z5">
        <v>47.844830000000002</v>
      </c>
      <c r="AA5">
        <v>11</v>
      </c>
      <c r="AB5">
        <v>2.2727270000000002</v>
      </c>
      <c r="AC5" t="s">
        <v>62</v>
      </c>
      <c r="AD5" t="s">
        <v>63</v>
      </c>
      <c r="AE5" t="s">
        <v>64</v>
      </c>
      <c r="AG5" t="s">
        <v>357</v>
      </c>
      <c r="AH5" s="1">
        <v>43825</v>
      </c>
      <c r="AI5" s="1">
        <v>43901</v>
      </c>
    </row>
    <row r="6" spans="1:35" x14ac:dyDescent="0.2">
      <c r="A6">
        <v>14</v>
      </c>
      <c r="B6" t="s">
        <v>977</v>
      </c>
      <c r="C6">
        <v>5</v>
      </c>
      <c r="D6" t="s">
        <v>656</v>
      </c>
      <c r="E6" t="s">
        <v>657</v>
      </c>
      <c r="F6" t="s">
        <v>46</v>
      </c>
      <c r="G6">
        <v>1</v>
      </c>
      <c r="H6" t="s">
        <v>974</v>
      </c>
      <c r="I6">
        <v>44</v>
      </c>
      <c r="J6" t="s">
        <v>48</v>
      </c>
      <c r="K6" t="s">
        <v>49</v>
      </c>
      <c r="L6" t="s">
        <v>50</v>
      </c>
      <c r="M6" t="s">
        <v>51</v>
      </c>
      <c r="N6" t="s">
        <v>52</v>
      </c>
      <c r="O6" s="1">
        <v>43514</v>
      </c>
      <c r="P6" t="s">
        <v>872</v>
      </c>
      <c r="Q6" t="s">
        <v>964</v>
      </c>
      <c r="R6" t="s">
        <v>53</v>
      </c>
      <c r="S6" t="s">
        <v>55</v>
      </c>
      <c r="T6" t="s">
        <v>52</v>
      </c>
      <c r="U6" t="s">
        <v>975</v>
      </c>
      <c r="V6" t="s">
        <v>56</v>
      </c>
      <c r="W6">
        <v>0.2</v>
      </c>
      <c r="X6">
        <v>24</v>
      </c>
      <c r="Y6">
        <v>5</v>
      </c>
      <c r="Z6">
        <v>45</v>
      </c>
      <c r="AA6">
        <v>12.2</v>
      </c>
      <c r="AB6">
        <v>2.0491799999999998</v>
      </c>
      <c r="AC6" t="s">
        <v>66</v>
      </c>
      <c r="AD6" t="s">
        <v>67</v>
      </c>
      <c r="AE6" t="s">
        <v>68</v>
      </c>
      <c r="AG6" t="s">
        <v>360</v>
      </c>
      <c r="AH6" s="1">
        <v>43825</v>
      </c>
      <c r="AI6" s="1">
        <v>43888</v>
      </c>
    </row>
    <row r="7" spans="1:35" x14ac:dyDescent="0.2">
      <c r="A7">
        <v>8</v>
      </c>
      <c r="B7" t="s">
        <v>978</v>
      </c>
      <c r="C7">
        <v>6</v>
      </c>
      <c r="D7" t="s">
        <v>658</v>
      </c>
      <c r="E7" t="s">
        <v>659</v>
      </c>
      <c r="F7" t="s">
        <v>46</v>
      </c>
      <c r="G7">
        <v>2</v>
      </c>
      <c r="H7" t="s">
        <v>979</v>
      </c>
      <c r="I7">
        <v>51</v>
      </c>
      <c r="J7" t="s">
        <v>71</v>
      </c>
      <c r="K7" t="s">
        <v>49</v>
      </c>
      <c r="L7" t="s">
        <v>52</v>
      </c>
      <c r="M7" t="s">
        <v>51</v>
      </c>
      <c r="N7" t="s">
        <v>52</v>
      </c>
      <c r="O7" s="1">
        <v>43656</v>
      </c>
      <c r="P7" t="s">
        <v>872</v>
      </c>
      <c r="Q7" t="s">
        <v>980</v>
      </c>
      <c r="R7" t="s">
        <v>72</v>
      </c>
      <c r="S7" t="s">
        <v>55</v>
      </c>
      <c r="T7" t="s">
        <v>55</v>
      </c>
      <c r="U7" t="s">
        <v>981</v>
      </c>
      <c r="V7" t="s">
        <v>73</v>
      </c>
      <c r="W7">
        <v>0.16</v>
      </c>
      <c r="X7">
        <v>24</v>
      </c>
      <c r="Y7">
        <v>6.25</v>
      </c>
      <c r="Z7">
        <v>43.75</v>
      </c>
      <c r="AA7">
        <v>21.6</v>
      </c>
      <c r="AB7">
        <v>1.1574070000000001</v>
      </c>
      <c r="AC7" t="s">
        <v>74</v>
      </c>
      <c r="AD7" t="s">
        <v>75</v>
      </c>
      <c r="AE7" t="s">
        <v>76</v>
      </c>
      <c r="AG7" t="s">
        <v>361</v>
      </c>
      <c r="AH7" s="1">
        <v>43825</v>
      </c>
      <c r="AI7" s="1">
        <v>43898</v>
      </c>
    </row>
    <row r="8" spans="1:35" x14ac:dyDescent="0.2">
      <c r="A8">
        <v>18</v>
      </c>
      <c r="B8" t="s">
        <v>982</v>
      </c>
      <c r="C8">
        <v>7</v>
      </c>
      <c r="D8" t="s">
        <v>660</v>
      </c>
      <c r="E8" t="s">
        <v>661</v>
      </c>
      <c r="F8" t="s">
        <v>46</v>
      </c>
      <c r="G8">
        <v>2</v>
      </c>
      <c r="H8" t="s">
        <v>979</v>
      </c>
      <c r="I8">
        <v>51</v>
      </c>
      <c r="J8" t="s">
        <v>71</v>
      </c>
      <c r="K8" t="s">
        <v>49</v>
      </c>
      <c r="L8" t="s">
        <v>52</v>
      </c>
      <c r="M8" t="s">
        <v>51</v>
      </c>
      <c r="N8" t="s">
        <v>52</v>
      </c>
      <c r="O8" s="1">
        <v>43656</v>
      </c>
      <c r="P8" t="s">
        <v>872</v>
      </c>
      <c r="Q8" t="s">
        <v>980</v>
      </c>
      <c r="R8" t="s">
        <v>72</v>
      </c>
      <c r="S8" t="s">
        <v>55</v>
      </c>
      <c r="T8" t="s">
        <v>55</v>
      </c>
      <c r="U8" t="s">
        <v>981</v>
      </c>
      <c r="V8" t="s">
        <v>73</v>
      </c>
      <c r="W8">
        <v>0.316</v>
      </c>
      <c r="X8">
        <v>24</v>
      </c>
      <c r="Y8">
        <v>3.1645569999999998</v>
      </c>
      <c r="Z8">
        <v>46.835439999999998</v>
      </c>
      <c r="AA8">
        <v>20.2</v>
      </c>
      <c r="AB8">
        <v>1.2376240000000001</v>
      </c>
      <c r="AC8" t="s">
        <v>78</v>
      </c>
      <c r="AD8" t="s">
        <v>79</v>
      </c>
      <c r="AE8" t="s">
        <v>80</v>
      </c>
      <c r="AG8" t="s">
        <v>362</v>
      </c>
      <c r="AH8" s="1">
        <v>43825</v>
      </c>
      <c r="AI8" s="1">
        <v>43898</v>
      </c>
    </row>
    <row r="9" spans="1:35" x14ac:dyDescent="0.2">
      <c r="A9">
        <v>12</v>
      </c>
      <c r="B9" t="s">
        <v>983</v>
      </c>
      <c r="C9">
        <v>8</v>
      </c>
      <c r="D9" t="s">
        <v>662</v>
      </c>
      <c r="E9" t="s">
        <v>663</v>
      </c>
      <c r="F9" t="s">
        <v>46</v>
      </c>
      <c r="G9">
        <v>2</v>
      </c>
      <c r="H9" t="s">
        <v>979</v>
      </c>
      <c r="I9">
        <v>51</v>
      </c>
      <c r="J9" t="s">
        <v>71</v>
      </c>
      <c r="K9" t="s">
        <v>49</v>
      </c>
      <c r="L9" t="s">
        <v>52</v>
      </c>
      <c r="M9" t="s">
        <v>51</v>
      </c>
      <c r="N9" t="s">
        <v>52</v>
      </c>
      <c r="O9" s="1">
        <v>43656</v>
      </c>
      <c r="P9" t="s">
        <v>872</v>
      </c>
      <c r="Q9" t="s">
        <v>980</v>
      </c>
      <c r="R9" t="s">
        <v>72</v>
      </c>
      <c r="S9" t="s">
        <v>55</v>
      </c>
      <c r="T9" t="s">
        <v>55</v>
      </c>
      <c r="U9" t="s">
        <v>981</v>
      </c>
      <c r="V9" t="s">
        <v>73</v>
      </c>
      <c r="W9">
        <v>0.188</v>
      </c>
      <c r="X9">
        <v>24</v>
      </c>
      <c r="Y9">
        <v>5.3191490000000003</v>
      </c>
      <c r="Z9">
        <v>44.68085</v>
      </c>
      <c r="AA9">
        <v>16.8</v>
      </c>
      <c r="AB9">
        <v>1.4880949999999999</v>
      </c>
      <c r="AC9" t="s">
        <v>82</v>
      </c>
      <c r="AD9" t="s">
        <v>83</v>
      </c>
      <c r="AE9" t="s">
        <v>84</v>
      </c>
      <c r="AG9" t="s">
        <v>364</v>
      </c>
      <c r="AH9" s="1">
        <v>43825</v>
      </c>
      <c r="AI9" s="1">
        <v>43901</v>
      </c>
    </row>
    <row r="10" spans="1:35" x14ac:dyDescent="0.2">
      <c r="A10">
        <v>5</v>
      </c>
      <c r="B10" t="s">
        <v>984</v>
      </c>
      <c r="C10">
        <v>9</v>
      </c>
      <c r="D10" t="s">
        <v>664</v>
      </c>
      <c r="E10" t="s">
        <v>665</v>
      </c>
      <c r="F10" t="s">
        <v>46</v>
      </c>
      <c r="G10">
        <v>1</v>
      </c>
      <c r="H10" t="s">
        <v>985</v>
      </c>
      <c r="I10">
        <v>71</v>
      </c>
      <c r="J10" t="s">
        <v>48</v>
      </c>
      <c r="K10" t="s">
        <v>49</v>
      </c>
      <c r="L10" t="s">
        <v>50</v>
      </c>
      <c r="M10" t="s">
        <v>51</v>
      </c>
      <c r="N10" t="s">
        <v>52</v>
      </c>
      <c r="O10" s="1">
        <v>43972</v>
      </c>
      <c r="P10" t="s">
        <v>872</v>
      </c>
      <c r="Q10" t="s">
        <v>964</v>
      </c>
      <c r="R10" t="s">
        <v>87</v>
      </c>
      <c r="S10" t="s">
        <v>55</v>
      </c>
      <c r="T10" t="s">
        <v>55</v>
      </c>
      <c r="U10" t="s">
        <v>981</v>
      </c>
      <c r="V10" t="s">
        <v>73</v>
      </c>
      <c r="W10">
        <v>0.16</v>
      </c>
      <c r="X10">
        <v>24</v>
      </c>
      <c r="Y10">
        <v>6.25</v>
      </c>
      <c r="Z10">
        <v>43.75</v>
      </c>
      <c r="AA10">
        <v>19.8</v>
      </c>
      <c r="AB10">
        <v>1.262626</v>
      </c>
      <c r="AC10" t="s">
        <v>88</v>
      </c>
      <c r="AD10" t="s">
        <v>89</v>
      </c>
      <c r="AE10" t="s">
        <v>90</v>
      </c>
      <c r="AG10" t="s">
        <v>365</v>
      </c>
      <c r="AH10" s="1">
        <v>43825</v>
      </c>
      <c r="AI10" s="1">
        <v>43887</v>
      </c>
    </row>
    <row r="11" spans="1:35" x14ac:dyDescent="0.2">
      <c r="A11">
        <v>15</v>
      </c>
      <c r="B11" t="s">
        <v>986</v>
      </c>
      <c r="C11">
        <v>10</v>
      </c>
      <c r="D11" t="s">
        <v>666</v>
      </c>
      <c r="E11" t="s">
        <v>667</v>
      </c>
      <c r="F11" t="s">
        <v>46</v>
      </c>
      <c r="G11">
        <v>1</v>
      </c>
      <c r="H11" t="s">
        <v>985</v>
      </c>
      <c r="I11">
        <v>71</v>
      </c>
      <c r="J11" t="s">
        <v>48</v>
      </c>
      <c r="K11" t="s">
        <v>49</v>
      </c>
      <c r="L11" t="s">
        <v>50</v>
      </c>
      <c r="M11" t="s">
        <v>51</v>
      </c>
      <c r="N11" t="s">
        <v>52</v>
      </c>
      <c r="O11" s="1">
        <v>43972</v>
      </c>
      <c r="P11" t="s">
        <v>872</v>
      </c>
      <c r="Q11" t="s">
        <v>964</v>
      </c>
      <c r="R11" t="s">
        <v>87</v>
      </c>
      <c r="S11" t="s">
        <v>55</v>
      </c>
      <c r="T11" t="s">
        <v>55</v>
      </c>
      <c r="U11" t="s">
        <v>981</v>
      </c>
      <c r="V11" t="s">
        <v>73</v>
      </c>
      <c r="W11">
        <v>0.2</v>
      </c>
      <c r="X11">
        <v>24</v>
      </c>
      <c r="Y11">
        <v>5</v>
      </c>
      <c r="Z11">
        <v>45</v>
      </c>
      <c r="AA11">
        <v>19.8</v>
      </c>
      <c r="AB11">
        <v>1.262626</v>
      </c>
      <c r="AC11" t="s">
        <v>92</v>
      </c>
      <c r="AD11" t="s">
        <v>93</v>
      </c>
      <c r="AE11" t="s">
        <v>94</v>
      </c>
      <c r="AG11" t="s">
        <v>366</v>
      </c>
      <c r="AH11" s="1">
        <v>43825</v>
      </c>
      <c r="AI11" s="1">
        <v>43887</v>
      </c>
    </row>
    <row r="12" spans="1:35" x14ac:dyDescent="0.2">
      <c r="A12">
        <v>8</v>
      </c>
      <c r="B12" t="s">
        <v>987</v>
      </c>
      <c r="C12">
        <v>11</v>
      </c>
      <c r="D12" t="s">
        <v>668</v>
      </c>
      <c r="E12" t="s">
        <v>669</v>
      </c>
      <c r="F12" t="s">
        <v>46</v>
      </c>
      <c r="G12">
        <v>1</v>
      </c>
      <c r="H12" t="s">
        <v>985</v>
      </c>
      <c r="I12">
        <v>71</v>
      </c>
      <c r="J12" t="s">
        <v>48</v>
      </c>
      <c r="K12" t="s">
        <v>49</v>
      </c>
      <c r="L12" t="s">
        <v>50</v>
      </c>
      <c r="M12" t="s">
        <v>51</v>
      </c>
      <c r="N12" t="s">
        <v>52</v>
      </c>
      <c r="O12" s="1">
        <v>43972</v>
      </c>
      <c r="P12" t="s">
        <v>872</v>
      </c>
      <c r="Q12" t="s">
        <v>964</v>
      </c>
      <c r="R12" t="s">
        <v>87</v>
      </c>
      <c r="S12" t="s">
        <v>55</v>
      </c>
      <c r="T12" t="s">
        <v>55</v>
      </c>
      <c r="U12" t="s">
        <v>981</v>
      </c>
      <c r="V12" t="s">
        <v>73</v>
      </c>
      <c r="W12">
        <v>0.16600000000000001</v>
      </c>
      <c r="X12">
        <v>24</v>
      </c>
      <c r="Y12">
        <v>6.0240960000000001</v>
      </c>
      <c r="Z12">
        <v>43.975900000000003</v>
      </c>
      <c r="AA12">
        <v>25.4</v>
      </c>
      <c r="AB12">
        <v>0.98425200000000002</v>
      </c>
      <c r="AC12" t="s">
        <v>74</v>
      </c>
      <c r="AD12" t="s">
        <v>75</v>
      </c>
      <c r="AE12" t="s">
        <v>76</v>
      </c>
      <c r="AG12" t="s">
        <v>369</v>
      </c>
      <c r="AH12" s="1">
        <v>43825</v>
      </c>
      <c r="AI12" s="1">
        <v>43898</v>
      </c>
    </row>
    <row r="13" spans="1:35" x14ac:dyDescent="0.2">
      <c r="A13">
        <v>7</v>
      </c>
      <c r="B13" t="s">
        <v>988</v>
      </c>
      <c r="C13">
        <v>12</v>
      </c>
      <c r="D13" t="s">
        <v>670</v>
      </c>
      <c r="E13" t="s">
        <v>671</v>
      </c>
      <c r="F13" t="s">
        <v>97</v>
      </c>
      <c r="G13">
        <v>2</v>
      </c>
      <c r="H13" t="s">
        <v>989</v>
      </c>
      <c r="I13">
        <v>75</v>
      </c>
      <c r="J13" t="s">
        <v>71</v>
      </c>
      <c r="K13" t="s">
        <v>49</v>
      </c>
      <c r="L13" t="s">
        <v>50</v>
      </c>
      <c r="M13" t="s">
        <v>51</v>
      </c>
      <c r="N13" t="s">
        <v>52</v>
      </c>
      <c r="O13" s="1">
        <v>43974</v>
      </c>
      <c r="P13" t="s">
        <v>919</v>
      </c>
      <c r="Q13" t="s">
        <v>980</v>
      </c>
      <c r="R13" t="s">
        <v>99</v>
      </c>
      <c r="S13" t="s">
        <v>55</v>
      </c>
      <c r="T13" t="s">
        <v>52</v>
      </c>
      <c r="U13" t="s">
        <v>975</v>
      </c>
      <c r="V13" s="21">
        <v>0.3</v>
      </c>
      <c r="W13">
        <v>0.154</v>
      </c>
      <c r="X13">
        <v>24</v>
      </c>
      <c r="Y13">
        <v>6.493506</v>
      </c>
      <c r="Z13">
        <v>43.506489999999999</v>
      </c>
      <c r="AA13">
        <v>21</v>
      </c>
      <c r="AB13">
        <v>1.1904760000000001</v>
      </c>
      <c r="AC13" t="s">
        <v>101</v>
      </c>
      <c r="AD13" t="s">
        <v>102</v>
      </c>
      <c r="AE13" t="s">
        <v>103</v>
      </c>
      <c r="AG13" t="s">
        <v>370</v>
      </c>
      <c r="AH13" s="1">
        <v>43825</v>
      </c>
      <c r="AI13" s="1">
        <v>43888</v>
      </c>
    </row>
    <row r="14" spans="1:35" x14ac:dyDescent="0.2">
      <c r="A14">
        <v>16</v>
      </c>
      <c r="B14" t="s">
        <v>990</v>
      </c>
      <c r="C14">
        <v>13</v>
      </c>
      <c r="D14" t="s">
        <v>672</v>
      </c>
      <c r="E14" t="s">
        <v>673</v>
      </c>
      <c r="F14" t="s">
        <v>97</v>
      </c>
      <c r="G14">
        <v>1</v>
      </c>
      <c r="H14" t="s">
        <v>989</v>
      </c>
      <c r="I14">
        <v>75</v>
      </c>
      <c r="J14" t="s">
        <v>71</v>
      </c>
      <c r="K14" t="s">
        <v>49</v>
      </c>
      <c r="L14" t="s">
        <v>50</v>
      </c>
      <c r="M14" t="s">
        <v>51</v>
      </c>
      <c r="N14" t="s">
        <v>52</v>
      </c>
      <c r="O14" s="1">
        <v>43974</v>
      </c>
      <c r="P14" t="s">
        <v>919</v>
      </c>
      <c r="Q14" t="s">
        <v>980</v>
      </c>
      <c r="R14" t="s">
        <v>99</v>
      </c>
      <c r="S14" t="s">
        <v>55</v>
      </c>
      <c r="T14" t="s">
        <v>52</v>
      </c>
      <c r="U14" t="s">
        <v>975</v>
      </c>
      <c r="V14" s="21">
        <v>0.3</v>
      </c>
      <c r="W14">
        <v>0.21199999999999999</v>
      </c>
      <c r="X14">
        <v>24</v>
      </c>
      <c r="Y14">
        <v>4.7169809999999996</v>
      </c>
      <c r="Z14">
        <v>45.28302</v>
      </c>
      <c r="AA14">
        <v>18.5</v>
      </c>
      <c r="AB14">
        <v>1.351351</v>
      </c>
      <c r="AC14" t="s">
        <v>105</v>
      </c>
      <c r="AD14" t="s">
        <v>106</v>
      </c>
      <c r="AE14" t="s">
        <v>107</v>
      </c>
      <c r="AG14" t="s">
        <v>371</v>
      </c>
      <c r="AH14" s="1">
        <v>43825</v>
      </c>
      <c r="AI14" s="1">
        <v>43887</v>
      </c>
    </row>
    <row r="15" spans="1:35" x14ac:dyDescent="0.2">
      <c r="A15">
        <v>16</v>
      </c>
      <c r="B15" t="s">
        <v>991</v>
      </c>
      <c r="C15">
        <v>14</v>
      </c>
      <c r="D15" t="s">
        <v>674</v>
      </c>
      <c r="E15" t="s">
        <v>675</v>
      </c>
      <c r="F15" t="s">
        <v>46</v>
      </c>
      <c r="G15">
        <v>2</v>
      </c>
      <c r="H15" t="s">
        <v>992</v>
      </c>
      <c r="I15">
        <v>70</v>
      </c>
      <c r="J15" t="s">
        <v>48</v>
      </c>
      <c r="K15" t="s">
        <v>49</v>
      </c>
      <c r="L15" t="s">
        <v>52</v>
      </c>
      <c r="M15" t="s">
        <v>51</v>
      </c>
      <c r="N15" t="s">
        <v>52</v>
      </c>
      <c r="O15" s="1">
        <v>42774</v>
      </c>
      <c r="P15" t="s">
        <v>872</v>
      </c>
      <c r="Q15" t="s">
        <v>993</v>
      </c>
      <c r="R15" t="s">
        <v>110</v>
      </c>
      <c r="S15" t="s">
        <v>55</v>
      </c>
      <c r="T15" t="s">
        <v>52</v>
      </c>
      <c r="U15" t="s">
        <v>975</v>
      </c>
      <c r="V15" t="s">
        <v>56</v>
      </c>
      <c r="W15">
        <v>0.21</v>
      </c>
      <c r="X15">
        <v>24</v>
      </c>
      <c r="Y15">
        <v>4.7619049999999996</v>
      </c>
      <c r="Z15">
        <v>45.238100000000003</v>
      </c>
      <c r="AA15">
        <v>14</v>
      </c>
      <c r="AB15">
        <v>1.785714</v>
      </c>
      <c r="AC15" t="s">
        <v>105</v>
      </c>
      <c r="AD15" t="s">
        <v>106</v>
      </c>
      <c r="AE15" t="s">
        <v>107</v>
      </c>
      <c r="AG15" t="s">
        <v>373</v>
      </c>
      <c r="AH15" s="1">
        <v>43825</v>
      </c>
      <c r="AI15" s="1">
        <v>43898</v>
      </c>
    </row>
    <row r="16" spans="1:35" x14ac:dyDescent="0.2">
      <c r="A16">
        <v>26</v>
      </c>
      <c r="B16" t="s">
        <v>994</v>
      </c>
      <c r="C16">
        <v>15</v>
      </c>
      <c r="D16" t="s">
        <v>676</v>
      </c>
      <c r="E16" t="s">
        <v>677</v>
      </c>
      <c r="F16" t="s">
        <v>46</v>
      </c>
      <c r="G16">
        <v>1</v>
      </c>
      <c r="H16" t="s">
        <v>992</v>
      </c>
      <c r="I16">
        <v>70</v>
      </c>
      <c r="J16" t="s">
        <v>48</v>
      </c>
      <c r="K16" t="s">
        <v>49</v>
      </c>
      <c r="L16" t="s">
        <v>52</v>
      </c>
      <c r="M16" t="s">
        <v>51</v>
      </c>
      <c r="N16" t="s">
        <v>52</v>
      </c>
      <c r="O16" s="1">
        <v>42774</v>
      </c>
      <c r="P16" t="s">
        <v>872</v>
      </c>
      <c r="Q16" t="s">
        <v>993</v>
      </c>
      <c r="R16" t="s">
        <v>110</v>
      </c>
      <c r="S16" t="s">
        <v>55</v>
      </c>
      <c r="T16" t="s">
        <v>52</v>
      </c>
      <c r="U16" t="s">
        <v>975</v>
      </c>
      <c r="V16" t="s">
        <v>56</v>
      </c>
      <c r="W16">
        <v>0.41599999999999998</v>
      </c>
      <c r="X16">
        <v>24</v>
      </c>
      <c r="Y16">
        <v>2.4038460000000001</v>
      </c>
      <c r="Z16">
        <v>47.596150000000002</v>
      </c>
      <c r="AA16">
        <v>14.9</v>
      </c>
      <c r="AB16">
        <v>1.6778519999999999</v>
      </c>
      <c r="AC16" t="s">
        <v>112</v>
      </c>
      <c r="AD16" t="s">
        <v>113</v>
      </c>
      <c r="AE16" t="s">
        <v>114</v>
      </c>
      <c r="AG16" t="s">
        <v>374</v>
      </c>
      <c r="AH16" s="1">
        <v>43825</v>
      </c>
      <c r="AI16" s="1">
        <v>43891</v>
      </c>
    </row>
    <row r="17" spans="1:35" x14ac:dyDescent="0.2">
      <c r="A17">
        <v>53</v>
      </c>
      <c r="B17" t="s">
        <v>995</v>
      </c>
      <c r="C17">
        <v>16</v>
      </c>
      <c r="D17" t="s">
        <v>678</v>
      </c>
      <c r="E17" t="s">
        <v>679</v>
      </c>
      <c r="F17" t="s">
        <v>46</v>
      </c>
      <c r="G17">
        <v>2</v>
      </c>
      <c r="H17" t="s">
        <v>996</v>
      </c>
      <c r="I17">
        <v>55</v>
      </c>
      <c r="J17" t="s">
        <v>71</v>
      </c>
      <c r="K17" t="s">
        <v>49</v>
      </c>
      <c r="L17" t="s">
        <v>50</v>
      </c>
      <c r="M17" t="s">
        <v>51</v>
      </c>
      <c r="N17" t="s">
        <v>50</v>
      </c>
      <c r="O17" s="1">
        <v>43362</v>
      </c>
      <c r="P17" t="s">
        <v>872</v>
      </c>
      <c r="Q17" t="s">
        <v>997</v>
      </c>
      <c r="R17" t="s">
        <v>117</v>
      </c>
      <c r="S17" t="s">
        <v>55</v>
      </c>
      <c r="T17" t="s">
        <v>52</v>
      </c>
      <c r="U17" t="s">
        <v>981</v>
      </c>
      <c r="V17" t="s">
        <v>56</v>
      </c>
      <c r="W17">
        <v>3.8</v>
      </c>
      <c r="X17">
        <v>24</v>
      </c>
      <c r="Y17">
        <v>0.263158</v>
      </c>
      <c r="Z17">
        <v>49.736840000000001</v>
      </c>
      <c r="AA17">
        <v>7.08</v>
      </c>
      <c r="AB17">
        <v>3.5310730000000001</v>
      </c>
      <c r="AC17" t="s">
        <v>118</v>
      </c>
      <c r="AD17" t="s">
        <v>119</v>
      </c>
      <c r="AE17" t="s">
        <v>120</v>
      </c>
      <c r="AG17" t="s">
        <v>375</v>
      </c>
      <c r="AH17" s="1">
        <v>43829</v>
      </c>
      <c r="AI17" s="1">
        <v>43888</v>
      </c>
    </row>
    <row r="18" spans="1:35" x14ac:dyDescent="0.2">
      <c r="A18">
        <v>40</v>
      </c>
      <c r="B18" t="s">
        <v>998</v>
      </c>
      <c r="C18">
        <v>17</v>
      </c>
      <c r="D18" t="s">
        <v>680</v>
      </c>
      <c r="E18" t="s">
        <v>681</v>
      </c>
      <c r="F18" t="s">
        <v>46</v>
      </c>
      <c r="G18">
        <v>1</v>
      </c>
      <c r="H18" t="s">
        <v>996</v>
      </c>
      <c r="I18">
        <v>55</v>
      </c>
      <c r="J18" t="s">
        <v>71</v>
      </c>
      <c r="K18" t="s">
        <v>49</v>
      </c>
      <c r="L18" t="s">
        <v>50</v>
      </c>
      <c r="M18" t="s">
        <v>51</v>
      </c>
      <c r="N18" t="s">
        <v>50</v>
      </c>
      <c r="O18" s="1">
        <v>43362</v>
      </c>
      <c r="P18" t="s">
        <v>872</v>
      </c>
      <c r="Q18" t="s">
        <v>997</v>
      </c>
      <c r="R18" t="s">
        <v>117</v>
      </c>
      <c r="S18" t="s">
        <v>55</v>
      </c>
      <c r="T18" t="s">
        <v>52</v>
      </c>
      <c r="U18" t="s">
        <v>981</v>
      </c>
      <c r="V18" t="s">
        <v>56</v>
      </c>
      <c r="W18">
        <v>1.05</v>
      </c>
      <c r="X18">
        <v>24</v>
      </c>
      <c r="Y18">
        <v>0.95238100000000003</v>
      </c>
      <c r="Z18">
        <v>49.047620000000002</v>
      </c>
      <c r="AA18">
        <v>8.9</v>
      </c>
      <c r="AB18">
        <v>2.808989</v>
      </c>
      <c r="AC18" t="s">
        <v>122</v>
      </c>
      <c r="AD18" t="s">
        <v>123</v>
      </c>
      <c r="AE18" t="s">
        <v>124</v>
      </c>
      <c r="AG18" t="s">
        <v>378</v>
      </c>
      <c r="AH18" s="1">
        <v>43829</v>
      </c>
      <c r="AI18" s="1">
        <v>43888</v>
      </c>
    </row>
    <row r="19" spans="1:35" x14ac:dyDescent="0.2">
      <c r="A19">
        <v>24</v>
      </c>
      <c r="B19" t="s">
        <v>999</v>
      </c>
      <c r="C19">
        <v>18</v>
      </c>
      <c r="D19" t="s">
        <v>682</v>
      </c>
      <c r="E19" t="s">
        <v>683</v>
      </c>
      <c r="F19" t="s">
        <v>46</v>
      </c>
      <c r="G19">
        <v>2</v>
      </c>
      <c r="H19" t="s">
        <v>996</v>
      </c>
      <c r="I19">
        <v>55</v>
      </c>
      <c r="J19" t="s">
        <v>71</v>
      </c>
      <c r="K19" t="s">
        <v>49</v>
      </c>
      <c r="L19" t="s">
        <v>50</v>
      </c>
      <c r="M19" t="s">
        <v>51</v>
      </c>
      <c r="N19" t="s">
        <v>50</v>
      </c>
      <c r="O19" s="1">
        <v>43362</v>
      </c>
      <c r="P19" t="s">
        <v>872</v>
      </c>
      <c r="Q19" t="s">
        <v>997</v>
      </c>
      <c r="R19" t="s">
        <v>117</v>
      </c>
      <c r="S19" t="s">
        <v>55</v>
      </c>
      <c r="T19" t="s">
        <v>52</v>
      </c>
      <c r="U19" t="s">
        <v>981</v>
      </c>
      <c r="V19" t="s">
        <v>56</v>
      </c>
      <c r="W19">
        <v>0.47799999999999998</v>
      </c>
      <c r="X19">
        <v>24</v>
      </c>
      <c r="Y19">
        <v>2.09205</v>
      </c>
      <c r="Z19">
        <v>47.90795</v>
      </c>
      <c r="AA19">
        <v>8.3000000000000007</v>
      </c>
      <c r="AB19">
        <v>3.0120480000000001</v>
      </c>
      <c r="AC19" t="s">
        <v>126</v>
      </c>
      <c r="AD19" t="s">
        <v>127</v>
      </c>
      <c r="AE19" t="s">
        <v>128</v>
      </c>
      <c r="AG19" t="s">
        <v>379</v>
      </c>
      <c r="AH19" s="1">
        <v>43829</v>
      </c>
      <c r="AI19" s="1">
        <v>43898</v>
      </c>
    </row>
    <row r="20" spans="1:35" x14ac:dyDescent="0.2">
      <c r="A20">
        <v>30</v>
      </c>
      <c r="B20" t="s">
        <v>1000</v>
      </c>
      <c r="C20">
        <v>19</v>
      </c>
      <c r="D20" t="s">
        <v>684</v>
      </c>
      <c r="E20" t="s">
        <v>685</v>
      </c>
      <c r="F20" t="s">
        <v>46</v>
      </c>
      <c r="G20">
        <v>1</v>
      </c>
      <c r="H20" t="s">
        <v>1001</v>
      </c>
      <c r="I20">
        <v>49</v>
      </c>
      <c r="J20" t="s">
        <v>71</v>
      </c>
      <c r="K20" t="s">
        <v>49</v>
      </c>
      <c r="L20" t="s">
        <v>50</v>
      </c>
      <c r="M20" t="s">
        <v>51</v>
      </c>
      <c r="N20" t="s">
        <v>52</v>
      </c>
      <c r="O20" s="1">
        <v>43385</v>
      </c>
      <c r="P20" t="s">
        <v>872</v>
      </c>
      <c r="Q20" t="s">
        <v>964</v>
      </c>
      <c r="R20" t="s">
        <v>131</v>
      </c>
      <c r="S20" t="s">
        <v>55</v>
      </c>
      <c r="T20" t="s">
        <v>55</v>
      </c>
      <c r="U20" t="s">
        <v>981</v>
      </c>
      <c r="W20">
        <v>0.44600000000000001</v>
      </c>
      <c r="X20">
        <v>24</v>
      </c>
      <c r="Y20">
        <v>2.2421519999999999</v>
      </c>
      <c r="Z20">
        <v>47.757849999999998</v>
      </c>
      <c r="AA20">
        <v>15.8</v>
      </c>
      <c r="AB20">
        <v>1.5822780000000001</v>
      </c>
      <c r="AC20" t="s">
        <v>133</v>
      </c>
      <c r="AD20" t="s">
        <v>134</v>
      </c>
      <c r="AE20" t="s">
        <v>135</v>
      </c>
      <c r="AG20" t="s">
        <v>380</v>
      </c>
      <c r="AH20" s="1">
        <v>43829</v>
      </c>
      <c r="AI20" s="1">
        <v>43898</v>
      </c>
    </row>
    <row r="21" spans="1:35" x14ac:dyDescent="0.2">
      <c r="A21">
        <v>38</v>
      </c>
      <c r="B21" t="s">
        <v>1002</v>
      </c>
      <c r="C21">
        <v>20</v>
      </c>
      <c r="D21" t="s">
        <v>686</v>
      </c>
      <c r="E21" t="s">
        <v>687</v>
      </c>
      <c r="F21" t="s">
        <v>46</v>
      </c>
      <c r="G21">
        <v>2</v>
      </c>
      <c r="H21" t="s">
        <v>1001</v>
      </c>
      <c r="I21">
        <v>49</v>
      </c>
      <c r="J21" t="s">
        <v>71</v>
      </c>
      <c r="K21" t="s">
        <v>49</v>
      </c>
      <c r="L21" t="s">
        <v>50</v>
      </c>
      <c r="M21" t="s">
        <v>51</v>
      </c>
      <c r="N21" t="s">
        <v>52</v>
      </c>
      <c r="O21" s="1">
        <v>43385</v>
      </c>
      <c r="P21" t="s">
        <v>872</v>
      </c>
      <c r="Q21" t="s">
        <v>964</v>
      </c>
      <c r="R21" t="s">
        <v>131</v>
      </c>
      <c r="S21" t="s">
        <v>55</v>
      </c>
      <c r="T21" t="s">
        <v>55</v>
      </c>
      <c r="U21" t="s">
        <v>981</v>
      </c>
      <c r="W21">
        <v>1.1200000000000001</v>
      </c>
      <c r="X21">
        <v>24</v>
      </c>
      <c r="Y21">
        <v>0.89285700000000001</v>
      </c>
      <c r="Z21">
        <v>49.107140000000001</v>
      </c>
      <c r="AA21">
        <v>6.8</v>
      </c>
      <c r="AB21">
        <v>3.6764709999999998</v>
      </c>
      <c r="AC21" t="s">
        <v>137</v>
      </c>
      <c r="AD21" t="s">
        <v>138</v>
      </c>
      <c r="AE21" t="s">
        <v>139</v>
      </c>
      <c r="AG21" t="s">
        <v>384</v>
      </c>
      <c r="AH21" s="1">
        <v>43829</v>
      </c>
      <c r="AI21" s="1">
        <v>43889</v>
      </c>
    </row>
    <row r="22" spans="1:35" x14ac:dyDescent="0.2">
      <c r="A22">
        <v>35</v>
      </c>
      <c r="B22" t="s">
        <v>1003</v>
      </c>
      <c r="C22">
        <v>21</v>
      </c>
      <c r="D22" t="s">
        <v>688</v>
      </c>
      <c r="E22" t="s">
        <v>689</v>
      </c>
      <c r="F22" t="s">
        <v>46</v>
      </c>
      <c r="G22">
        <v>2</v>
      </c>
      <c r="H22" t="s">
        <v>1001</v>
      </c>
      <c r="I22">
        <v>49</v>
      </c>
      <c r="J22" t="s">
        <v>71</v>
      </c>
      <c r="K22" t="s">
        <v>49</v>
      </c>
      <c r="L22" t="s">
        <v>50</v>
      </c>
      <c r="M22" t="s">
        <v>51</v>
      </c>
      <c r="N22" t="s">
        <v>52</v>
      </c>
      <c r="O22" s="1">
        <v>43385</v>
      </c>
      <c r="P22" t="s">
        <v>872</v>
      </c>
      <c r="Q22" t="s">
        <v>964</v>
      </c>
      <c r="R22" t="s">
        <v>131</v>
      </c>
      <c r="S22" t="s">
        <v>55</v>
      </c>
      <c r="T22" t="s">
        <v>55</v>
      </c>
      <c r="U22" t="s">
        <v>981</v>
      </c>
      <c r="W22">
        <v>0.93600000000000005</v>
      </c>
      <c r="X22">
        <v>24</v>
      </c>
      <c r="Y22">
        <v>1.068376</v>
      </c>
      <c r="Z22">
        <v>48.931620000000002</v>
      </c>
      <c r="AA22">
        <v>8.48</v>
      </c>
      <c r="AB22">
        <v>2.9481130000000002</v>
      </c>
      <c r="AC22" t="s">
        <v>141</v>
      </c>
      <c r="AD22" t="s">
        <v>142</v>
      </c>
      <c r="AE22" t="s">
        <v>143</v>
      </c>
      <c r="AG22" t="s">
        <v>385</v>
      </c>
      <c r="AH22" s="1">
        <v>43829</v>
      </c>
      <c r="AI22" s="1">
        <v>43891</v>
      </c>
    </row>
    <row r="23" spans="1:35" x14ac:dyDescent="0.2">
      <c r="A23">
        <v>55</v>
      </c>
      <c r="B23" t="s">
        <v>1004</v>
      </c>
      <c r="C23">
        <v>22</v>
      </c>
      <c r="D23" t="s">
        <v>690</v>
      </c>
      <c r="E23" t="s">
        <v>691</v>
      </c>
      <c r="F23" t="s">
        <v>46</v>
      </c>
      <c r="G23">
        <v>2</v>
      </c>
      <c r="H23" t="s">
        <v>1005</v>
      </c>
      <c r="I23">
        <v>38</v>
      </c>
      <c r="J23" t="s">
        <v>48</v>
      </c>
      <c r="K23" t="s">
        <v>49</v>
      </c>
      <c r="L23" t="s">
        <v>50</v>
      </c>
      <c r="M23" t="s">
        <v>51</v>
      </c>
      <c r="N23" t="s">
        <v>52</v>
      </c>
      <c r="O23" s="1">
        <v>42867</v>
      </c>
      <c r="P23" t="s">
        <v>872</v>
      </c>
      <c r="Q23" t="s">
        <v>980</v>
      </c>
      <c r="R23" t="s">
        <v>146</v>
      </c>
      <c r="S23" t="s">
        <v>55</v>
      </c>
      <c r="T23" t="s">
        <v>55</v>
      </c>
      <c r="U23" t="s">
        <v>981</v>
      </c>
      <c r="V23" t="s">
        <v>56</v>
      </c>
      <c r="W23">
        <v>5.92</v>
      </c>
      <c r="X23">
        <v>24</v>
      </c>
      <c r="Y23">
        <v>0.16891900000000001</v>
      </c>
      <c r="Z23">
        <v>49.83108</v>
      </c>
      <c r="AA23">
        <v>2.6</v>
      </c>
      <c r="AB23">
        <v>9.6153849999999998</v>
      </c>
      <c r="AC23" t="s">
        <v>147</v>
      </c>
      <c r="AD23" t="s">
        <v>148</v>
      </c>
      <c r="AE23" t="s">
        <v>149</v>
      </c>
      <c r="AG23" t="s">
        <v>386</v>
      </c>
      <c r="AH23" s="1">
        <v>43829</v>
      </c>
      <c r="AI23" s="1">
        <v>43887</v>
      </c>
    </row>
    <row r="24" spans="1:35" x14ac:dyDescent="0.2">
      <c r="A24">
        <v>50</v>
      </c>
      <c r="B24" t="s">
        <v>1006</v>
      </c>
      <c r="C24">
        <v>23</v>
      </c>
      <c r="D24" t="s">
        <v>692</v>
      </c>
      <c r="E24" t="s">
        <v>693</v>
      </c>
      <c r="F24" t="s">
        <v>46</v>
      </c>
      <c r="G24">
        <v>1</v>
      </c>
      <c r="H24" t="s">
        <v>1005</v>
      </c>
      <c r="I24">
        <v>38</v>
      </c>
      <c r="J24" t="s">
        <v>48</v>
      </c>
      <c r="K24" t="s">
        <v>49</v>
      </c>
      <c r="L24" t="s">
        <v>50</v>
      </c>
      <c r="M24" t="s">
        <v>51</v>
      </c>
      <c r="N24" t="s">
        <v>52</v>
      </c>
      <c r="O24" s="1">
        <v>42867</v>
      </c>
      <c r="P24" t="s">
        <v>872</v>
      </c>
      <c r="Q24" t="s">
        <v>980</v>
      </c>
      <c r="R24" t="s">
        <v>146</v>
      </c>
      <c r="S24" t="s">
        <v>55</v>
      </c>
      <c r="T24" t="s">
        <v>55</v>
      </c>
      <c r="U24" t="s">
        <v>981</v>
      </c>
      <c r="V24" t="s">
        <v>56</v>
      </c>
      <c r="W24">
        <v>3.08</v>
      </c>
      <c r="X24">
        <v>24</v>
      </c>
      <c r="Y24">
        <v>0.32467499999999999</v>
      </c>
      <c r="Z24">
        <v>49.675319999999999</v>
      </c>
      <c r="AA24">
        <v>9.32</v>
      </c>
      <c r="AB24">
        <v>2.6824029999999999</v>
      </c>
      <c r="AC24" t="s">
        <v>151</v>
      </c>
      <c r="AD24" t="s">
        <v>152</v>
      </c>
      <c r="AE24" t="s">
        <v>153</v>
      </c>
      <c r="AG24" t="s">
        <v>388</v>
      </c>
      <c r="AH24" s="1">
        <v>43829</v>
      </c>
      <c r="AI24" s="1">
        <v>43889</v>
      </c>
    </row>
    <row r="25" spans="1:35" x14ac:dyDescent="0.2">
      <c r="A25">
        <v>54</v>
      </c>
      <c r="B25" t="s">
        <v>1007</v>
      </c>
      <c r="C25">
        <v>24</v>
      </c>
      <c r="D25" t="s">
        <v>694</v>
      </c>
      <c r="E25" t="s">
        <v>695</v>
      </c>
      <c r="F25" t="s">
        <v>46</v>
      </c>
      <c r="G25">
        <v>2</v>
      </c>
      <c r="H25" t="s">
        <v>1005</v>
      </c>
      <c r="I25">
        <v>38</v>
      </c>
      <c r="J25" t="s">
        <v>48</v>
      </c>
      <c r="K25" t="s">
        <v>49</v>
      </c>
      <c r="L25" t="s">
        <v>50</v>
      </c>
      <c r="M25" t="s">
        <v>51</v>
      </c>
      <c r="N25" t="s">
        <v>52</v>
      </c>
      <c r="O25" s="1">
        <v>42867</v>
      </c>
      <c r="P25" t="s">
        <v>872</v>
      </c>
      <c r="Q25" t="s">
        <v>980</v>
      </c>
      <c r="R25" t="s">
        <v>146</v>
      </c>
      <c r="S25" t="s">
        <v>55</v>
      </c>
      <c r="T25" t="s">
        <v>55</v>
      </c>
      <c r="U25" t="s">
        <v>981</v>
      </c>
      <c r="V25" t="s">
        <v>56</v>
      </c>
      <c r="W25">
        <v>3.98</v>
      </c>
      <c r="X25">
        <v>24</v>
      </c>
      <c r="Y25">
        <v>0.25125599999999998</v>
      </c>
      <c r="Z25">
        <v>49.748739999999998</v>
      </c>
      <c r="AA25">
        <v>5</v>
      </c>
      <c r="AB25">
        <v>5</v>
      </c>
      <c r="AC25" t="s">
        <v>155</v>
      </c>
      <c r="AD25" t="s">
        <v>156</v>
      </c>
      <c r="AE25" t="s">
        <v>157</v>
      </c>
      <c r="AG25" t="s">
        <v>389</v>
      </c>
      <c r="AH25" s="1">
        <v>43829</v>
      </c>
      <c r="AI25" s="1">
        <v>43887</v>
      </c>
    </row>
    <row r="26" spans="1:35" x14ac:dyDescent="0.2">
      <c r="A26">
        <v>31</v>
      </c>
      <c r="B26" t="s">
        <v>1008</v>
      </c>
      <c r="C26">
        <v>25</v>
      </c>
      <c r="D26" t="s">
        <v>696</v>
      </c>
      <c r="E26" t="s">
        <v>697</v>
      </c>
      <c r="F26" t="s">
        <v>97</v>
      </c>
      <c r="G26">
        <v>1</v>
      </c>
      <c r="H26" t="s">
        <v>1009</v>
      </c>
      <c r="I26">
        <v>63</v>
      </c>
      <c r="J26" t="s">
        <v>71</v>
      </c>
      <c r="K26" t="s">
        <v>49</v>
      </c>
      <c r="L26" t="s">
        <v>50</v>
      </c>
      <c r="M26" t="s">
        <v>51</v>
      </c>
      <c r="N26" t="s">
        <v>50</v>
      </c>
      <c r="O26" s="1">
        <v>43544</v>
      </c>
      <c r="P26" t="s">
        <v>919</v>
      </c>
      <c r="Q26" t="s">
        <v>980</v>
      </c>
      <c r="R26" t="s">
        <v>160</v>
      </c>
      <c r="S26" t="s">
        <v>55</v>
      </c>
      <c r="T26" t="s">
        <v>55</v>
      </c>
      <c r="U26" t="s">
        <v>975</v>
      </c>
      <c r="V26" s="21">
        <v>0.4</v>
      </c>
      <c r="W26">
        <v>0.53400000000000003</v>
      </c>
      <c r="X26">
        <v>24</v>
      </c>
      <c r="Y26">
        <v>1.8726590000000001</v>
      </c>
      <c r="Z26">
        <v>48.127339999999997</v>
      </c>
      <c r="AA26">
        <v>10.6</v>
      </c>
      <c r="AB26">
        <v>2.3584909999999999</v>
      </c>
      <c r="AC26" t="s">
        <v>161</v>
      </c>
      <c r="AD26" t="s">
        <v>162</v>
      </c>
      <c r="AE26" t="s">
        <v>163</v>
      </c>
      <c r="AG26" t="s">
        <v>392</v>
      </c>
      <c r="AH26" s="1">
        <v>43829</v>
      </c>
      <c r="AI26" s="1">
        <v>43888</v>
      </c>
    </row>
    <row r="27" spans="1:35" x14ac:dyDescent="0.2">
      <c r="A27">
        <v>45</v>
      </c>
      <c r="B27" t="s">
        <v>1010</v>
      </c>
      <c r="C27">
        <v>26</v>
      </c>
      <c r="D27" t="s">
        <v>698</v>
      </c>
      <c r="E27" t="s">
        <v>699</v>
      </c>
      <c r="F27" t="s">
        <v>97</v>
      </c>
      <c r="G27">
        <v>2</v>
      </c>
      <c r="H27" t="s">
        <v>1009</v>
      </c>
      <c r="I27">
        <v>63</v>
      </c>
      <c r="J27" t="s">
        <v>71</v>
      </c>
      <c r="K27" t="s">
        <v>49</v>
      </c>
      <c r="L27" t="s">
        <v>50</v>
      </c>
      <c r="M27" t="s">
        <v>51</v>
      </c>
      <c r="N27" t="s">
        <v>50</v>
      </c>
      <c r="O27" s="1">
        <v>43544</v>
      </c>
      <c r="P27" t="s">
        <v>919</v>
      </c>
      <c r="Q27" t="s">
        <v>980</v>
      </c>
      <c r="R27" t="s">
        <v>160</v>
      </c>
      <c r="S27" t="s">
        <v>55</v>
      </c>
      <c r="T27" t="s">
        <v>55</v>
      </c>
      <c r="U27" t="s">
        <v>975</v>
      </c>
      <c r="V27" s="21">
        <v>0.4</v>
      </c>
      <c r="W27">
        <v>1.43</v>
      </c>
      <c r="X27">
        <v>24</v>
      </c>
      <c r="Y27">
        <v>0.69930099999999995</v>
      </c>
      <c r="Z27">
        <v>49.300699999999999</v>
      </c>
      <c r="AA27">
        <v>7.26</v>
      </c>
      <c r="AB27">
        <v>3.4435259999999999</v>
      </c>
      <c r="AC27" t="s">
        <v>165</v>
      </c>
      <c r="AD27" t="s">
        <v>166</v>
      </c>
      <c r="AE27" t="s">
        <v>167</v>
      </c>
      <c r="AG27" t="s">
        <v>393</v>
      </c>
      <c r="AH27" s="1">
        <v>43829</v>
      </c>
      <c r="AI27" s="1">
        <v>43901</v>
      </c>
    </row>
    <row r="28" spans="1:35" x14ac:dyDescent="0.2">
      <c r="A28">
        <v>37</v>
      </c>
      <c r="B28" t="s">
        <v>1011</v>
      </c>
      <c r="C28">
        <v>27</v>
      </c>
      <c r="D28" t="s">
        <v>700</v>
      </c>
      <c r="E28" t="s">
        <v>701</v>
      </c>
      <c r="F28" t="s">
        <v>97</v>
      </c>
      <c r="G28">
        <v>2</v>
      </c>
      <c r="H28" t="s">
        <v>1009</v>
      </c>
      <c r="I28">
        <v>63</v>
      </c>
      <c r="J28" t="s">
        <v>71</v>
      </c>
      <c r="K28" t="s">
        <v>49</v>
      </c>
      <c r="L28" t="s">
        <v>50</v>
      </c>
      <c r="M28" t="s">
        <v>51</v>
      </c>
      <c r="N28" t="s">
        <v>50</v>
      </c>
      <c r="O28" s="1">
        <v>43544</v>
      </c>
      <c r="P28" t="s">
        <v>919</v>
      </c>
      <c r="Q28" t="s">
        <v>980</v>
      </c>
      <c r="R28" t="s">
        <v>160</v>
      </c>
      <c r="S28" t="s">
        <v>55</v>
      </c>
      <c r="T28" t="s">
        <v>55</v>
      </c>
      <c r="U28" t="s">
        <v>975</v>
      </c>
      <c r="V28" s="21">
        <v>0.4</v>
      </c>
      <c r="W28">
        <v>1.08</v>
      </c>
      <c r="X28">
        <v>24</v>
      </c>
      <c r="Y28">
        <v>0.92592600000000003</v>
      </c>
      <c r="Z28">
        <v>49.074069999999999</v>
      </c>
      <c r="AA28">
        <v>4.9400000000000004</v>
      </c>
      <c r="AB28">
        <v>5.0607290000000003</v>
      </c>
      <c r="AC28" t="s">
        <v>169</v>
      </c>
      <c r="AD28" t="s">
        <v>170</v>
      </c>
      <c r="AE28" t="s">
        <v>171</v>
      </c>
      <c r="AG28" t="s">
        <v>394</v>
      </c>
      <c r="AH28" s="1">
        <v>43829</v>
      </c>
      <c r="AI28" s="1">
        <v>43889</v>
      </c>
    </row>
    <row r="29" spans="1:35" x14ac:dyDescent="0.2">
      <c r="A29">
        <v>42</v>
      </c>
      <c r="B29" t="s">
        <v>1012</v>
      </c>
      <c r="C29">
        <v>28</v>
      </c>
      <c r="D29" t="s">
        <v>702</v>
      </c>
      <c r="E29" t="s">
        <v>703</v>
      </c>
      <c r="F29" t="s">
        <v>1013</v>
      </c>
      <c r="G29">
        <v>2</v>
      </c>
      <c r="H29" t="s">
        <v>1014</v>
      </c>
      <c r="I29">
        <v>49</v>
      </c>
      <c r="J29" t="s">
        <v>71</v>
      </c>
      <c r="K29" t="s">
        <v>49</v>
      </c>
      <c r="L29" t="s">
        <v>50</v>
      </c>
      <c r="M29" t="s">
        <v>51</v>
      </c>
      <c r="N29" t="s">
        <v>50</v>
      </c>
      <c r="O29" s="1">
        <v>43677</v>
      </c>
      <c r="P29" t="s">
        <v>1015</v>
      </c>
      <c r="Q29" t="s">
        <v>980</v>
      </c>
      <c r="R29" t="s">
        <v>87</v>
      </c>
      <c r="S29" t="s">
        <v>55</v>
      </c>
      <c r="T29" t="s">
        <v>55</v>
      </c>
      <c r="U29" t="s">
        <v>975</v>
      </c>
      <c r="V29" t="s">
        <v>56</v>
      </c>
      <c r="W29">
        <v>1.29</v>
      </c>
      <c r="X29">
        <v>24</v>
      </c>
      <c r="Y29">
        <v>0.77519400000000005</v>
      </c>
      <c r="Z29">
        <v>49.224809999999998</v>
      </c>
      <c r="AA29">
        <v>4.68</v>
      </c>
      <c r="AB29">
        <v>5.3418799999999997</v>
      </c>
      <c r="AC29" t="s">
        <v>174</v>
      </c>
      <c r="AD29" t="s">
        <v>175</v>
      </c>
      <c r="AE29" t="s">
        <v>176</v>
      </c>
      <c r="AG29" t="s">
        <v>396</v>
      </c>
      <c r="AH29" s="1">
        <v>43829</v>
      </c>
      <c r="AI29" s="1">
        <v>43889</v>
      </c>
    </row>
    <row r="30" spans="1:35" x14ac:dyDescent="0.2">
      <c r="A30">
        <v>41</v>
      </c>
      <c r="B30" t="s">
        <v>1016</v>
      </c>
      <c r="C30">
        <v>29</v>
      </c>
      <c r="D30" t="s">
        <v>704</v>
      </c>
      <c r="E30" t="s">
        <v>705</v>
      </c>
      <c r="F30" t="s">
        <v>1013</v>
      </c>
      <c r="G30">
        <v>1</v>
      </c>
      <c r="H30" t="s">
        <v>1014</v>
      </c>
      <c r="I30">
        <v>49</v>
      </c>
      <c r="J30" t="s">
        <v>71</v>
      </c>
      <c r="K30" t="s">
        <v>49</v>
      </c>
      <c r="L30" t="s">
        <v>50</v>
      </c>
      <c r="M30" t="s">
        <v>51</v>
      </c>
      <c r="N30" t="s">
        <v>50</v>
      </c>
      <c r="O30" s="1">
        <v>43677</v>
      </c>
      <c r="P30" t="s">
        <v>1015</v>
      </c>
      <c r="Q30" t="s">
        <v>980</v>
      </c>
      <c r="R30" t="s">
        <v>87</v>
      </c>
      <c r="S30" t="s">
        <v>55</v>
      </c>
      <c r="T30" t="s">
        <v>55</v>
      </c>
      <c r="U30" t="s">
        <v>975</v>
      </c>
      <c r="V30" t="s">
        <v>56</v>
      </c>
      <c r="W30">
        <v>1.2</v>
      </c>
      <c r="X30">
        <v>24</v>
      </c>
      <c r="Y30">
        <v>0.83333299999999999</v>
      </c>
      <c r="Z30">
        <v>49.166670000000003</v>
      </c>
      <c r="AA30">
        <v>6.42</v>
      </c>
      <c r="AB30">
        <v>3.8940809999999999</v>
      </c>
      <c r="AC30" t="s">
        <v>178</v>
      </c>
      <c r="AD30" t="s">
        <v>179</v>
      </c>
      <c r="AE30" t="s">
        <v>180</v>
      </c>
      <c r="AG30" t="s">
        <v>397</v>
      </c>
      <c r="AH30" s="1">
        <v>43829</v>
      </c>
      <c r="AI30" s="1">
        <v>43887</v>
      </c>
    </row>
    <row r="31" spans="1:35" x14ac:dyDescent="0.2">
      <c r="A31">
        <v>36</v>
      </c>
      <c r="B31" t="s">
        <v>1017</v>
      </c>
      <c r="C31">
        <v>30</v>
      </c>
      <c r="D31" t="s">
        <v>706</v>
      </c>
      <c r="E31" t="s">
        <v>707</v>
      </c>
      <c r="F31" t="s">
        <v>97</v>
      </c>
      <c r="G31">
        <v>1</v>
      </c>
      <c r="H31" t="s">
        <v>1018</v>
      </c>
      <c r="I31">
        <v>45</v>
      </c>
      <c r="J31" t="s">
        <v>71</v>
      </c>
      <c r="K31" t="s">
        <v>49</v>
      </c>
      <c r="L31" t="s">
        <v>50</v>
      </c>
      <c r="M31" t="s">
        <v>51</v>
      </c>
      <c r="N31" t="s">
        <v>52</v>
      </c>
      <c r="O31" s="1">
        <v>42892</v>
      </c>
      <c r="P31" t="s">
        <v>919</v>
      </c>
      <c r="Q31" t="s">
        <v>980</v>
      </c>
      <c r="R31" t="s">
        <v>183</v>
      </c>
      <c r="S31" t="s">
        <v>50</v>
      </c>
      <c r="T31" t="s">
        <v>52</v>
      </c>
      <c r="U31" t="s">
        <v>981</v>
      </c>
      <c r="V31" t="s">
        <v>56</v>
      </c>
      <c r="W31">
        <v>0.93600000000000005</v>
      </c>
      <c r="X31">
        <v>24</v>
      </c>
      <c r="Y31">
        <v>1.068376</v>
      </c>
      <c r="Z31">
        <v>48.931620000000002</v>
      </c>
      <c r="AA31">
        <v>6.02</v>
      </c>
      <c r="AB31">
        <v>4.1528239999999998</v>
      </c>
      <c r="AC31" t="s">
        <v>184</v>
      </c>
      <c r="AD31" t="s">
        <v>185</v>
      </c>
      <c r="AE31" t="s">
        <v>186</v>
      </c>
      <c r="AG31" t="s">
        <v>398</v>
      </c>
      <c r="AH31" s="1">
        <v>43829</v>
      </c>
      <c r="AI31" s="1">
        <v>43901</v>
      </c>
    </row>
    <row r="32" spans="1:35" x14ac:dyDescent="0.2">
      <c r="A32">
        <v>20</v>
      </c>
      <c r="B32" t="s">
        <v>1019</v>
      </c>
      <c r="C32">
        <v>31</v>
      </c>
      <c r="D32" t="s">
        <v>708</v>
      </c>
      <c r="E32" t="s">
        <v>709</v>
      </c>
      <c r="F32" t="s">
        <v>97</v>
      </c>
      <c r="G32">
        <v>1</v>
      </c>
      <c r="H32" t="s">
        <v>1018</v>
      </c>
      <c r="I32">
        <v>45</v>
      </c>
      <c r="J32" t="s">
        <v>71</v>
      </c>
      <c r="K32" t="s">
        <v>49</v>
      </c>
      <c r="L32" t="s">
        <v>50</v>
      </c>
      <c r="M32" t="s">
        <v>51</v>
      </c>
      <c r="N32" t="s">
        <v>52</v>
      </c>
      <c r="O32" s="1">
        <v>42892</v>
      </c>
      <c r="P32" t="s">
        <v>919</v>
      </c>
      <c r="Q32" t="s">
        <v>980</v>
      </c>
      <c r="R32" t="s">
        <v>183</v>
      </c>
      <c r="S32" t="s">
        <v>50</v>
      </c>
      <c r="T32" t="s">
        <v>52</v>
      </c>
      <c r="U32" t="s">
        <v>981</v>
      </c>
      <c r="V32" t="s">
        <v>56</v>
      </c>
      <c r="W32">
        <v>0.28599999999999998</v>
      </c>
      <c r="X32">
        <v>24</v>
      </c>
      <c r="Y32">
        <v>3.4965030000000001</v>
      </c>
      <c r="Z32">
        <v>46.503500000000003</v>
      </c>
      <c r="AA32">
        <v>13.5</v>
      </c>
      <c r="AB32">
        <v>1.8518520000000001</v>
      </c>
      <c r="AC32" t="s">
        <v>188</v>
      </c>
      <c r="AD32" t="s">
        <v>189</v>
      </c>
      <c r="AE32" t="s">
        <v>190</v>
      </c>
      <c r="AG32" t="s">
        <v>400</v>
      </c>
      <c r="AH32" s="1">
        <v>43829</v>
      </c>
      <c r="AI32" s="1">
        <v>43898</v>
      </c>
    </row>
    <row r="33" spans="1:35" x14ac:dyDescent="0.2">
      <c r="A33">
        <v>9</v>
      </c>
      <c r="B33" t="s">
        <v>1020</v>
      </c>
      <c r="C33">
        <v>32</v>
      </c>
      <c r="D33" t="s">
        <v>710</v>
      </c>
      <c r="E33" t="s">
        <v>711</v>
      </c>
      <c r="F33" t="s">
        <v>46</v>
      </c>
      <c r="G33">
        <v>2</v>
      </c>
      <c r="H33" t="s">
        <v>1021</v>
      </c>
      <c r="I33">
        <v>61</v>
      </c>
      <c r="J33" t="s">
        <v>71</v>
      </c>
      <c r="K33" t="s">
        <v>49</v>
      </c>
      <c r="L33" t="s">
        <v>50</v>
      </c>
      <c r="M33" t="s">
        <v>51</v>
      </c>
      <c r="N33" t="s">
        <v>52</v>
      </c>
      <c r="O33" s="1">
        <v>43124</v>
      </c>
      <c r="P33" t="s">
        <v>872</v>
      </c>
      <c r="Q33" t="s">
        <v>964</v>
      </c>
      <c r="R33" t="s">
        <v>214</v>
      </c>
      <c r="S33" t="s">
        <v>55</v>
      </c>
      <c r="T33" t="s">
        <v>55</v>
      </c>
      <c r="U33" t="s">
        <v>981</v>
      </c>
      <c r="V33" t="s">
        <v>513</v>
      </c>
      <c r="W33">
        <v>0.16</v>
      </c>
      <c r="X33">
        <v>24</v>
      </c>
      <c r="Y33">
        <v>6.25</v>
      </c>
      <c r="Z33">
        <v>43.75</v>
      </c>
      <c r="AA33">
        <v>17.2</v>
      </c>
      <c r="AB33">
        <v>1.4534879999999999</v>
      </c>
      <c r="AC33" t="s">
        <v>278</v>
      </c>
      <c r="AD33" t="s">
        <v>279</v>
      </c>
      <c r="AE33" t="s">
        <v>280</v>
      </c>
      <c r="AG33" t="s">
        <v>401</v>
      </c>
      <c r="AH33" s="1">
        <v>43829</v>
      </c>
      <c r="AI33" s="1">
        <v>43891</v>
      </c>
    </row>
    <row r="34" spans="1:35" x14ac:dyDescent="0.2">
      <c r="A34">
        <v>45</v>
      </c>
      <c r="B34" t="s">
        <v>1022</v>
      </c>
      <c r="C34">
        <v>33</v>
      </c>
      <c r="D34" t="s">
        <v>712</v>
      </c>
      <c r="E34" t="s">
        <v>713</v>
      </c>
      <c r="F34" t="s">
        <v>46</v>
      </c>
      <c r="G34">
        <v>1</v>
      </c>
      <c r="H34" t="s">
        <v>1021</v>
      </c>
      <c r="I34">
        <v>61</v>
      </c>
      <c r="J34" t="s">
        <v>71</v>
      </c>
      <c r="K34" t="s">
        <v>49</v>
      </c>
      <c r="L34" t="s">
        <v>50</v>
      </c>
      <c r="M34" t="s">
        <v>51</v>
      </c>
      <c r="N34" t="s">
        <v>52</v>
      </c>
      <c r="O34" s="1">
        <v>43124</v>
      </c>
      <c r="P34" t="s">
        <v>872</v>
      </c>
      <c r="Q34" t="s">
        <v>964</v>
      </c>
      <c r="R34" t="s">
        <v>214</v>
      </c>
      <c r="S34" t="s">
        <v>55</v>
      </c>
      <c r="T34" t="s">
        <v>55</v>
      </c>
      <c r="U34" t="s">
        <v>981</v>
      </c>
      <c r="V34" t="s">
        <v>513</v>
      </c>
      <c r="W34">
        <v>1.58</v>
      </c>
      <c r="X34">
        <v>24</v>
      </c>
      <c r="Y34">
        <v>0.632911</v>
      </c>
      <c r="Z34">
        <v>49.367089999999997</v>
      </c>
      <c r="AA34">
        <v>9.1199999999999992</v>
      </c>
      <c r="AB34">
        <v>2.741228</v>
      </c>
      <c r="AC34" t="s">
        <v>165</v>
      </c>
      <c r="AD34" t="s">
        <v>166</v>
      </c>
      <c r="AE34" t="s">
        <v>167</v>
      </c>
      <c r="AG34" t="s">
        <v>402</v>
      </c>
      <c r="AH34" s="1">
        <v>43830</v>
      </c>
      <c r="AI34" s="1">
        <v>43889</v>
      </c>
    </row>
    <row r="35" spans="1:35" x14ac:dyDescent="0.2">
      <c r="A35">
        <v>37</v>
      </c>
      <c r="B35" t="s">
        <v>1023</v>
      </c>
      <c r="C35">
        <v>34</v>
      </c>
      <c r="D35" t="s">
        <v>714</v>
      </c>
      <c r="E35" t="s">
        <v>715</v>
      </c>
      <c r="F35" t="s">
        <v>46</v>
      </c>
      <c r="G35">
        <v>1</v>
      </c>
      <c r="H35" t="s">
        <v>1024</v>
      </c>
      <c r="I35">
        <v>61</v>
      </c>
      <c r="J35" t="s">
        <v>71</v>
      </c>
      <c r="K35" t="s">
        <v>49</v>
      </c>
      <c r="L35" t="s">
        <v>52</v>
      </c>
      <c r="M35" t="s">
        <v>51</v>
      </c>
      <c r="N35" t="s">
        <v>52</v>
      </c>
      <c r="O35" s="1">
        <v>42887</v>
      </c>
      <c r="P35" t="s">
        <v>872</v>
      </c>
      <c r="Q35" t="s">
        <v>964</v>
      </c>
      <c r="R35" t="s">
        <v>193</v>
      </c>
      <c r="S35" t="s">
        <v>55</v>
      </c>
      <c r="T35" t="s">
        <v>55</v>
      </c>
      <c r="U35" t="s">
        <v>975</v>
      </c>
      <c r="V35" t="s">
        <v>56</v>
      </c>
      <c r="W35">
        <v>0.98</v>
      </c>
      <c r="X35">
        <v>24</v>
      </c>
      <c r="Y35">
        <v>1.020408</v>
      </c>
      <c r="Z35">
        <v>48.979590000000002</v>
      </c>
      <c r="AA35">
        <v>1.66</v>
      </c>
      <c r="AB35">
        <v>15.06024</v>
      </c>
      <c r="AC35" t="s">
        <v>169</v>
      </c>
      <c r="AD35" t="s">
        <v>170</v>
      </c>
      <c r="AE35" t="s">
        <v>171</v>
      </c>
      <c r="AG35" t="s">
        <v>404</v>
      </c>
      <c r="AH35" s="1">
        <v>43830</v>
      </c>
      <c r="AI35" s="1">
        <v>43898</v>
      </c>
    </row>
    <row r="36" spans="1:35" x14ac:dyDescent="0.2">
      <c r="A36">
        <v>28</v>
      </c>
      <c r="B36" t="s">
        <v>1025</v>
      </c>
      <c r="C36">
        <v>35</v>
      </c>
      <c r="D36" t="s">
        <v>716</v>
      </c>
      <c r="E36" t="s">
        <v>717</v>
      </c>
      <c r="F36" t="s">
        <v>46</v>
      </c>
      <c r="G36">
        <v>1</v>
      </c>
      <c r="H36" t="s">
        <v>1024</v>
      </c>
      <c r="I36">
        <v>61</v>
      </c>
      <c r="J36" t="s">
        <v>71</v>
      </c>
      <c r="K36" t="s">
        <v>49</v>
      </c>
      <c r="L36" t="s">
        <v>52</v>
      </c>
      <c r="M36" t="s">
        <v>51</v>
      </c>
      <c r="N36" t="s">
        <v>52</v>
      </c>
      <c r="O36" s="1">
        <v>42887</v>
      </c>
      <c r="P36" t="s">
        <v>872</v>
      </c>
      <c r="Q36" t="s">
        <v>964</v>
      </c>
      <c r="R36" t="s">
        <v>193</v>
      </c>
      <c r="S36" t="s">
        <v>55</v>
      </c>
      <c r="T36" t="s">
        <v>55</v>
      </c>
      <c r="U36" t="s">
        <v>975</v>
      </c>
      <c r="V36" t="s">
        <v>56</v>
      </c>
      <c r="W36">
        <v>0.42599999999999999</v>
      </c>
      <c r="X36">
        <v>24</v>
      </c>
      <c r="Y36">
        <v>2.3474179999999998</v>
      </c>
      <c r="Z36">
        <v>12.4</v>
      </c>
      <c r="AA36">
        <v>12.4</v>
      </c>
      <c r="AB36">
        <v>2.0161289999999998</v>
      </c>
      <c r="AC36" t="s">
        <v>195</v>
      </c>
      <c r="AD36" t="s">
        <v>196</v>
      </c>
      <c r="AE36" t="s">
        <v>197</v>
      </c>
      <c r="AG36" t="s">
        <v>405</v>
      </c>
      <c r="AH36" s="1">
        <v>43830</v>
      </c>
      <c r="AI36" s="1">
        <v>43887</v>
      </c>
    </row>
    <row r="37" spans="1:35" x14ac:dyDescent="0.2">
      <c r="A37">
        <v>51</v>
      </c>
      <c r="B37" t="s">
        <v>1026</v>
      </c>
      <c r="C37">
        <v>36</v>
      </c>
      <c r="D37" t="s">
        <v>718</v>
      </c>
      <c r="E37" t="s">
        <v>719</v>
      </c>
      <c r="F37" t="s">
        <v>46</v>
      </c>
      <c r="G37">
        <v>1</v>
      </c>
      <c r="H37" t="s">
        <v>1027</v>
      </c>
      <c r="I37">
        <v>60</v>
      </c>
      <c r="J37" t="s">
        <v>71</v>
      </c>
      <c r="K37" t="s">
        <v>49</v>
      </c>
      <c r="L37" t="s">
        <v>52</v>
      </c>
      <c r="M37" t="s">
        <v>51</v>
      </c>
      <c r="N37" t="s">
        <v>52</v>
      </c>
      <c r="O37" s="1">
        <v>43322</v>
      </c>
      <c r="P37" t="s">
        <v>872</v>
      </c>
      <c r="Q37" t="s">
        <v>980</v>
      </c>
      <c r="R37" t="s">
        <v>200</v>
      </c>
      <c r="S37" t="s">
        <v>52</v>
      </c>
      <c r="T37" t="s">
        <v>55</v>
      </c>
      <c r="U37" t="s">
        <v>975</v>
      </c>
      <c r="V37" s="21">
        <v>0.2</v>
      </c>
      <c r="W37">
        <v>3.12</v>
      </c>
      <c r="X37">
        <v>24</v>
      </c>
      <c r="Y37">
        <v>0.32051299999999999</v>
      </c>
      <c r="Z37">
        <v>49.679490000000001</v>
      </c>
      <c r="AA37">
        <v>9.6</v>
      </c>
      <c r="AB37">
        <v>2.6041669999999999</v>
      </c>
      <c r="AC37" t="s">
        <v>201</v>
      </c>
      <c r="AD37" t="s">
        <v>202</v>
      </c>
      <c r="AE37" t="s">
        <v>203</v>
      </c>
      <c r="AG37" t="s">
        <v>406</v>
      </c>
      <c r="AH37" s="1">
        <v>43830</v>
      </c>
      <c r="AI37" s="1">
        <v>43888</v>
      </c>
    </row>
    <row r="38" spans="1:35" x14ac:dyDescent="0.2">
      <c r="A38">
        <v>11</v>
      </c>
      <c r="B38" t="s">
        <v>1028</v>
      </c>
      <c r="C38">
        <v>37</v>
      </c>
      <c r="D38" t="s">
        <v>720</v>
      </c>
      <c r="E38" t="s">
        <v>721</v>
      </c>
      <c r="F38" t="s">
        <v>46</v>
      </c>
      <c r="G38">
        <v>2</v>
      </c>
      <c r="H38" t="s">
        <v>1027</v>
      </c>
      <c r="I38">
        <v>60</v>
      </c>
      <c r="J38" t="s">
        <v>71</v>
      </c>
      <c r="K38" t="s">
        <v>49</v>
      </c>
      <c r="L38" t="s">
        <v>52</v>
      </c>
      <c r="M38" t="s">
        <v>51</v>
      </c>
      <c r="N38" t="s">
        <v>52</v>
      </c>
      <c r="O38" s="1">
        <v>43322</v>
      </c>
      <c r="P38" t="s">
        <v>872</v>
      </c>
      <c r="Q38" t="s">
        <v>980</v>
      </c>
      <c r="R38" t="s">
        <v>200</v>
      </c>
      <c r="S38" t="s">
        <v>52</v>
      </c>
      <c r="T38" t="s">
        <v>55</v>
      </c>
      <c r="U38" t="s">
        <v>975</v>
      </c>
      <c r="V38" s="21">
        <v>0.2</v>
      </c>
      <c r="W38">
        <v>0.17</v>
      </c>
      <c r="X38">
        <v>24</v>
      </c>
      <c r="Y38">
        <v>5.8823530000000002</v>
      </c>
      <c r="Z38">
        <v>44.117649999999998</v>
      </c>
      <c r="AA38">
        <v>10.8</v>
      </c>
      <c r="AB38">
        <v>2.3148149999999998</v>
      </c>
      <c r="AC38" t="s">
        <v>205</v>
      </c>
      <c r="AD38" t="s">
        <v>206</v>
      </c>
      <c r="AE38" t="s">
        <v>207</v>
      </c>
      <c r="AG38" t="s">
        <v>409</v>
      </c>
      <c r="AH38" s="1">
        <v>43830</v>
      </c>
      <c r="AI38" s="1">
        <v>43901</v>
      </c>
    </row>
    <row r="39" spans="1:35" x14ac:dyDescent="0.2">
      <c r="A39">
        <v>27</v>
      </c>
      <c r="B39" t="s">
        <v>1029</v>
      </c>
      <c r="C39">
        <v>38</v>
      </c>
      <c r="D39" t="s">
        <v>722</v>
      </c>
      <c r="E39" t="s">
        <v>723</v>
      </c>
      <c r="F39" t="s">
        <v>46</v>
      </c>
      <c r="G39">
        <v>2</v>
      </c>
      <c r="H39" t="s">
        <v>1027</v>
      </c>
      <c r="I39">
        <v>60</v>
      </c>
      <c r="J39" t="s">
        <v>71</v>
      </c>
      <c r="K39" t="s">
        <v>49</v>
      </c>
      <c r="L39" t="s">
        <v>52</v>
      </c>
      <c r="M39" t="s">
        <v>51</v>
      </c>
      <c r="N39" t="s">
        <v>52</v>
      </c>
      <c r="O39" s="1">
        <v>43322</v>
      </c>
      <c r="P39" t="s">
        <v>872</v>
      </c>
      <c r="Q39" t="s">
        <v>980</v>
      </c>
      <c r="R39" t="s">
        <v>200</v>
      </c>
      <c r="S39" t="s">
        <v>52</v>
      </c>
      <c r="T39" t="s">
        <v>55</v>
      </c>
      <c r="U39" t="s">
        <v>975</v>
      </c>
      <c r="V39" s="21">
        <v>0.2</v>
      </c>
      <c r="W39">
        <v>0.57599999999999996</v>
      </c>
      <c r="X39">
        <v>24</v>
      </c>
      <c r="Y39">
        <v>1.736111</v>
      </c>
      <c r="Z39">
        <v>48.263890000000004</v>
      </c>
      <c r="AA39">
        <v>6.56</v>
      </c>
      <c r="AB39">
        <v>3.8109760000000001</v>
      </c>
      <c r="AC39" t="s">
        <v>209</v>
      </c>
      <c r="AD39" t="s">
        <v>210</v>
      </c>
      <c r="AE39" t="s">
        <v>211</v>
      </c>
      <c r="AG39" t="s">
        <v>410</v>
      </c>
      <c r="AH39" s="1">
        <v>43830</v>
      </c>
      <c r="AI39" s="1">
        <v>43898</v>
      </c>
    </row>
    <row r="40" spans="1:35" x14ac:dyDescent="0.2">
      <c r="A40">
        <v>33</v>
      </c>
      <c r="B40" t="s">
        <v>1030</v>
      </c>
      <c r="C40">
        <v>39</v>
      </c>
      <c r="D40" t="s">
        <v>724</v>
      </c>
      <c r="E40" t="s">
        <v>725</v>
      </c>
      <c r="F40" t="s">
        <v>97</v>
      </c>
      <c r="G40">
        <v>2</v>
      </c>
      <c r="H40" t="s">
        <v>1031</v>
      </c>
      <c r="I40">
        <v>62</v>
      </c>
      <c r="J40" t="s">
        <v>71</v>
      </c>
      <c r="K40" t="s">
        <v>49</v>
      </c>
      <c r="L40" t="s">
        <v>52</v>
      </c>
      <c r="M40" t="s">
        <v>51</v>
      </c>
      <c r="N40" t="s">
        <v>52</v>
      </c>
      <c r="O40" s="1">
        <v>43371</v>
      </c>
      <c r="P40" t="s">
        <v>919</v>
      </c>
      <c r="Q40" t="s">
        <v>980</v>
      </c>
      <c r="R40" t="s">
        <v>214</v>
      </c>
      <c r="S40" t="s">
        <v>55</v>
      </c>
      <c r="T40" t="s">
        <v>52</v>
      </c>
      <c r="U40" t="s">
        <v>975</v>
      </c>
      <c r="V40" s="21">
        <v>0.5</v>
      </c>
      <c r="W40">
        <v>0.84799999999999998</v>
      </c>
      <c r="X40">
        <v>24</v>
      </c>
      <c r="Y40">
        <v>1.1792450000000001</v>
      </c>
      <c r="Z40">
        <v>48.820749999999997</v>
      </c>
      <c r="AA40">
        <v>12.5</v>
      </c>
      <c r="AB40">
        <v>2</v>
      </c>
      <c r="AC40" t="s">
        <v>215</v>
      </c>
      <c r="AD40" t="s">
        <v>216</v>
      </c>
      <c r="AE40" t="s">
        <v>217</v>
      </c>
      <c r="AG40" t="s">
        <v>411</v>
      </c>
      <c r="AH40" s="1">
        <v>43830</v>
      </c>
      <c r="AI40" s="1">
        <v>43889</v>
      </c>
    </row>
    <row r="41" spans="1:35" x14ac:dyDescent="0.2">
      <c r="A41">
        <v>27</v>
      </c>
      <c r="B41" t="s">
        <v>1032</v>
      </c>
      <c r="C41">
        <v>40</v>
      </c>
      <c r="D41" t="s">
        <v>726</v>
      </c>
      <c r="E41" t="s">
        <v>727</v>
      </c>
      <c r="F41" t="s">
        <v>97</v>
      </c>
      <c r="G41">
        <v>1</v>
      </c>
      <c r="H41" t="s">
        <v>1031</v>
      </c>
      <c r="I41">
        <v>62</v>
      </c>
      <c r="J41" t="s">
        <v>71</v>
      </c>
      <c r="K41" t="s">
        <v>49</v>
      </c>
      <c r="L41" t="s">
        <v>52</v>
      </c>
      <c r="M41" t="s">
        <v>51</v>
      </c>
      <c r="N41" t="s">
        <v>52</v>
      </c>
      <c r="O41" s="1">
        <v>43371</v>
      </c>
      <c r="P41" t="s">
        <v>919</v>
      </c>
      <c r="Q41" t="s">
        <v>980</v>
      </c>
      <c r="R41" t="s">
        <v>214</v>
      </c>
      <c r="S41" t="s">
        <v>55</v>
      </c>
      <c r="T41" t="s">
        <v>52</v>
      </c>
      <c r="U41" t="s">
        <v>975</v>
      </c>
      <c r="V41" s="21">
        <v>0.5</v>
      </c>
      <c r="W41">
        <v>0.42</v>
      </c>
      <c r="X41">
        <v>24</v>
      </c>
      <c r="Y41">
        <v>2.3809520000000002</v>
      </c>
      <c r="Z41">
        <v>7.08</v>
      </c>
      <c r="AA41">
        <v>7.08</v>
      </c>
      <c r="AB41">
        <v>3.5310730000000001</v>
      </c>
      <c r="AC41" t="s">
        <v>209</v>
      </c>
      <c r="AD41" t="s">
        <v>210</v>
      </c>
      <c r="AE41" t="s">
        <v>211</v>
      </c>
      <c r="AG41" t="s">
        <v>414</v>
      </c>
      <c r="AH41" s="1">
        <v>43830</v>
      </c>
      <c r="AI41" s="1">
        <v>43891</v>
      </c>
    </row>
    <row r="42" spans="1:35" x14ac:dyDescent="0.2">
      <c r="A42">
        <v>22</v>
      </c>
      <c r="B42" t="s">
        <v>1033</v>
      </c>
      <c r="C42">
        <v>41</v>
      </c>
      <c r="D42" t="s">
        <v>728</v>
      </c>
      <c r="E42" t="s">
        <v>729</v>
      </c>
      <c r="F42" t="s">
        <v>97</v>
      </c>
      <c r="G42">
        <v>1</v>
      </c>
      <c r="H42" t="s">
        <v>1031</v>
      </c>
      <c r="I42">
        <v>62</v>
      </c>
      <c r="J42" t="s">
        <v>71</v>
      </c>
      <c r="K42" t="s">
        <v>49</v>
      </c>
      <c r="L42" t="s">
        <v>52</v>
      </c>
      <c r="M42" t="s">
        <v>51</v>
      </c>
      <c r="N42" t="s">
        <v>52</v>
      </c>
      <c r="O42" s="1">
        <v>43371</v>
      </c>
      <c r="P42" t="s">
        <v>919</v>
      </c>
      <c r="Q42" t="s">
        <v>980</v>
      </c>
      <c r="R42" t="s">
        <v>214</v>
      </c>
      <c r="S42" t="s">
        <v>55</v>
      </c>
      <c r="T42" t="s">
        <v>52</v>
      </c>
      <c r="U42" t="s">
        <v>975</v>
      </c>
      <c r="V42" s="21">
        <v>0.5</v>
      </c>
      <c r="W42">
        <v>0.3</v>
      </c>
      <c r="X42">
        <v>24</v>
      </c>
      <c r="Y42">
        <v>3.3333330000000001</v>
      </c>
      <c r="Z42">
        <v>46.666670000000003</v>
      </c>
      <c r="AA42">
        <v>21.8</v>
      </c>
      <c r="AB42">
        <v>1.1467890000000001</v>
      </c>
      <c r="AC42" t="s">
        <v>220</v>
      </c>
      <c r="AD42" t="s">
        <v>221</v>
      </c>
      <c r="AE42" t="s">
        <v>222</v>
      </c>
      <c r="AG42" t="s">
        <v>415</v>
      </c>
      <c r="AH42" s="1">
        <v>43830</v>
      </c>
      <c r="AI42" s="1">
        <v>43889</v>
      </c>
    </row>
    <row r="43" spans="1:35" x14ac:dyDescent="0.2">
      <c r="A43">
        <v>44</v>
      </c>
      <c r="B43" t="s">
        <v>1034</v>
      </c>
      <c r="C43">
        <v>42</v>
      </c>
      <c r="D43" t="s">
        <v>730</v>
      </c>
      <c r="E43" t="s">
        <v>731</v>
      </c>
      <c r="F43" t="s">
        <v>46</v>
      </c>
      <c r="G43">
        <v>1</v>
      </c>
      <c r="H43" t="s">
        <v>1035</v>
      </c>
      <c r="I43">
        <v>59</v>
      </c>
      <c r="J43" t="s">
        <v>48</v>
      </c>
      <c r="K43" t="s">
        <v>49</v>
      </c>
      <c r="L43" t="s">
        <v>50</v>
      </c>
      <c r="M43" t="s">
        <v>51</v>
      </c>
      <c r="N43" t="s">
        <v>52</v>
      </c>
      <c r="O43" s="1">
        <v>43581</v>
      </c>
      <c r="P43" t="s">
        <v>872</v>
      </c>
      <c r="Q43" t="s">
        <v>980</v>
      </c>
      <c r="R43" t="s">
        <v>72</v>
      </c>
      <c r="S43" t="s">
        <v>55</v>
      </c>
      <c r="T43" t="s">
        <v>52</v>
      </c>
      <c r="U43" t="s">
        <v>975</v>
      </c>
      <c r="V43" s="21">
        <v>0.1</v>
      </c>
      <c r="W43">
        <v>1.27</v>
      </c>
      <c r="X43">
        <v>24</v>
      </c>
      <c r="Y43">
        <v>0.78740200000000005</v>
      </c>
      <c r="Z43">
        <v>49.212600000000002</v>
      </c>
      <c r="AA43">
        <v>10.1</v>
      </c>
      <c r="AB43">
        <v>2.4752480000000001</v>
      </c>
      <c r="AC43" t="s">
        <v>225</v>
      </c>
      <c r="AD43" t="s">
        <v>226</v>
      </c>
      <c r="AE43" t="s">
        <v>227</v>
      </c>
      <c r="AG43" t="s">
        <v>416</v>
      </c>
      <c r="AH43" s="1">
        <v>43830</v>
      </c>
      <c r="AI43" s="1">
        <v>43889</v>
      </c>
    </row>
    <row r="44" spans="1:35" x14ac:dyDescent="0.2">
      <c r="A44">
        <v>38</v>
      </c>
      <c r="B44" t="s">
        <v>1036</v>
      </c>
      <c r="C44">
        <v>43</v>
      </c>
      <c r="D44" t="s">
        <v>732</v>
      </c>
      <c r="E44" t="s">
        <v>733</v>
      </c>
      <c r="F44" t="s">
        <v>46</v>
      </c>
      <c r="G44">
        <v>1</v>
      </c>
      <c r="H44" t="s">
        <v>1035</v>
      </c>
      <c r="I44">
        <v>59</v>
      </c>
      <c r="J44" t="s">
        <v>48</v>
      </c>
      <c r="K44" t="s">
        <v>49</v>
      </c>
      <c r="L44" t="s">
        <v>50</v>
      </c>
      <c r="M44" t="s">
        <v>51</v>
      </c>
      <c r="N44" t="s">
        <v>52</v>
      </c>
      <c r="O44" s="1">
        <v>43581</v>
      </c>
      <c r="P44" t="s">
        <v>872</v>
      </c>
      <c r="Q44" t="s">
        <v>980</v>
      </c>
      <c r="R44" t="s">
        <v>72</v>
      </c>
      <c r="S44" t="s">
        <v>55</v>
      </c>
      <c r="T44" t="s">
        <v>52</v>
      </c>
      <c r="U44" t="s">
        <v>975</v>
      </c>
      <c r="V44" s="21">
        <v>0.1</v>
      </c>
      <c r="W44">
        <v>1.04</v>
      </c>
      <c r="X44">
        <v>24</v>
      </c>
      <c r="Y44">
        <v>0.961538</v>
      </c>
      <c r="Z44">
        <v>49.038460000000001</v>
      </c>
      <c r="AA44">
        <v>10.3</v>
      </c>
      <c r="AB44">
        <v>2.427184</v>
      </c>
      <c r="AC44" t="s">
        <v>137</v>
      </c>
      <c r="AD44" t="s">
        <v>138</v>
      </c>
      <c r="AE44" t="s">
        <v>139</v>
      </c>
      <c r="AG44" t="s">
        <v>418</v>
      </c>
      <c r="AH44" s="1">
        <v>43830</v>
      </c>
      <c r="AI44" s="1">
        <v>43901</v>
      </c>
    </row>
    <row r="45" spans="1:35" x14ac:dyDescent="0.2">
      <c r="A45">
        <v>19</v>
      </c>
      <c r="B45" t="s">
        <v>1037</v>
      </c>
      <c r="C45">
        <v>44</v>
      </c>
      <c r="D45" t="s">
        <v>734</v>
      </c>
      <c r="E45" t="s">
        <v>735</v>
      </c>
      <c r="F45" t="s">
        <v>46</v>
      </c>
      <c r="G45">
        <v>2</v>
      </c>
      <c r="H45" t="s">
        <v>1035</v>
      </c>
      <c r="I45">
        <v>59</v>
      </c>
      <c r="J45" t="s">
        <v>48</v>
      </c>
      <c r="K45" t="s">
        <v>49</v>
      </c>
      <c r="L45" t="s">
        <v>50</v>
      </c>
      <c r="M45" t="s">
        <v>51</v>
      </c>
      <c r="N45" t="s">
        <v>52</v>
      </c>
      <c r="O45" s="1">
        <v>43581</v>
      </c>
      <c r="P45" t="s">
        <v>872</v>
      </c>
      <c r="Q45" t="s">
        <v>980</v>
      </c>
      <c r="R45" t="s">
        <v>72</v>
      </c>
      <c r="S45" t="s">
        <v>55</v>
      </c>
      <c r="T45" t="s">
        <v>52</v>
      </c>
      <c r="U45" t="s">
        <v>975</v>
      </c>
      <c r="V45" s="21">
        <v>0.1</v>
      </c>
      <c r="W45">
        <v>0.32400000000000001</v>
      </c>
      <c r="X45">
        <v>24</v>
      </c>
      <c r="Y45">
        <v>3.0864199999999999</v>
      </c>
      <c r="Z45">
        <v>46.913580000000003</v>
      </c>
      <c r="AA45">
        <v>14.3</v>
      </c>
      <c r="AB45">
        <v>1.7482519999999999</v>
      </c>
      <c r="AC45" t="s">
        <v>230</v>
      </c>
      <c r="AD45" t="s">
        <v>231</v>
      </c>
      <c r="AE45" t="s">
        <v>232</v>
      </c>
      <c r="AG45" t="s">
        <v>419</v>
      </c>
      <c r="AH45" s="1">
        <v>43830</v>
      </c>
      <c r="AI45" s="1">
        <v>43898</v>
      </c>
    </row>
    <row r="46" spans="1:35" x14ac:dyDescent="0.2">
      <c r="A46">
        <v>17</v>
      </c>
      <c r="B46" t="s">
        <v>1038</v>
      </c>
      <c r="C46">
        <v>45</v>
      </c>
      <c r="D46" t="s">
        <v>736</v>
      </c>
      <c r="E46" t="s">
        <v>737</v>
      </c>
      <c r="F46" t="s">
        <v>46</v>
      </c>
      <c r="G46">
        <v>2</v>
      </c>
      <c r="H46" t="s">
        <v>1039</v>
      </c>
      <c r="I46">
        <v>44</v>
      </c>
      <c r="J46" t="s">
        <v>71</v>
      </c>
      <c r="K46" t="s">
        <v>49</v>
      </c>
      <c r="L46" t="s">
        <v>50</v>
      </c>
      <c r="M46" t="s">
        <v>51</v>
      </c>
      <c r="N46" t="s">
        <v>52</v>
      </c>
      <c r="O46" s="1">
        <v>43721</v>
      </c>
      <c r="P46" t="s">
        <v>872</v>
      </c>
      <c r="Q46" t="s">
        <v>964</v>
      </c>
      <c r="R46" t="s">
        <v>235</v>
      </c>
      <c r="S46" t="s">
        <v>55</v>
      </c>
      <c r="T46" t="s">
        <v>55</v>
      </c>
      <c r="U46" t="s">
        <v>975</v>
      </c>
      <c r="V46" t="s">
        <v>56</v>
      </c>
      <c r="W46">
        <v>0.28000000000000003</v>
      </c>
      <c r="X46">
        <v>24</v>
      </c>
      <c r="Y46">
        <v>3.5714290000000002</v>
      </c>
      <c r="Z46">
        <v>46.428570000000001</v>
      </c>
      <c r="AA46">
        <v>13.8</v>
      </c>
      <c r="AB46">
        <v>1.8115939999999999</v>
      </c>
      <c r="AC46" t="s">
        <v>236</v>
      </c>
      <c r="AD46" t="s">
        <v>237</v>
      </c>
      <c r="AE46" t="s">
        <v>238</v>
      </c>
      <c r="AG46" t="s">
        <v>420</v>
      </c>
      <c r="AH46" s="1">
        <v>43830</v>
      </c>
      <c r="AI46" s="1">
        <v>43901</v>
      </c>
    </row>
    <row r="47" spans="1:35" x14ac:dyDescent="0.2">
      <c r="A47">
        <v>17</v>
      </c>
      <c r="B47" t="s">
        <v>1040</v>
      </c>
      <c r="C47">
        <v>46</v>
      </c>
      <c r="D47" t="s">
        <v>738</v>
      </c>
      <c r="E47" t="s">
        <v>739</v>
      </c>
      <c r="F47" t="s">
        <v>46</v>
      </c>
      <c r="G47">
        <v>1</v>
      </c>
      <c r="H47" t="s">
        <v>1039</v>
      </c>
      <c r="I47">
        <v>44</v>
      </c>
      <c r="J47" t="s">
        <v>71</v>
      </c>
      <c r="K47" t="s">
        <v>49</v>
      </c>
      <c r="L47" t="s">
        <v>50</v>
      </c>
      <c r="M47" t="s">
        <v>51</v>
      </c>
      <c r="N47" t="s">
        <v>52</v>
      </c>
      <c r="O47" s="1">
        <v>43721</v>
      </c>
      <c r="P47" t="s">
        <v>872</v>
      </c>
      <c r="Q47" t="s">
        <v>964</v>
      </c>
      <c r="R47" t="s">
        <v>235</v>
      </c>
      <c r="S47" t="s">
        <v>55</v>
      </c>
      <c r="T47" t="s">
        <v>55</v>
      </c>
      <c r="U47" t="s">
        <v>975</v>
      </c>
      <c r="V47" t="s">
        <v>56</v>
      </c>
      <c r="W47">
        <v>0.23400000000000001</v>
      </c>
      <c r="X47">
        <v>24</v>
      </c>
      <c r="Y47">
        <v>4.273504</v>
      </c>
      <c r="Z47">
        <v>45.726500000000001</v>
      </c>
      <c r="AA47">
        <v>14.6</v>
      </c>
      <c r="AB47">
        <v>1.712329</v>
      </c>
      <c r="AC47" t="s">
        <v>236</v>
      </c>
      <c r="AD47" t="s">
        <v>237</v>
      </c>
      <c r="AE47" t="s">
        <v>238</v>
      </c>
      <c r="AG47" t="s">
        <v>422</v>
      </c>
      <c r="AH47" s="1">
        <v>43830</v>
      </c>
      <c r="AI47" s="1">
        <v>43887</v>
      </c>
    </row>
    <row r="48" spans="1:35" x14ac:dyDescent="0.2">
      <c r="A48">
        <v>18</v>
      </c>
      <c r="B48" t="s">
        <v>1041</v>
      </c>
      <c r="C48">
        <v>47</v>
      </c>
      <c r="D48" t="s">
        <v>740</v>
      </c>
      <c r="E48" t="s">
        <v>741</v>
      </c>
      <c r="F48" t="s">
        <v>46</v>
      </c>
      <c r="G48">
        <v>1</v>
      </c>
      <c r="H48" t="s">
        <v>1042</v>
      </c>
      <c r="I48">
        <v>50</v>
      </c>
      <c r="J48" t="s">
        <v>71</v>
      </c>
      <c r="K48" t="s">
        <v>49</v>
      </c>
      <c r="L48" t="s">
        <v>50</v>
      </c>
      <c r="M48" t="s">
        <v>51</v>
      </c>
      <c r="N48" t="s">
        <v>50</v>
      </c>
      <c r="O48" s="1">
        <v>44062</v>
      </c>
      <c r="P48" t="s">
        <v>872</v>
      </c>
      <c r="Q48" t="s">
        <v>980</v>
      </c>
      <c r="R48" t="s">
        <v>242</v>
      </c>
      <c r="S48" t="s">
        <v>55</v>
      </c>
      <c r="T48" t="s">
        <v>52</v>
      </c>
      <c r="U48" t="s">
        <v>981</v>
      </c>
      <c r="W48">
        <v>0.23599999999999999</v>
      </c>
      <c r="X48">
        <v>24</v>
      </c>
      <c r="Y48">
        <v>4.2372880000000004</v>
      </c>
      <c r="Z48">
        <v>45.762709999999998</v>
      </c>
      <c r="AA48">
        <v>26</v>
      </c>
      <c r="AB48">
        <v>0.961538</v>
      </c>
      <c r="AC48" t="s">
        <v>78</v>
      </c>
      <c r="AD48" t="s">
        <v>79</v>
      </c>
      <c r="AE48" t="s">
        <v>80</v>
      </c>
      <c r="AG48" t="s">
        <v>423</v>
      </c>
      <c r="AH48" s="1">
        <v>43830</v>
      </c>
      <c r="AI48" s="1">
        <v>43887</v>
      </c>
    </row>
    <row r="49" spans="1:35" x14ac:dyDescent="0.2">
      <c r="A49">
        <v>24</v>
      </c>
      <c r="B49" t="s">
        <v>1043</v>
      </c>
      <c r="C49">
        <v>48</v>
      </c>
      <c r="D49" t="s">
        <v>742</v>
      </c>
      <c r="E49" t="s">
        <v>743</v>
      </c>
      <c r="F49" t="s">
        <v>46</v>
      </c>
      <c r="G49">
        <v>1</v>
      </c>
      <c r="H49" t="s">
        <v>1042</v>
      </c>
      <c r="I49">
        <v>50</v>
      </c>
      <c r="J49" t="s">
        <v>71</v>
      </c>
      <c r="K49" t="s">
        <v>49</v>
      </c>
      <c r="L49" t="s">
        <v>50</v>
      </c>
      <c r="M49" t="s">
        <v>51</v>
      </c>
      <c r="N49" t="s">
        <v>50</v>
      </c>
      <c r="O49" s="1">
        <v>44062</v>
      </c>
      <c r="P49" t="s">
        <v>872</v>
      </c>
      <c r="Q49" t="s">
        <v>980</v>
      </c>
      <c r="R49" t="s">
        <v>242</v>
      </c>
      <c r="S49" t="s">
        <v>55</v>
      </c>
      <c r="T49" t="s">
        <v>52</v>
      </c>
      <c r="U49" t="s">
        <v>981</v>
      </c>
      <c r="W49">
        <v>0.36</v>
      </c>
      <c r="X49">
        <v>24</v>
      </c>
      <c r="Y49">
        <v>2.7777780000000001</v>
      </c>
      <c r="Z49">
        <v>47.22222</v>
      </c>
      <c r="AA49">
        <v>26.2</v>
      </c>
      <c r="AB49">
        <v>0.95419799999999999</v>
      </c>
      <c r="AC49" t="s">
        <v>126</v>
      </c>
      <c r="AD49" t="s">
        <v>127</v>
      </c>
      <c r="AE49" t="s">
        <v>128</v>
      </c>
      <c r="AG49" t="s">
        <v>424</v>
      </c>
      <c r="AH49" s="1">
        <v>43832</v>
      </c>
      <c r="AI49" s="1">
        <v>43888</v>
      </c>
    </row>
    <row r="50" spans="1:35" x14ac:dyDescent="0.2">
      <c r="A50">
        <v>19</v>
      </c>
      <c r="B50" t="s">
        <v>1044</v>
      </c>
      <c r="C50">
        <v>49</v>
      </c>
      <c r="D50" t="s">
        <v>744</v>
      </c>
      <c r="E50" t="s">
        <v>745</v>
      </c>
      <c r="F50" t="s">
        <v>46</v>
      </c>
      <c r="G50">
        <v>1</v>
      </c>
      <c r="H50" t="s">
        <v>1045</v>
      </c>
      <c r="I50">
        <v>35</v>
      </c>
      <c r="J50" t="s">
        <v>71</v>
      </c>
      <c r="K50" t="s">
        <v>49</v>
      </c>
      <c r="L50" t="s">
        <v>52</v>
      </c>
      <c r="M50" t="s">
        <v>51</v>
      </c>
      <c r="N50" t="s">
        <v>52</v>
      </c>
      <c r="O50" s="1">
        <v>43473</v>
      </c>
      <c r="P50" t="s">
        <v>872</v>
      </c>
      <c r="Q50" t="s">
        <v>964</v>
      </c>
      <c r="R50" t="s">
        <v>246</v>
      </c>
      <c r="S50" t="s">
        <v>55</v>
      </c>
      <c r="T50" t="s">
        <v>55</v>
      </c>
      <c r="U50" t="s">
        <v>975</v>
      </c>
      <c r="V50" t="s">
        <v>247</v>
      </c>
      <c r="W50">
        <v>0.254</v>
      </c>
      <c r="X50">
        <v>24</v>
      </c>
      <c r="Y50">
        <v>3.9370080000000001</v>
      </c>
      <c r="Z50">
        <v>46.062989999999999</v>
      </c>
      <c r="AA50">
        <v>13.7</v>
      </c>
      <c r="AB50">
        <v>1.8248180000000001</v>
      </c>
      <c r="AC50" t="s">
        <v>230</v>
      </c>
      <c r="AD50" t="s">
        <v>231</v>
      </c>
      <c r="AE50" t="s">
        <v>232</v>
      </c>
      <c r="AG50" t="s">
        <v>426</v>
      </c>
      <c r="AH50" s="1">
        <v>43832</v>
      </c>
      <c r="AI50" s="1">
        <v>43889</v>
      </c>
    </row>
    <row r="51" spans="1:35" x14ac:dyDescent="0.2">
      <c r="A51">
        <v>34</v>
      </c>
      <c r="B51" t="s">
        <v>1046</v>
      </c>
      <c r="C51">
        <v>50</v>
      </c>
      <c r="D51" t="s">
        <v>746</v>
      </c>
      <c r="E51" t="s">
        <v>747</v>
      </c>
      <c r="F51" t="s">
        <v>46</v>
      </c>
      <c r="G51">
        <v>2</v>
      </c>
      <c r="H51" t="s">
        <v>1045</v>
      </c>
      <c r="I51">
        <v>35</v>
      </c>
      <c r="J51" t="s">
        <v>71</v>
      </c>
      <c r="K51" t="s">
        <v>49</v>
      </c>
      <c r="L51" t="s">
        <v>52</v>
      </c>
      <c r="M51" t="s">
        <v>51</v>
      </c>
      <c r="N51" t="s">
        <v>52</v>
      </c>
      <c r="O51" s="1">
        <v>43473</v>
      </c>
      <c r="P51" t="s">
        <v>872</v>
      </c>
      <c r="Q51" t="s">
        <v>964</v>
      </c>
      <c r="R51" t="s">
        <v>246</v>
      </c>
      <c r="S51" t="s">
        <v>55</v>
      </c>
      <c r="T51" t="s">
        <v>55</v>
      </c>
      <c r="U51" t="s">
        <v>975</v>
      </c>
      <c r="V51" t="s">
        <v>247</v>
      </c>
      <c r="W51">
        <v>0.88400000000000001</v>
      </c>
      <c r="X51">
        <v>24</v>
      </c>
      <c r="Y51">
        <v>1.1312219999999999</v>
      </c>
      <c r="Z51">
        <v>48.868780000000001</v>
      </c>
      <c r="AA51">
        <v>8.58</v>
      </c>
      <c r="AB51">
        <v>2.9137529999999998</v>
      </c>
      <c r="AC51" t="s">
        <v>249</v>
      </c>
      <c r="AD51" t="s">
        <v>250</v>
      </c>
      <c r="AE51" t="s">
        <v>251</v>
      </c>
      <c r="AG51" t="s">
        <v>427</v>
      </c>
      <c r="AH51" s="1">
        <v>43832</v>
      </c>
      <c r="AI51" s="1">
        <v>43889</v>
      </c>
    </row>
    <row r="52" spans="1:35" x14ac:dyDescent="0.2">
      <c r="A52">
        <v>46</v>
      </c>
      <c r="B52" t="s">
        <v>1047</v>
      </c>
      <c r="C52">
        <v>51</v>
      </c>
      <c r="D52" t="s">
        <v>748</v>
      </c>
      <c r="E52" t="s">
        <v>749</v>
      </c>
      <c r="F52" t="s">
        <v>46</v>
      </c>
      <c r="G52">
        <v>2</v>
      </c>
      <c r="H52" t="s">
        <v>1048</v>
      </c>
      <c r="I52">
        <v>33</v>
      </c>
      <c r="J52" t="s">
        <v>71</v>
      </c>
      <c r="K52" t="s">
        <v>49</v>
      </c>
      <c r="L52" t="s">
        <v>50</v>
      </c>
      <c r="M52" t="s">
        <v>51</v>
      </c>
      <c r="N52" t="s">
        <v>52</v>
      </c>
      <c r="O52" s="1">
        <v>43405</v>
      </c>
      <c r="P52" t="s">
        <v>872</v>
      </c>
      <c r="Q52" t="s">
        <v>980</v>
      </c>
      <c r="R52" t="s">
        <v>254</v>
      </c>
      <c r="S52" t="s">
        <v>55</v>
      </c>
      <c r="T52" t="s">
        <v>55</v>
      </c>
      <c r="U52" t="s">
        <v>981</v>
      </c>
      <c r="V52" t="s">
        <v>56</v>
      </c>
      <c r="W52">
        <v>1.43</v>
      </c>
      <c r="X52">
        <v>24</v>
      </c>
      <c r="Y52">
        <v>0.69930099999999995</v>
      </c>
      <c r="Z52">
        <v>49.300699999999999</v>
      </c>
      <c r="AA52">
        <v>6.86</v>
      </c>
      <c r="AB52">
        <v>3.6443150000000002</v>
      </c>
      <c r="AC52" t="s">
        <v>255</v>
      </c>
      <c r="AD52" t="s">
        <v>256</v>
      </c>
      <c r="AE52" t="s">
        <v>257</v>
      </c>
      <c r="AG52" t="s">
        <v>428</v>
      </c>
      <c r="AH52" s="1">
        <v>43832</v>
      </c>
      <c r="AI52" s="1">
        <v>43891</v>
      </c>
    </row>
    <row r="53" spans="1:35" x14ac:dyDescent="0.2">
      <c r="A53">
        <v>32</v>
      </c>
      <c r="B53" t="s">
        <v>1049</v>
      </c>
      <c r="C53">
        <v>52</v>
      </c>
      <c r="D53" t="s">
        <v>750</v>
      </c>
      <c r="E53" t="s">
        <v>751</v>
      </c>
      <c r="F53" t="s">
        <v>46</v>
      </c>
      <c r="G53">
        <v>1</v>
      </c>
      <c r="H53" t="s">
        <v>1048</v>
      </c>
      <c r="I53">
        <v>33</v>
      </c>
      <c r="J53" t="s">
        <v>71</v>
      </c>
      <c r="K53" t="s">
        <v>49</v>
      </c>
      <c r="L53" t="s">
        <v>50</v>
      </c>
      <c r="M53" t="s">
        <v>51</v>
      </c>
      <c r="N53" t="s">
        <v>52</v>
      </c>
      <c r="O53" s="1">
        <v>43405</v>
      </c>
      <c r="P53" t="s">
        <v>872</v>
      </c>
      <c r="Q53" t="s">
        <v>980</v>
      </c>
      <c r="R53" t="s">
        <v>254</v>
      </c>
      <c r="S53" t="s">
        <v>55</v>
      </c>
      <c r="T53" t="s">
        <v>55</v>
      </c>
      <c r="U53" t="s">
        <v>981</v>
      </c>
      <c r="V53" t="s">
        <v>56</v>
      </c>
      <c r="W53">
        <v>0.60799999999999998</v>
      </c>
      <c r="X53">
        <v>24</v>
      </c>
      <c r="Y53">
        <v>1.6447369999999999</v>
      </c>
      <c r="Z53">
        <v>48.355260000000001</v>
      </c>
      <c r="AA53">
        <v>10.7</v>
      </c>
      <c r="AB53">
        <v>2.336449</v>
      </c>
      <c r="AC53" t="s">
        <v>259</v>
      </c>
      <c r="AD53" t="s">
        <v>260</v>
      </c>
      <c r="AE53" t="s">
        <v>261</v>
      </c>
      <c r="AG53" t="s">
        <v>430</v>
      </c>
      <c r="AH53" s="1">
        <v>43832</v>
      </c>
      <c r="AI53" s="1">
        <v>43887</v>
      </c>
    </row>
    <row r="54" spans="1:35" x14ac:dyDescent="0.2">
      <c r="A54">
        <v>40</v>
      </c>
      <c r="B54" t="s">
        <v>1050</v>
      </c>
      <c r="C54">
        <v>53</v>
      </c>
      <c r="D54" t="s">
        <v>752</v>
      </c>
      <c r="E54" t="s">
        <v>753</v>
      </c>
      <c r="F54" t="s">
        <v>46</v>
      </c>
      <c r="G54">
        <v>2</v>
      </c>
      <c r="H54" t="s">
        <v>1048</v>
      </c>
      <c r="I54">
        <v>33</v>
      </c>
      <c r="J54" t="s">
        <v>71</v>
      </c>
      <c r="K54" t="s">
        <v>49</v>
      </c>
      <c r="L54" t="s">
        <v>50</v>
      </c>
      <c r="M54" t="s">
        <v>51</v>
      </c>
      <c r="N54" t="s">
        <v>52</v>
      </c>
      <c r="O54" s="1">
        <v>43405</v>
      </c>
      <c r="P54" t="s">
        <v>872</v>
      </c>
      <c r="Q54" t="s">
        <v>980</v>
      </c>
      <c r="R54" t="s">
        <v>254</v>
      </c>
      <c r="S54" t="s">
        <v>55</v>
      </c>
      <c r="T54" t="s">
        <v>55</v>
      </c>
      <c r="U54" t="s">
        <v>981</v>
      </c>
      <c r="V54" t="s">
        <v>56</v>
      </c>
      <c r="W54">
        <v>1.2</v>
      </c>
      <c r="X54">
        <v>24</v>
      </c>
      <c r="Y54">
        <v>0.83333299999999999</v>
      </c>
      <c r="Z54">
        <v>49.166670000000003</v>
      </c>
      <c r="AA54">
        <v>8.6999999999999993</v>
      </c>
      <c r="AB54">
        <v>2.8735629999999999</v>
      </c>
      <c r="AC54" t="s">
        <v>122</v>
      </c>
      <c r="AD54" t="s">
        <v>123</v>
      </c>
      <c r="AE54" t="s">
        <v>124</v>
      </c>
      <c r="AG54" t="s">
        <v>431</v>
      </c>
      <c r="AH54" s="1">
        <v>43832</v>
      </c>
      <c r="AI54" s="1">
        <v>43889</v>
      </c>
    </row>
    <row r="55" spans="1:35" x14ac:dyDescent="0.2">
      <c r="A55">
        <v>11</v>
      </c>
      <c r="B55" t="s">
        <v>1051</v>
      </c>
      <c r="C55">
        <v>54</v>
      </c>
      <c r="D55" t="s">
        <v>754</v>
      </c>
      <c r="E55" t="s">
        <v>755</v>
      </c>
      <c r="F55" t="s">
        <v>46</v>
      </c>
      <c r="G55">
        <v>1</v>
      </c>
      <c r="H55" t="s">
        <v>1052</v>
      </c>
      <c r="I55">
        <v>55</v>
      </c>
      <c r="J55" t="s">
        <v>71</v>
      </c>
      <c r="K55" t="s">
        <v>49</v>
      </c>
      <c r="L55" t="s">
        <v>50</v>
      </c>
      <c r="M55" t="s">
        <v>55</v>
      </c>
      <c r="N55" t="s">
        <v>52</v>
      </c>
      <c r="O55" s="1">
        <v>43510</v>
      </c>
      <c r="P55" t="s">
        <v>872</v>
      </c>
      <c r="Q55" t="s">
        <v>1053</v>
      </c>
      <c r="R55" t="s">
        <v>265</v>
      </c>
      <c r="S55" t="s">
        <v>55</v>
      </c>
      <c r="T55" t="s">
        <v>55</v>
      </c>
      <c r="U55" t="s">
        <v>981</v>
      </c>
      <c r="V55" t="s">
        <v>56</v>
      </c>
      <c r="W55">
        <v>0.192</v>
      </c>
      <c r="X55">
        <v>24</v>
      </c>
      <c r="Y55">
        <v>5.2083329999999997</v>
      </c>
      <c r="Z55">
        <v>44.791670000000003</v>
      </c>
      <c r="AA55">
        <v>15.4</v>
      </c>
      <c r="AB55">
        <v>1.6233770000000001</v>
      </c>
      <c r="AC55" t="s">
        <v>205</v>
      </c>
      <c r="AD55" t="s">
        <v>206</v>
      </c>
      <c r="AE55" t="s">
        <v>207</v>
      </c>
      <c r="AG55" t="s">
        <v>432</v>
      </c>
      <c r="AH55" s="1">
        <v>43832</v>
      </c>
      <c r="AI55" s="1">
        <v>43888</v>
      </c>
    </row>
    <row r="56" spans="1:35" x14ac:dyDescent="0.2">
      <c r="A56">
        <v>31</v>
      </c>
      <c r="B56" t="s">
        <v>1054</v>
      </c>
      <c r="C56">
        <v>55</v>
      </c>
      <c r="D56" t="s">
        <v>756</v>
      </c>
      <c r="E56" t="s">
        <v>757</v>
      </c>
      <c r="F56" t="s">
        <v>46</v>
      </c>
      <c r="G56">
        <v>2</v>
      </c>
      <c r="H56" t="s">
        <v>1052</v>
      </c>
      <c r="I56">
        <v>55</v>
      </c>
      <c r="J56" t="s">
        <v>71</v>
      </c>
      <c r="K56" t="s">
        <v>49</v>
      </c>
      <c r="L56" t="s">
        <v>50</v>
      </c>
      <c r="M56" t="s">
        <v>55</v>
      </c>
      <c r="N56" t="s">
        <v>52</v>
      </c>
      <c r="O56" s="1">
        <v>43510</v>
      </c>
      <c r="P56" t="s">
        <v>872</v>
      </c>
      <c r="Q56" t="s">
        <v>1053</v>
      </c>
      <c r="R56" t="s">
        <v>265</v>
      </c>
      <c r="S56" t="s">
        <v>55</v>
      </c>
      <c r="T56" t="s">
        <v>55</v>
      </c>
      <c r="U56" t="s">
        <v>981</v>
      </c>
      <c r="V56" t="s">
        <v>56</v>
      </c>
      <c r="W56">
        <v>0.8</v>
      </c>
      <c r="X56">
        <v>24</v>
      </c>
      <c r="Y56">
        <v>1.25</v>
      </c>
      <c r="Z56">
        <v>48.75</v>
      </c>
      <c r="AA56">
        <v>9.76</v>
      </c>
      <c r="AB56">
        <v>2.5614750000000002</v>
      </c>
      <c r="AC56" t="s">
        <v>161</v>
      </c>
      <c r="AD56" t="s">
        <v>162</v>
      </c>
      <c r="AE56" t="s">
        <v>163</v>
      </c>
      <c r="AG56" t="s">
        <v>434</v>
      </c>
      <c r="AH56" s="1">
        <v>43832</v>
      </c>
      <c r="AI56" s="1">
        <v>43901</v>
      </c>
    </row>
    <row r="57" spans="1:35" x14ac:dyDescent="0.2">
      <c r="A57">
        <v>49</v>
      </c>
      <c r="B57" t="s">
        <v>1055</v>
      </c>
      <c r="C57">
        <v>56</v>
      </c>
      <c r="D57" t="s">
        <v>758</v>
      </c>
      <c r="E57" t="s">
        <v>759</v>
      </c>
      <c r="F57" t="s">
        <v>46</v>
      </c>
      <c r="G57">
        <v>1</v>
      </c>
      <c r="H57" t="s">
        <v>1052</v>
      </c>
      <c r="I57">
        <v>55</v>
      </c>
      <c r="J57" t="s">
        <v>71</v>
      </c>
      <c r="K57" t="s">
        <v>49</v>
      </c>
      <c r="L57" t="s">
        <v>50</v>
      </c>
      <c r="M57" t="s">
        <v>55</v>
      </c>
      <c r="N57" t="s">
        <v>52</v>
      </c>
      <c r="O57" s="1">
        <v>43510</v>
      </c>
      <c r="P57" t="s">
        <v>872</v>
      </c>
      <c r="Q57" t="s">
        <v>1053</v>
      </c>
      <c r="R57" t="s">
        <v>265</v>
      </c>
      <c r="S57" t="s">
        <v>55</v>
      </c>
      <c r="T57" t="s">
        <v>55</v>
      </c>
      <c r="U57" t="s">
        <v>981</v>
      </c>
      <c r="V57" t="s">
        <v>56</v>
      </c>
      <c r="W57">
        <v>2.7</v>
      </c>
      <c r="X57">
        <v>24</v>
      </c>
      <c r="Y57">
        <v>0.37036999999999998</v>
      </c>
      <c r="Z57">
        <v>49.629629999999999</v>
      </c>
      <c r="AA57">
        <v>13</v>
      </c>
      <c r="AB57">
        <v>1.9230769999999999</v>
      </c>
      <c r="AC57" t="s">
        <v>268</v>
      </c>
      <c r="AD57" t="s">
        <v>269</v>
      </c>
      <c r="AE57" t="s">
        <v>270</v>
      </c>
      <c r="AG57" t="s">
        <v>435</v>
      </c>
      <c r="AH57" s="1">
        <v>43832</v>
      </c>
      <c r="AI57" s="1">
        <v>43888</v>
      </c>
    </row>
    <row r="58" spans="1:35" x14ac:dyDescent="0.2">
      <c r="A58">
        <v>28</v>
      </c>
      <c r="B58" t="s">
        <v>1056</v>
      </c>
      <c r="C58">
        <v>57</v>
      </c>
      <c r="D58" t="s">
        <v>760</v>
      </c>
      <c r="E58" t="s">
        <v>761</v>
      </c>
      <c r="F58" t="s">
        <v>46</v>
      </c>
      <c r="G58">
        <v>2</v>
      </c>
      <c r="H58" t="s">
        <v>1057</v>
      </c>
      <c r="I58">
        <v>59</v>
      </c>
      <c r="J58" t="s">
        <v>71</v>
      </c>
      <c r="K58" t="s">
        <v>49</v>
      </c>
      <c r="L58" t="s">
        <v>50</v>
      </c>
      <c r="M58" t="s">
        <v>51</v>
      </c>
      <c r="N58" t="s">
        <v>50</v>
      </c>
      <c r="O58" s="1">
        <v>43740</v>
      </c>
      <c r="P58" t="s">
        <v>872</v>
      </c>
      <c r="Q58" t="s">
        <v>964</v>
      </c>
      <c r="R58" t="s">
        <v>99</v>
      </c>
      <c r="S58" t="s">
        <v>55</v>
      </c>
      <c r="T58" t="s">
        <v>55</v>
      </c>
      <c r="U58" t="s">
        <v>975</v>
      </c>
      <c r="V58" s="21">
        <v>0.5</v>
      </c>
      <c r="W58">
        <v>0.59</v>
      </c>
      <c r="X58">
        <v>24</v>
      </c>
      <c r="Y58">
        <v>1.6949149999999999</v>
      </c>
      <c r="Z58">
        <v>48.305079999999997</v>
      </c>
      <c r="AA58">
        <v>6.1</v>
      </c>
      <c r="AB58">
        <v>4.0983609999999997</v>
      </c>
      <c r="AC58" t="s">
        <v>195</v>
      </c>
      <c r="AD58" t="s">
        <v>196</v>
      </c>
      <c r="AE58" t="s">
        <v>197</v>
      </c>
      <c r="AG58" t="s">
        <v>436</v>
      </c>
      <c r="AH58" s="1">
        <v>43832</v>
      </c>
      <c r="AI58" s="1">
        <v>43887</v>
      </c>
    </row>
    <row r="59" spans="1:35" x14ac:dyDescent="0.2">
      <c r="A59">
        <v>25</v>
      </c>
      <c r="B59" t="s">
        <v>1058</v>
      </c>
      <c r="C59">
        <v>58</v>
      </c>
      <c r="D59" t="s">
        <v>762</v>
      </c>
      <c r="E59" t="s">
        <v>763</v>
      </c>
      <c r="F59" t="s">
        <v>46</v>
      </c>
      <c r="G59">
        <v>1</v>
      </c>
      <c r="H59" t="s">
        <v>1057</v>
      </c>
      <c r="I59">
        <v>59</v>
      </c>
      <c r="J59" t="s">
        <v>71</v>
      </c>
      <c r="K59" t="s">
        <v>49</v>
      </c>
      <c r="L59" t="s">
        <v>50</v>
      </c>
      <c r="M59" t="s">
        <v>51</v>
      </c>
      <c r="N59" t="s">
        <v>50</v>
      </c>
      <c r="O59" s="1">
        <v>43740</v>
      </c>
      <c r="P59" t="s">
        <v>872</v>
      </c>
      <c r="Q59" t="s">
        <v>964</v>
      </c>
      <c r="R59" t="s">
        <v>99</v>
      </c>
      <c r="S59" t="s">
        <v>55</v>
      </c>
      <c r="T59" t="s">
        <v>55</v>
      </c>
      <c r="U59" t="s">
        <v>975</v>
      </c>
      <c r="V59" s="21">
        <v>0.5</v>
      </c>
      <c r="W59">
        <v>0.41199999999999998</v>
      </c>
      <c r="X59">
        <v>24</v>
      </c>
      <c r="Y59">
        <v>2.427184</v>
      </c>
      <c r="Z59">
        <v>47.57282</v>
      </c>
      <c r="AA59">
        <v>6.7</v>
      </c>
      <c r="AB59">
        <v>3.7313429999999999</v>
      </c>
      <c r="AC59" t="s">
        <v>274</v>
      </c>
      <c r="AD59" t="s">
        <v>275</v>
      </c>
      <c r="AE59" t="s">
        <v>276</v>
      </c>
      <c r="AG59" t="s">
        <v>439</v>
      </c>
      <c r="AH59" s="1">
        <v>43832</v>
      </c>
      <c r="AI59" s="1">
        <v>43891</v>
      </c>
    </row>
    <row r="60" spans="1:35" x14ac:dyDescent="0.2">
      <c r="A60">
        <v>9</v>
      </c>
      <c r="B60" t="s">
        <v>1059</v>
      </c>
      <c r="C60">
        <v>59</v>
      </c>
      <c r="D60" t="s">
        <v>764</v>
      </c>
      <c r="E60" t="s">
        <v>765</v>
      </c>
      <c r="F60" t="s">
        <v>46</v>
      </c>
      <c r="G60">
        <v>1</v>
      </c>
      <c r="H60" t="s">
        <v>1057</v>
      </c>
      <c r="I60">
        <v>59</v>
      </c>
      <c r="J60" t="s">
        <v>71</v>
      </c>
      <c r="K60" t="s">
        <v>49</v>
      </c>
      <c r="L60" t="s">
        <v>50</v>
      </c>
      <c r="M60" t="s">
        <v>51</v>
      </c>
      <c r="N60" t="s">
        <v>50</v>
      </c>
      <c r="O60" s="1">
        <v>43740</v>
      </c>
      <c r="P60" t="s">
        <v>872</v>
      </c>
      <c r="Q60" t="s">
        <v>964</v>
      </c>
      <c r="R60" t="s">
        <v>99</v>
      </c>
      <c r="S60" t="s">
        <v>55</v>
      </c>
      <c r="T60" t="s">
        <v>55</v>
      </c>
      <c r="U60" t="s">
        <v>975</v>
      </c>
      <c r="V60" s="21">
        <v>0.5</v>
      </c>
      <c r="W60">
        <v>0.17</v>
      </c>
      <c r="X60">
        <v>24</v>
      </c>
      <c r="Y60">
        <v>5.8823530000000002</v>
      </c>
      <c r="Z60">
        <v>44.117649999999998</v>
      </c>
      <c r="AA60">
        <v>11.6</v>
      </c>
      <c r="AB60">
        <v>2.1551719999999999</v>
      </c>
      <c r="AC60" t="s">
        <v>278</v>
      </c>
      <c r="AD60" t="s">
        <v>279</v>
      </c>
      <c r="AE60" t="s">
        <v>280</v>
      </c>
      <c r="AG60" t="s">
        <v>440</v>
      </c>
      <c r="AH60" s="1">
        <v>43832</v>
      </c>
      <c r="AI60" s="1">
        <v>43887</v>
      </c>
    </row>
    <row r="61" spans="1:35" x14ac:dyDescent="0.2">
      <c r="A61">
        <v>21</v>
      </c>
      <c r="B61" t="s">
        <v>1060</v>
      </c>
      <c r="C61">
        <v>60</v>
      </c>
      <c r="D61" t="s">
        <v>766</v>
      </c>
      <c r="E61" t="s">
        <v>767</v>
      </c>
      <c r="F61" t="s">
        <v>97</v>
      </c>
      <c r="G61">
        <v>1</v>
      </c>
      <c r="H61" t="s">
        <v>1061</v>
      </c>
      <c r="I61">
        <v>52</v>
      </c>
      <c r="J61" t="s">
        <v>71</v>
      </c>
      <c r="K61" t="s">
        <v>49</v>
      </c>
      <c r="L61" t="s">
        <v>50</v>
      </c>
      <c r="M61" t="s">
        <v>51</v>
      </c>
      <c r="N61" t="s">
        <v>50</v>
      </c>
      <c r="O61" s="1">
        <v>43759</v>
      </c>
      <c r="P61" t="s">
        <v>919</v>
      </c>
      <c r="Q61" t="s">
        <v>964</v>
      </c>
      <c r="R61" t="s">
        <v>99</v>
      </c>
      <c r="S61" t="s">
        <v>55</v>
      </c>
      <c r="T61" t="s">
        <v>55</v>
      </c>
      <c r="U61" t="s">
        <v>981</v>
      </c>
      <c r="V61" t="s">
        <v>73</v>
      </c>
      <c r="W61">
        <v>0.28999999999999998</v>
      </c>
      <c r="X61">
        <v>24</v>
      </c>
      <c r="Y61">
        <v>3.4482759999999999</v>
      </c>
      <c r="Z61">
        <v>46.551720000000003</v>
      </c>
      <c r="AA61">
        <v>9.08</v>
      </c>
      <c r="AB61">
        <v>2.753304</v>
      </c>
      <c r="AC61" t="s">
        <v>283</v>
      </c>
      <c r="AD61" t="s">
        <v>284</v>
      </c>
      <c r="AE61" t="s">
        <v>285</v>
      </c>
      <c r="AG61" t="s">
        <v>441</v>
      </c>
      <c r="AH61" s="1">
        <v>43832</v>
      </c>
      <c r="AI61" s="1">
        <v>43889</v>
      </c>
    </row>
    <row r="62" spans="1:35" x14ac:dyDescent="0.2">
      <c r="A62">
        <v>21</v>
      </c>
      <c r="B62" t="s">
        <v>1062</v>
      </c>
      <c r="C62">
        <v>61</v>
      </c>
      <c r="D62" t="s">
        <v>768</v>
      </c>
      <c r="E62" t="s">
        <v>769</v>
      </c>
      <c r="F62" t="s">
        <v>97</v>
      </c>
      <c r="G62">
        <v>2</v>
      </c>
      <c r="H62" t="s">
        <v>1061</v>
      </c>
      <c r="I62">
        <v>52</v>
      </c>
      <c r="J62" t="s">
        <v>71</v>
      </c>
      <c r="K62" t="s">
        <v>49</v>
      </c>
      <c r="L62" t="s">
        <v>50</v>
      </c>
      <c r="M62" t="s">
        <v>51</v>
      </c>
      <c r="N62" t="s">
        <v>50</v>
      </c>
      <c r="O62" s="1">
        <v>43759</v>
      </c>
      <c r="P62" t="s">
        <v>919</v>
      </c>
      <c r="Q62" t="s">
        <v>964</v>
      </c>
      <c r="R62" t="s">
        <v>99</v>
      </c>
      <c r="S62" t="s">
        <v>55</v>
      </c>
      <c r="T62" t="s">
        <v>55</v>
      </c>
      <c r="U62" t="s">
        <v>981</v>
      </c>
      <c r="V62" t="s">
        <v>73</v>
      </c>
      <c r="W62">
        <v>0.4</v>
      </c>
      <c r="X62">
        <v>24</v>
      </c>
      <c r="Y62">
        <v>2.5</v>
      </c>
      <c r="Z62">
        <v>47.5</v>
      </c>
      <c r="AA62">
        <v>11.3</v>
      </c>
      <c r="AB62">
        <v>2.2123889999999999</v>
      </c>
      <c r="AC62" t="s">
        <v>283</v>
      </c>
      <c r="AD62" t="s">
        <v>284</v>
      </c>
      <c r="AE62" t="s">
        <v>285</v>
      </c>
      <c r="AG62" t="s">
        <v>443</v>
      </c>
      <c r="AH62" s="1">
        <v>43832</v>
      </c>
      <c r="AI62" s="1">
        <v>43887</v>
      </c>
    </row>
    <row r="63" spans="1:35" x14ac:dyDescent="0.2">
      <c r="A63">
        <v>5</v>
      </c>
      <c r="B63" t="s">
        <v>1063</v>
      </c>
      <c r="C63">
        <v>62</v>
      </c>
      <c r="D63" t="s">
        <v>770</v>
      </c>
      <c r="E63" t="s">
        <v>771</v>
      </c>
      <c r="F63" t="s">
        <v>97</v>
      </c>
      <c r="G63">
        <v>2</v>
      </c>
      <c r="H63" t="s">
        <v>1061</v>
      </c>
      <c r="I63">
        <v>52</v>
      </c>
      <c r="J63" t="s">
        <v>71</v>
      </c>
      <c r="K63" t="s">
        <v>49</v>
      </c>
      <c r="L63" t="s">
        <v>50</v>
      </c>
      <c r="M63" t="s">
        <v>51</v>
      </c>
      <c r="N63" t="s">
        <v>50</v>
      </c>
      <c r="O63" s="1">
        <v>43759</v>
      </c>
      <c r="P63" t="s">
        <v>919</v>
      </c>
      <c r="Q63" t="s">
        <v>964</v>
      </c>
      <c r="R63" t="s">
        <v>99</v>
      </c>
      <c r="S63" t="s">
        <v>55</v>
      </c>
      <c r="T63" t="s">
        <v>55</v>
      </c>
      <c r="U63" t="s">
        <v>981</v>
      </c>
      <c r="V63" t="s">
        <v>73</v>
      </c>
      <c r="W63">
        <v>0.13200000000000001</v>
      </c>
      <c r="X63">
        <v>24</v>
      </c>
      <c r="Y63">
        <v>7.5757580000000004</v>
      </c>
      <c r="Z63">
        <v>42.424239999999998</v>
      </c>
      <c r="AA63">
        <v>12.7</v>
      </c>
      <c r="AB63">
        <v>1.968504</v>
      </c>
      <c r="AC63" t="s">
        <v>88</v>
      </c>
      <c r="AD63" t="s">
        <v>89</v>
      </c>
      <c r="AE63" t="s">
        <v>90</v>
      </c>
      <c r="AG63" t="s">
        <v>444</v>
      </c>
      <c r="AH63" s="1">
        <v>43832</v>
      </c>
      <c r="AI63" s="1">
        <v>43898</v>
      </c>
    </row>
    <row r="64" spans="1:35" x14ac:dyDescent="0.2">
      <c r="A64">
        <v>48</v>
      </c>
      <c r="B64" t="s">
        <v>1064</v>
      </c>
      <c r="C64">
        <v>63</v>
      </c>
      <c r="D64" t="s">
        <v>772</v>
      </c>
      <c r="E64" t="s">
        <v>773</v>
      </c>
      <c r="F64" t="s">
        <v>46</v>
      </c>
      <c r="G64">
        <v>1</v>
      </c>
      <c r="H64" t="s">
        <v>1065</v>
      </c>
      <c r="I64">
        <v>73</v>
      </c>
      <c r="J64" t="s">
        <v>48</v>
      </c>
      <c r="K64" t="s">
        <v>49</v>
      </c>
      <c r="L64" t="s">
        <v>52</v>
      </c>
      <c r="M64" t="s">
        <v>51</v>
      </c>
      <c r="N64" t="s">
        <v>50</v>
      </c>
      <c r="O64" s="1">
        <v>43515</v>
      </c>
      <c r="P64" t="s">
        <v>872</v>
      </c>
      <c r="Q64" t="s">
        <v>980</v>
      </c>
      <c r="R64" t="s">
        <v>99</v>
      </c>
      <c r="S64" t="s">
        <v>52</v>
      </c>
      <c r="T64" t="s">
        <v>55</v>
      </c>
      <c r="U64" t="s">
        <v>975</v>
      </c>
      <c r="V64" t="s">
        <v>56</v>
      </c>
      <c r="W64">
        <v>2.64</v>
      </c>
      <c r="X64">
        <v>24</v>
      </c>
      <c r="Y64">
        <v>0.37878800000000001</v>
      </c>
      <c r="Z64">
        <v>49.621209999999998</v>
      </c>
      <c r="AA64">
        <v>10.8</v>
      </c>
      <c r="AB64">
        <v>2.3148149999999998</v>
      </c>
      <c r="AC64" t="s">
        <v>290</v>
      </c>
      <c r="AD64" t="s">
        <v>291</v>
      </c>
      <c r="AE64" t="s">
        <v>292</v>
      </c>
      <c r="AG64" t="s">
        <v>445</v>
      </c>
      <c r="AH64" s="1">
        <v>43832</v>
      </c>
      <c r="AI64" s="1">
        <v>43888</v>
      </c>
    </row>
    <row r="65" spans="1:35" x14ac:dyDescent="0.2">
      <c r="A65">
        <v>52</v>
      </c>
      <c r="B65" t="s">
        <v>1066</v>
      </c>
      <c r="C65">
        <v>64</v>
      </c>
      <c r="D65" t="s">
        <v>774</v>
      </c>
      <c r="E65" t="s">
        <v>775</v>
      </c>
      <c r="F65" t="s">
        <v>46</v>
      </c>
      <c r="G65">
        <v>1</v>
      </c>
      <c r="H65" t="s">
        <v>1065</v>
      </c>
      <c r="I65">
        <v>73</v>
      </c>
      <c r="J65" t="s">
        <v>48</v>
      </c>
      <c r="K65" t="s">
        <v>49</v>
      </c>
      <c r="L65" t="s">
        <v>52</v>
      </c>
      <c r="M65" t="s">
        <v>51</v>
      </c>
      <c r="N65" t="s">
        <v>50</v>
      </c>
      <c r="O65" s="1">
        <v>43515</v>
      </c>
      <c r="P65" t="s">
        <v>872</v>
      </c>
      <c r="Q65" t="s">
        <v>980</v>
      </c>
      <c r="R65" t="s">
        <v>99</v>
      </c>
      <c r="S65" t="s">
        <v>52</v>
      </c>
      <c r="T65" t="s">
        <v>55</v>
      </c>
      <c r="U65" t="s">
        <v>975</v>
      </c>
      <c r="V65" t="s">
        <v>56</v>
      </c>
      <c r="W65">
        <v>4.16</v>
      </c>
      <c r="X65">
        <v>24</v>
      </c>
      <c r="Y65">
        <v>0.24038499999999999</v>
      </c>
      <c r="Z65">
        <v>49.759619999999998</v>
      </c>
      <c r="AA65">
        <v>2.86</v>
      </c>
      <c r="AB65">
        <v>8.7412589999999994</v>
      </c>
      <c r="AC65" t="s">
        <v>294</v>
      </c>
      <c r="AD65" t="s">
        <v>295</v>
      </c>
      <c r="AE65" t="s">
        <v>296</v>
      </c>
      <c r="AG65" t="s">
        <v>448</v>
      </c>
      <c r="AH65" s="1">
        <v>43832</v>
      </c>
      <c r="AI65" s="1">
        <v>43891</v>
      </c>
    </row>
    <row r="66" spans="1:35" x14ac:dyDescent="0.2">
      <c r="A66">
        <v>47</v>
      </c>
      <c r="B66" t="s">
        <v>1067</v>
      </c>
      <c r="C66">
        <v>65</v>
      </c>
      <c r="D66" t="s">
        <v>776</v>
      </c>
      <c r="E66" t="s">
        <v>777</v>
      </c>
      <c r="F66" t="s">
        <v>46</v>
      </c>
      <c r="G66">
        <v>1</v>
      </c>
      <c r="H66" t="s">
        <v>1068</v>
      </c>
      <c r="I66">
        <v>56</v>
      </c>
      <c r="J66" t="s">
        <v>71</v>
      </c>
      <c r="K66" t="s">
        <v>49</v>
      </c>
      <c r="L66" t="s">
        <v>50</v>
      </c>
      <c r="M66" t="s">
        <v>51</v>
      </c>
      <c r="N66" t="s">
        <v>52</v>
      </c>
      <c r="O66" s="1">
        <v>43565</v>
      </c>
      <c r="P66" t="s">
        <v>872</v>
      </c>
      <c r="Q66" t="s">
        <v>964</v>
      </c>
      <c r="R66" t="s">
        <v>87</v>
      </c>
      <c r="S66" t="s">
        <v>52</v>
      </c>
      <c r="T66" t="s">
        <v>55</v>
      </c>
      <c r="U66" t="s">
        <v>981</v>
      </c>
      <c r="V66" t="s">
        <v>299</v>
      </c>
      <c r="W66">
        <v>1.97</v>
      </c>
      <c r="X66">
        <v>24</v>
      </c>
      <c r="Y66">
        <v>0.50761400000000001</v>
      </c>
      <c r="Z66">
        <v>49.49239</v>
      </c>
      <c r="AA66">
        <v>8.5</v>
      </c>
      <c r="AB66">
        <v>2.941176</v>
      </c>
      <c r="AC66" t="s">
        <v>300</v>
      </c>
      <c r="AD66" t="s">
        <v>301</v>
      </c>
      <c r="AE66" t="s">
        <v>302</v>
      </c>
      <c r="AG66" t="s">
        <v>449</v>
      </c>
      <c r="AH66" s="1">
        <v>43832</v>
      </c>
      <c r="AI66" s="1">
        <v>43898</v>
      </c>
    </row>
    <row r="67" spans="1:35" x14ac:dyDescent="0.2">
      <c r="A67">
        <v>52</v>
      </c>
      <c r="B67" t="s">
        <v>1069</v>
      </c>
      <c r="C67">
        <v>66</v>
      </c>
      <c r="D67" t="s">
        <v>778</v>
      </c>
      <c r="E67" t="s">
        <v>779</v>
      </c>
      <c r="F67" t="s">
        <v>46</v>
      </c>
      <c r="G67">
        <v>2</v>
      </c>
      <c r="H67" t="s">
        <v>1068</v>
      </c>
      <c r="I67">
        <v>56</v>
      </c>
      <c r="J67" t="s">
        <v>71</v>
      </c>
      <c r="K67" t="s">
        <v>49</v>
      </c>
      <c r="L67" t="s">
        <v>50</v>
      </c>
      <c r="M67" t="s">
        <v>51</v>
      </c>
      <c r="N67" t="s">
        <v>52</v>
      </c>
      <c r="O67" s="1">
        <v>43565</v>
      </c>
      <c r="P67" t="s">
        <v>872</v>
      </c>
      <c r="Q67" t="s">
        <v>964</v>
      </c>
      <c r="R67" t="s">
        <v>87</v>
      </c>
      <c r="S67" t="s">
        <v>52</v>
      </c>
      <c r="T67" t="s">
        <v>55</v>
      </c>
      <c r="U67" t="s">
        <v>981</v>
      </c>
      <c r="V67" t="s">
        <v>299</v>
      </c>
      <c r="W67">
        <v>2.8</v>
      </c>
      <c r="X67">
        <v>24</v>
      </c>
      <c r="Y67">
        <v>0.35714299999999999</v>
      </c>
      <c r="Z67">
        <v>49.642859999999999</v>
      </c>
      <c r="AA67">
        <v>24.8</v>
      </c>
      <c r="AB67">
        <v>1.008065</v>
      </c>
      <c r="AC67" t="s">
        <v>294</v>
      </c>
      <c r="AD67" t="s">
        <v>295</v>
      </c>
      <c r="AE67" t="s">
        <v>296</v>
      </c>
      <c r="AG67" t="s">
        <v>451</v>
      </c>
      <c r="AH67" s="1">
        <v>43832</v>
      </c>
      <c r="AI67" s="1">
        <v>43888</v>
      </c>
    </row>
    <row r="68" spans="1:35" x14ac:dyDescent="0.2">
      <c r="A68">
        <v>46</v>
      </c>
      <c r="B68" t="s">
        <v>1070</v>
      </c>
      <c r="C68">
        <v>67</v>
      </c>
      <c r="D68" t="s">
        <v>780</v>
      </c>
      <c r="E68" t="s">
        <v>781</v>
      </c>
      <c r="F68" t="s">
        <v>46</v>
      </c>
      <c r="G68">
        <v>1</v>
      </c>
      <c r="H68" t="s">
        <v>1068</v>
      </c>
      <c r="I68">
        <v>56</v>
      </c>
      <c r="J68" t="s">
        <v>71</v>
      </c>
      <c r="K68" t="s">
        <v>49</v>
      </c>
      <c r="L68" t="s">
        <v>50</v>
      </c>
      <c r="M68" t="s">
        <v>51</v>
      </c>
      <c r="N68" t="s">
        <v>52</v>
      </c>
      <c r="O68" s="1">
        <v>43565</v>
      </c>
      <c r="P68" t="s">
        <v>872</v>
      </c>
      <c r="Q68" t="s">
        <v>964</v>
      </c>
      <c r="R68" t="s">
        <v>87</v>
      </c>
      <c r="S68" t="s">
        <v>52</v>
      </c>
      <c r="T68" t="s">
        <v>55</v>
      </c>
      <c r="U68" t="s">
        <v>981</v>
      </c>
      <c r="V68" t="s">
        <v>299</v>
      </c>
      <c r="W68">
        <v>1.88</v>
      </c>
      <c r="X68">
        <v>24</v>
      </c>
      <c r="Y68">
        <v>0.53191500000000003</v>
      </c>
      <c r="Z68">
        <v>49.468089999999997</v>
      </c>
      <c r="AA68">
        <v>8.9600000000000009</v>
      </c>
      <c r="AB68">
        <v>2.7901790000000002</v>
      </c>
      <c r="AC68" t="s">
        <v>305</v>
      </c>
      <c r="AD68" t="s">
        <v>306</v>
      </c>
      <c r="AE68" t="s">
        <v>307</v>
      </c>
      <c r="AG68" t="s">
        <v>452</v>
      </c>
      <c r="AH68" s="1">
        <v>43832</v>
      </c>
      <c r="AI68" s="1">
        <v>43887</v>
      </c>
    </row>
    <row r="69" spans="1:35" x14ac:dyDescent="0.2">
      <c r="A69">
        <v>35</v>
      </c>
      <c r="B69" t="s">
        <v>1071</v>
      </c>
      <c r="C69">
        <v>68</v>
      </c>
      <c r="D69" t="s">
        <v>782</v>
      </c>
      <c r="E69" t="s">
        <v>783</v>
      </c>
      <c r="F69" t="s">
        <v>46</v>
      </c>
      <c r="G69">
        <v>1</v>
      </c>
      <c r="H69" t="s">
        <v>1072</v>
      </c>
      <c r="I69">
        <v>60</v>
      </c>
      <c r="J69" t="s">
        <v>71</v>
      </c>
      <c r="K69" t="s">
        <v>49</v>
      </c>
      <c r="L69" t="s">
        <v>52</v>
      </c>
      <c r="M69" t="s">
        <v>51</v>
      </c>
      <c r="N69" t="s">
        <v>52</v>
      </c>
      <c r="O69" s="1">
        <v>43608</v>
      </c>
      <c r="P69" t="s">
        <v>872</v>
      </c>
      <c r="Q69" t="s">
        <v>964</v>
      </c>
      <c r="R69" t="s">
        <v>87</v>
      </c>
      <c r="S69" t="s">
        <v>55</v>
      </c>
      <c r="T69" t="s">
        <v>55</v>
      </c>
      <c r="U69" t="s">
        <v>981</v>
      </c>
      <c r="V69" s="21">
        <v>0.9</v>
      </c>
      <c r="W69">
        <v>0.84599999999999997</v>
      </c>
      <c r="X69">
        <v>24</v>
      </c>
      <c r="Y69">
        <v>1.1820329999999999</v>
      </c>
      <c r="Z69">
        <v>48.817970000000003</v>
      </c>
      <c r="AA69">
        <v>12.7</v>
      </c>
      <c r="AB69">
        <v>1.968504</v>
      </c>
      <c r="AC69" t="s">
        <v>141</v>
      </c>
      <c r="AD69" t="s">
        <v>142</v>
      </c>
      <c r="AE69" t="s">
        <v>143</v>
      </c>
      <c r="AG69" t="s">
        <v>453</v>
      </c>
      <c r="AH69" s="1">
        <v>43832</v>
      </c>
      <c r="AI69" s="1">
        <v>43901</v>
      </c>
    </row>
    <row r="70" spans="1:35" x14ac:dyDescent="0.2">
      <c r="A70">
        <v>36</v>
      </c>
      <c r="B70" t="s">
        <v>1073</v>
      </c>
      <c r="C70">
        <v>69</v>
      </c>
      <c r="D70" t="s">
        <v>784</v>
      </c>
      <c r="E70" t="s">
        <v>785</v>
      </c>
      <c r="F70" t="s">
        <v>46</v>
      </c>
      <c r="G70">
        <v>2</v>
      </c>
      <c r="H70" t="s">
        <v>1072</v>
      </c>
      <c r="I70">
        <v>60</v>
      </c>
      <c r="J70" t="s">
        <v>71</v>
      </c>
      <c r="K70" t="s">
        <v>49</v>
      </c>
      <c r="L70" t="s">
        <v>52</v>
      </c>
      <c r="M70" t="s">
        <v>51</v>
      </c>
      <c r="N70" t="s">
        <v>52</v>
      </c>
      <c r="O70" s="1">
        <v>43608</v>
      </c>
      <c r="P70" t="s">
        <v>872</v>
      </c>
      <c r="Q70" t="s">
        <v>964</v>
      </c>
      <c r="R70" t="s">
        <v>87</v>
      </c>
      <c r="S70" t="s">
        <v>55</v>
      </c>
      <c r="T70" t="s">
        <v>55</v>
      </c>
      <c r="U70" t="s">
        <v>981</v>
      </c>
      <c r="V70" s="21">
        <v>0.9</v>
      </c>
      <c r="W70">
        <v>1.04</v>
      </c>
      <c r="X70">
        <v>24</v>
      </c>
      <c r="Y70">
        <v>0.961538</v>
      </c>
      <c r="Z70">
        <v>49.038460000000001</v>
      </c>
      <c r="AA70">
        <v>9.2799999999999994</v>
      </c>
      <c r="AB70">
        <v>2.6939660000000001</v>
      </c>
      <c r="AC70" t="s">
        <v>184</v>
      </c>
      <c r="AD70" t="s">
        <v>185</v>
      </c>
      <c r="AE70" t="s">
        <v>186</v>
      </c>
      <c r="AG70" t="s">
        <v>456</v>
      </c>
      <c r="AH70" s="1">
        <v>43832</v>
      </c>
      <c r="AI70" s="1">
        <v>43901</v>
      </c>
    </row>
    <row r="71" spans="1:35" x14ac:dyDescent="0.2">
      <c r="A71">
        <v>43</v>
      </c>
      <c r="B71" t="s">
        <v>1074</v>
      </c>
      <c r="C71">
        <v>70</v>
      </c>
      <c r="D71" t="s">
        <v>786</v>
      </c>
      <c r="E71" t="s">
        <v>787</v>
      </c>
      <c r="F71" t="s">
        <v>46</v>
      </c>
      <c r="G71">
        <v>1</v>
      </c>
      <c r="H71" t="s">
        <v>1072</v>
      </c>
      <c r="I71">
        <v>60</v>
      </c>
      <c r="J71" t="s">
        <v>71</v>
      </c>
      <c r="K71" t="s">
        <v>49</v>
      </c>
      <c r="L71" t="s">
        <v>52</v>
      </c>
      <c r="M71" t="s">
        <v>51</v>
      </c>
      <c r="N71" t="s">
        <v>52</v>
      </c>
      <c r="O71" s="1">
        <v>43608</v>
      </c>
      <c r="P71" t="s">
        <v>872</v>
      </c>
      <c r="Q71" t="s">
        <v>964</v>
      </c>
      <c r="R71" t="s">
        <v>87</v>
      </c>
      <c r="S71" t="s">
        <v>55</v>
      </c>
      <c r="T71" t="s">
        <v>55</v>
      </c>
      <c r="U71" t="s">
        <v>981</v>
      </c>
      <c r="V71" s="21">
        <v>0.9</v>
      </c>
      <c r="W71">
        <v>1.26</v>
      </c>
      <c r="X71">
        <v>24</v>
      </c>
      <c r="Y71">
        <v>0.793651</v>
      </c>
      <c r="Z71">
        <v>49.20635</v>
      </c>
      <c r="AA71">
        <v>6.72</v>
      </c>
      <c r="AB71">
        <v>3.7202380000000002</v>
      </c>
      <c r="AC71" t="s">
        <v>313</v>
      </c>
      <c r="AD71" t="s">
        <v>314</v>
      </c>
      <c r="AE71" t="s">
        <v>315</v>
      </c>
      <c r="AG71" t="s">
        <v>457</v>
      </c>
      <c r="AH71" s="1">
        <v>43832</v>
      </c>
      <c r="AI71" s="1">
        <v>43898</v>
      </c>
    </row>
    <row r="72" spans="1:35" x14ac:dyDescent="0.2">
      <c r="A72">
        <v>20</v>
      </c>
      <c r="B72" t="s">
        <v>1075</v>
      </c>
      <c r="C72">
        <v>71</v>
      </c>
      <c r="D72" t="s">
        <v>788</v>
      </c>
      <c r="E72" t="s">
        <v>789</v>
      </c>
      <c r="F72" t="s">
        <v>46</v>
      </c>
      <c r="G72">
        <v>2</v>
      </c>
      <c r="H72" t="s">
        <v>1076</v>
      </c>
      <c r="I72">
        <v>65</v>
      </c>
      <c r="J72" t="s">
        <v>48</v>
      </c>
      <c r="K72" t="s">
        <v>49</v>
      </c>
      <c r="L72" t="s">
        <v>52</v>
      </c>
      <c r="M72" t="s">
        <v>51</v>
      </c>
      <c r="N72" t="s">
        <v>52</v>
      </c>
      <c r="O72" s="1">
        <v>43635</v>
      </c>
      <c r="P72" t="s">
        <v>872</v>
      </c>
      <c r="Q72" t="s">
        <v>980</v>
      </c>
      <c r="R72" t="s">
        <v>318</v>
      </c>
      <c r="S72" t="s">
        <v>55</v>
      </c>
      <c r="T72" t="s">
        <v>52</v>
      </c>
      <c r="U72" t="s">
        <v>975</v>
      </c>
      <c r="V72" s="21">
        <v>0.1</v>
      </c>
      <c r="W72">
        <v>0.35599999999999998</v>
      </c>
      <c r="X72">
        <v>24</v>
      </c>
      <c r="Y72">
        <v>2.808989</v>
      </c>
      <c r="Z72">
        <v>47.191009999999999</v>
      </c>
      <c r="AA72">
        <v>10.3</v>
      </c>
      <c r="AB72">
        <v>2.427184</v>
      </c>
      <c r="AC72" t="s">
        <v>188</v>
      </c>
      <c r="AD72" t="s">
        <v>189</v>
      </c>
      <c r="AE72" t="s">
        <v>190</v>
      </c>
      <c r="AG72" t="s">
        <v>458</v>
      </c>
      <c r="AH72" s="1">
        <v>43833</v>
      </c>
      <c r="AI72" s="1">
        <v>43901</v>
      </c>
    </row>
    <row r="73" spans="1:35" x14ac:dyDescent="0.2">
      <c r="A73">
        <v>39</v>
      </c>
      <c r="B73" t="s">
        <v>1077</v>
      </c>
      <c r="C73">
        <v>72</v>
      </c>
      <c r="D73" t="s">
        <v>790</v>
      </c>
      <c r="E73" t="s">
        <v>791</v>
      </c>
      <c r="F73" t="s">
        <v>46</v>
      </c>
      <c r="G73">
        <v>1</v>
      </c>
      <c r="H73" t="s">
        <v>1076</v>
      </c>
      <c r="I73">
        <v>65</v>
      </c>
      <c r="J73" t="s">
        <v>48</v>
      </c>
      <c r="K73" t="s">
        <v>49</v>
      </c>
      <c r="L73" t="s">
        <v>52</v>
      </c>
      <c r="M73" t="s">
        <v>51</v>
      </c>
      <c r="N73" t="s">
        <v>52</v>
      </c>
      <c r="O73" s="1">
        <v>43635</v>
      </c>
      <c r="P73" t="s">
        <v>872</v>
      </c>
      <c r="Q73" t="s">
        <v>980</v>
      </c>
      <c r="R73" t="s">
        <v>318</v>
      </c>
      <c r="S73" t="s">
        <v>55</v>
      </c>
      <c r="T73" t="s">
        <v>52</v>
      </c>
      <c r="U73" t="s">
        <v>975</v>
      </c>
      <c r="V73" s="21">
        <v>0.1</v>
      </c>
      <c r="W73">
        <v>1.04</v>
      </c>
      <c r="X73">
        <v>24</v>
      </c>
      <c r="Y73">
        <v>0.961538</v>
      </c>
      <c r="Z73">
        <v>49.038460000000001</v>
      </c>
      <c r="AA73">
        <v>11.5</v>
      </c>
      <c r="AB73">
        <v>2.1739130000000002</v>
      </c>
      <c r="AC73" t="s">
        <v>320</v>
      </c>
      <c r="AD73" t="s">
        <v>321</v>
      </c>
      <c r="AE73" t="s">
        <v>322</v>
      </c>
      <c r="AG73" t="s">
        <v>461</v>
      </c>
      <c r="AH73" s="1">
        <v>43833</v>
      </c>
      <c r="AI73" s="1">
        <v>43888</v>
      </c>
    </row>
    <row r="74" spans="1:35" x14ac:dyDescent="0.2">
      <c r="A74">
        <v>50</v>
      </c>
      <c r="B74" t="s">
        <v>1078</v>
      </c>
      <c r="C74">
        <v>73</v>
      </c>
      <c r="D74" t="s">
        <v>792</v>
      </c>
      <c r="E74" t="s">
        <v>793</v>
      </c>
      <c r="F74" t="s">
        <v>46</v>
      </c>
      <c r="G74">
        <v>2</v>
      </c>
      <c r="H74" t="s">
        <v>1079</v>
      </c>
      <c r="I74">
        <v>71</v>
      </c>
      <c r="J74" t="s">
        <v>48</v>
      </c>
      <c r="K74" t="s">
        <v>455</v>
      </c>
      <c r="L74" t="s">
        <v>52</v>
      </c>
      <c r="M74" t="s">
        <v>51</v>
      </c>
      <c r="N74" t="s">
        <v>52</v>
      </c>
      <c r="O74" s="1">
        <v>43657</v>
      </c>
      <c r="P74" t="s">
        <v>872</v>
      </c>
      <c r="Q74" t="s">
        <v>964</v>
      </c>
      <c r="R74" t="s">
        <v>1080</v>
      </c>
      <c r="S74" t="s">
        <v>52</v>
      </c>
      <c r="T74" t="s">
        <v>52</v>
      </c>
      <c r="U74" t="s">
        <v>981</v>
      </c>
      <c r="V74" t="s">
        <v>513</v>
      </c>
      <c r="W74">
        <v>1.92</v>
      </c>
      <c r="X74">
        <v>24</v>
      </c>
      <c r="Y74">
        <v>0.52083299999999999</v>
      </c>
      <c r="Z74">
        <v>49.479170000000003</v>
      </c>
      <c r="AA74">
        <v>6.4</v>
      </c>
      <c r="AB74">
        <v>3.90625</v>
      </c>
      <c r="AC74" t="s">
        <v>151</v>
      </c>
      <c r="AD74" t="s">
        <v>152</v>
      </c>
      <c r="AE74" t="s">
        <v>153</v>
      </c>
      <c r="AG74" t="s">
        <v>462</v>
      </c>
      <c r="AH74" s="1">
        <v>43833</v>
      </c>
      <c r="AI74" s="1">
        <v>43898</v>
      </c>
    </row>
    <row r="75" spans="1:35" x14ac:dyDescent="0.2">
      <c r="A75">
        <v>51</v>
      </c>
      <c r="B75" t="s">
        <v>1081</v>
      </c>
      <c r="C75">
        <v>74</v>
      </c>
      <c r="D75" t="s">
        <v>794</v>
      </c>
      <c r="E75" t="s">
        <v>795</v>
      </c>
      <c r="F75" t="s">
        <v>46</v>
      </c>
      <c r="G75">
        <v>2</v>
      </c>
      <c r="H75" t="s">
        <v>1079</v>
      </c>
      <c r="I75">
        <v>71</v>
      </c>
      <c r="J75" t="s">
        <v>48</v>
      </c>
      <c r="K75" t="s">
        <v>455</v>
      </c>
      <c r="L75" t="s">
        <v>52</v>
      </c>
      <c r="M75" t="s">
        <v>51</v>
      </c>
      <c r="N75" t="s">
        <v>52</v>
      </c>
      <c r="O75" s="1">
        <v>43657</v>
      </c>
      <c r="P75" t="s">
        <v>872</v>
      </c>
      <c r="Q75" t="s">
        <v>964</v>
      </c>
      <c r="R75" t="s">
        <v>1080</v>
      </c>
      <c r="S75" t="s">
        <v>52</v>
      </c>
      <c r="T75" t="s">
        <v>52</v>
      </c>
      <c r="U75" t="s">
        <v>981</v>
      </c>
      <c r="V75" t="s">
        <v>513</v>
      </c>
      <c r="W75">
        <v>1.97</v>
      </c>
      <c r="X75">
        <v>24</v>
      </c>
      <c r="Y75">
        <v>0.50761400000000001</v>
      </c>
      <c r="Z75">
        <v>49.49239</v>
      </c>
      <c r="AA75">
        <v>3.6</v>
      </c>
      <c r="AB75">
        <v>6.9444439999999998</v>
      </c>
      <c r="AC75" t="s">
        <v>201</v>
      </c>
      <c r="AD75" t="s">
        <v>202</v>
      </c>
      <c r="AE75" t="s">
        <v>203</v>
      </c>
      <c r="AG75" t="s">
        <v>463</v>
      </c>
      <c r="AH75" s="1">
        <v>43833</v>
      </c>
      <c r="AI75" s="1">
        <v>43888</v>
      </c>
    </row>
    <row r="76" spans="1:35" x14ac:dyDescent="0.2">
      <c r="A76">
        <v>44</v>
      </c>
      <c r="B76" t="s">
        <v>1082</v>
      </c>
      <c r="C76">
        <v>75</v>
      </c>
      <c r="D76" t="s">
        <v>796</v>
      </c>
      <c r="E76" t="s">
        <v>797</v>
      </c>
      <c r="F76" t="s">
        <v>46</v>
      </c>
      <c r="G76">
        <v>2</v>
      </c>
      <c r="H76" t="s">
        <v>1083</v>
      </c>
      <c r="I76">
        <v>57</v>
      </c>
      <c r="J76" t="s">
        <v>71</v>
      </c>
      <c r="K76" t="s">
        <v>49</v>
      </c>
      <c r="L76" t="s">
        <v>50</v>
      </c>
      <c r="M76" t="s">
        <v>51</v>
      </c>
      <c r="N76" t="s">
        <v>52</v>
      </c>
      <c r="O76" s="1">
        <v>43698</v>
      </c>
      <c r="P76" t="s">
        <v>872</v>
      </c>
      <c r="Q76" t="s">
        <v>980</v>
      </c>
      <c r="R76" t="s">
        <v>325</v>
      </c>
      <c r="S76" t="s">
        <v>52</v>
      </c>
      <c r="T76" t="s">
        <v>52</v>
      </c>
      <c r="U76" t="s">
        <v>981</v>
      </c>
      <c r="V76" s="21">
        <v>0.1</v>
      </c>
      <c r="W76">
        <v>1.41</v>
      </c>
      <c r="X76">
        <v>24</v>
      </c>
      <c r="Y76">
        <v>0.70921999999999996</v>
      </c>
      <c r="Z76">
        <v>49.290779999999998</v>
      </c>
      <c r="AA76">
        <v>4.46</v>
      </c>
      <c r="AB76">
        <v>5.6053810000000004</v>
      </c>
      <c r="AC76" t="s">
        <v>225</v>
      </c>
      <c r="AD76" t="s">
        <v>226</v>
      </c>
      <c r="AE76" t="s">
        <v>227</v>
      </c>
      <c r="AG76" t="s">
        <v>465</v>
      </c>
      <c r="AH76" s="1">
        <v>43833</v>
      </c>
      <c r="AI76" s="1">
        <v>43898</v>
      </c>
    </row>
    <row r="77" spans="1:35" x14ac:dyDescent="0.2">
      <c r="A77">
        <v>48</v>
      </c>
      <c r="B77" t="s">
        <v>1084</v>
      </c>
      <c r="C77">
        <v>76</v>
      </c>
      <c r="D77" t="s">
        <v>798</v>
      </c>
      <c r="E77" t="s">
        <v>799</v>
      </c>
      <c r="F77" t="s">
        <v>46</v>
      </c>
      <c r="G77">
        <v>2</v>
      </c>
      <c r="H77" t="s">
        <v>1083</v>
      </c>
      <c r="I77">
        <v>57</v>
      </c>
      <c r="J77" t="s">
        <v>71</v>
      </c>
      <c r="K77" t="s">
        <v>49</v>
      </c>
      <c r="L77" t="s">
        <v>50</v>
      </c>
      <c r="M77" t="s">
        <v>51</v>
      </c>
      <c r="N77" t="s">
        <v>52</v>
      </c>
      <c r="O77" s="1">
        <v>43698</v>
      </c>
      <c r="P77" t="s">
        <v>872</v>
      </c>
      <c r="Q77" t="s">
        <v>980</v>
      </c>
      <c r="R77" t="s">
        <v>325</v>
      </c>
      <c r="S77" t="s">
        <v>52</v>
      </c>
      <c r="T77" t="s">
        <v>52</v>
      </c>
      <c r="U77" t="s">
        <v>981</v>
      </c>
      <c r="V77" s="21">
        <v>0.1</v>
      </c>
      <c r="W77">
        <v>1.61</v>
      </c>
      <c r="X77">
        <v>24</v>
      </c>
      <c r="Y77">
        <v>0.62111799999999995</v>
      </c>
      <c r="Z77">
        <v>49.378880000000002</v>
      </c>
      <c r="AA77">
        <v>3.9</v>
      </c>
      <c r="AB77">
        <v>6.4102560000000004</v>
      </c>
      <c r="AC77" t="s">
        <v>290</v>
      </c>
      <c r="AD77" t="s">
        <v>291</v>
      </c>
      <c r="AE77" t="s">
        <v>292</v>
      </c>
      <c r="AG77" t="s">
        <v>466</v>
      </c>
      <c r="AH77" s="1">
        <v>43833</v>
      </c>
      <c r="AI77" s="1">
        <v>43887</v>
      </c>
    </row>
    <row r="78" spans="1:35" x14ac:dyDescent="0.2">
      <c r="A78">
        <v>41</v>
      </c>
      <c r="B78" t="s">
        <v>1085</v>
      </c>
      <c r="C78">
        <v>77</v>
      </c>
      <c r="D78" t="s">
        <v>800</v>
      </c>
      <c r="E78" t="s">
        <v>801</v>
      </c>
      <c r="F78" t="s">
        <v>46</v>
      </c>
      <c r="G78">
        <v>2</v>
      </c>
      <c r="H78" t="s">
        <v>1083</v>
      </c>
      <c r="I78">
        <v>57</v>
      </c>
      <c r="J78" t="s">
        <v>71</v>
      </c>
      <c r="K78" t="s">
        <v>49</v>
      </c>
      <c r="L78" t="s">
        <v>50</v>
      </c>
      <c r="M78" t="s">
        <v>51</v>
      </c>
      <c r="N78" t="s">
        <v>52</v>
      </c>
      <c r="O78" s="1">
        <v>43698</v>
      </c>
      <c r="P78" t="s">
        <v>872</v>
      </c>
      <c r="Q78" t="s">
        <v>980</v>
      </c>
      <c r="R78" t="s">
        <v>325</v>
      </c>
      <c r="S78" t="s">
        <v>52</v>
      </c>
      <c r="T78" t="s">
        <v>52</v>
      </c>
      <c r="U78" t="s">
        <v>981</v>
      </c>
      <c r="V78" s="21">
        <v>0.1</v>
      </c>
      <c r="W78">
        <v>1.21</v>
      </c>
      <c r="X78">
        <v>24</v>
      </c>
      <c r="Y78">
        <v>0.82644600000000001</v>
      </c>
      <c r="Z78">
        <v>49.173549999999999</v>
      </c>
      <c r="AA78">
        <v>0.33200000000000002</v>
      </c>
      <c r="AB78">
        <v>5</v>
      </c>
      <c r="AC78" t="s">
        <v>178</v>
      </c>
      <c r="AD78" t="s">
        <v>179</v>
      </c>
      <c r="AE78" t="s">
        <v>180</v>
      </c>
      <c r="AG78" t="s">
        <v>467</v>
      </c>
      <c r="AH78" s="1">
        <v>43833</v>
      </c>
      <c r="AI78" s="1">
        <v>43901</v>
      </c>
    </row>
    <row r="79" spans="1:35" x14ac:dyDescent="0.2">
      <c r="A79">
        <v>3</v>
      </c>
      <c r="B79" t="s">
        <v>1086</v>
      </c>
      <c r="C79">
        <v>78</v>
      </c>
      <c r="D79" t="s">
        <v>802</v>
      </c>
      <c r="E79" t="s">
        <v>803</v>
      </c>
      <c r="F79" t="s">
        <v>46</v>
      </c>
      <c r="G79">
        <v>1</v>
      </c>
      <c r="H79" t="s">
        <v>1087</v>
      </c>
      <c r="I79">
        <v>74</v>
      </c>
      <c r="J79" t="s">
        <v>71</v>
      </c>
      <c r="K79" t="s">
        <v>49</v>
      </c>
      <c r="L79" t="s">
        <v>52</v>
      </c>
      <c r="M79" t="s">
        <v>51</v>
      </c>
      <c r="N79" t="s">
        <v>50</v>
      </c>
      <c r="O79" s="1">
        <v>43731</v>
      </c>
      <c r="P79" t="s">
        <v>872</v>
      </c>
      <c r="Q79" t="s">
        <v>964</v>
      </c>
      <c r="R79" t="s">
        <v>200</v>
      </c>
      <c r="S79" t="s">
        <v>55</v>
      </c>
      <c r="T79" t="s">
        <v>55</v>
      </c>
      <c r="U79" t="s">
        <v>981</v>
      </c>
      <c r="V79" s="21">
        <v>0.2</v>
      </c>
      <c r="W79">
        <v>0.15</v>
      </c>
      <c r="X79">
        <v>24</v>
      </c>
      <c r="Y79">
        <v>6.6666670000000003</v>
      </c>
      <c r="Z79">
        <v>43.333329999999997</v>
      </c>
      <c r="AA79">
        <v>16.7</v>
      </c>
      <c r="AB79">
        <v>1.4970060000000001</v>
      </c>
      <c r="AC79" t="s">
        <v>330</v>
      </c>
      <c r="AD79" t="s">
        <v>331</v>
      </c>
      <c r="AE79" t="s">
        <v>332</v>
      </c>
      <c r="AG79" t="s">
        <v>469</v>
      </c>
      <c r="AH79" s="1">
        <v>43833</v>
      </c>
      <c r="AI79" s="1">
        <v>43889</v>
      </c>
    </row>
    <row r="80" spans="1:35" x14ac:dyDescent="0.2">
      <c r="A80">
        <v>22</v>
      </c>
      <c r="B80" t="s">
        <v>1088</v>
      </c>
      <c r="C80">
        <v>79</v>
      </c>
      <c r="D80" t="s">
        <v>804</v>
      </c>
      <c r="E80" t="s">
        <v>805</v>
      </c>
      <c r="F80" t="s">
        <v>46</v>
      </c>
      <c r="G80">
        <v>2</v>
      </c>
      <c r="H80" t="s">
        <v>1087</v>
      </c>
      <c r="I80">
        <v>74</v>
      </c>
      <c r="J80" t="s">
        <v>71</v>
      </c>
      <c r="K80" t="s">
        <v>49</v>
      </c>
      <c r="L80" t="s">
        <v>52</v>
      </c>
      <c r="M80" t="s">
        <v>51</v>
      </c>
      <c r="N80" t="s">
        <v>50</v>
      </c>
      <c r="O80" s="1">
        <v>43731</v>
      </c>
      <c r="P80" t="s">
        <v>872</v>
      </c>
      <c r="Q80" t="s">
        <v>964</v>
      </c>
      <c r="R80" t="s">
        <v>200</v>
      </c>
      <c r="S80" t="s">
        <v>55</v>
      </c>
      <c r="T80" t="s">
        <v>55</v>
      </c>
      <c r="U80" t="s">
        <v>981</v>
      </c>
      <c r="V80" s="21">
        <v>0.2</v>
      </c>
      <c r="W80">
        <v>0.432</v>
      </c>
      <c r="X80">
        <v>24</v>
      </c>
      <c r="Y80">
        <v>2.3148149999999998</v>
      </c>
      <c r="Z80">
        <v>47.685189999999999</v>
      </c>
      <c r="AA80">
        <v>13.4</v>
      </c>
      <c r="AB80">
        <v>1.865672</v>
      </c>
      <c r="AC80" t="s">
        <v>220</v>
      </c>
      <c r="AD80" t="s">
        <v>221</v>
      </c>
      <c r="AE80" t="s">
        <v>222</v>
      </c>
      <c r="AG80" t="s">
        <v>470</v>
      </c>
      <c r="AH80" s="1">
        <v>43833</v>
      </c>
      <c r="AI80" s="1">
        <v>43898</v>
      </c>
    </row>
    <row r="81" spans="1:35" x14ac:dyDescent="0.2">
      <c r="A81">
        <v>26</v>
      </c>
      <c r="B81" t="s">
        <v>1089</v>
      </c>
      <c r="C81">
        <v>80</v>
      </c>
      <c r="D81" t="s">
        <v>806</v>
      </c>
      <c r="E81" t="s">
        <v>807</v>
      </c>
      <c r="F81" t="s">
        <v>46</v>
      </c>
      <c r="G81">
        <v>2</v>
      </c>
      <c r="H81" t="s">
        <v>1090</v>
      </c>
      <c r="I81">
        <v>49</v>
      </c>
      <c r="J81" t="s">
        <v>71</v>
      </c>
      <c r="K81" t="s">
        <v>49</v>
      </c>
      <c r="L81" t="s">
        <v>50</v>
      </c>
      <c r="M81" t="s">
        <v>51</v>
      </c>
      <c r="N81" t="s">
        <v>52</v>
      </c>
      <c r="O81" s="1">
        <v>43853</v>
      </c>
      <c r="P81" t="s">
        <v>872</v>
      </c>
      <c r="Q81" t="s">
        <v>997</v>
      </c>
      <c r="R81" t="s">
        <v>336</v>
      </c>
      <c r="S81" t="s">
        <v>55</v>
      </c>
      <c r="T81" t="s">
        <v>55</v>
      </c>
      <c r="U81" t="s">
        <v>975</v>
      </c>
      <c r="V81" s="21">
        <v>0.2</v>
      </c>
      <c r="W81">
        <v>0.56000000000000005</v>
      </c>
      <c r="X81">
        <v>24</v>
      </c>
      <c r="Y81">
        <v>1.785714</v>
      </c>
      <c r="Z81">
        <v>48.214289999999998</v>
      </c>
      <c r="AA81">
        <v>5.3</v>
      </c>
      <c r="AB81">
        <v>4.7169809999999996</v>
      </c>
      <c r="AC81" t="s">
        <v>112</v>
      </c>
      <c r="AD81" t="s">
        <v>113</v>
      </c>
      <c r="AE81" t="s">
        <v>114</v>
      </c>
      <c r="AG81" t="s">
        <v>471</v>
      </c>
      <c r="AH81" s="1">
        <v>43833</v>
      </c>
      <c r="AI81" s="1">
        <v>43898</v>
      </c>
    </row>
    <row r="82" spans="1:35" x14ac:dyDescent="0.2">
      <c r="A82">
        <v>39</v>
      </c>
      <c r="B82" t="s">
        <v>1091</v>
      </c>
      <c r="C82">
        <v>81</v>
      </c>
      <c r="D82" t="s">
        <v>808</v>
      </c>
      <c r="E82" t="s">
        <v>809</v>
      </c>
      <c r="F82" t="s">
        <v>46</v>
      </c>
      <c r="G82">
        <v>2</v>
      </c>
      <c r="H82" t="s">
        <v>1090</v>
      </c>
      <c r="I82">
        <v>49</v>
      </c>
      <c r="J82" t="s">
        <v>71</v>
      </c>
      <c r="K82" t="s">
        <v>49</v>
      </c>
      <c r="L82" t="s">
        <v>50</v>
      </c>
      <c r="M82" t="s">
        <v>51</v>
      </c>
      <c r="N82" t="s">
        <v>52</v>
      </c>
      <c r="O82" s="1">
        <v>43853</v>
      </c>
      <c r="P82" t="s">
        <v>872</v>
      </c>
      <c r="Q82" t="s">
        <v>997</v>
      </c>
      <c r="R82" t="s">
        <v>336</v>
      </c>
      <c r="S82" t="s">
        <v>55</v>
      </c>
      <c r="T82" t="s">
        <v>55</v>
      </c>
      <c r="U82" t="s">
        <v>975</v>
      </c>
      <c r="V82" s="21">
        <v>0.2</v>
      </c>
      <c r="W82">
        <v>1.1399999999999999</v>
      </c>
      <c r="X82">
        <v>24</v>
      </c>
      <c r="Y82">
        <v>0.877193</v>
      </c>
      <c r="Z82">
        <v>49.122810000000001</v>
      </c>
      <c r="AA82">
        <v>5.18</v>
      </c>
      <c r="AB82">
        <v>4.8262549999999997</v>
      </c>
      <c r="AC82" t="s">
        <v>320</v>
      </c>
      <c r="AD82" t="s">
        <v>321</v>
      </c>
      <c r="AE82" t="s">
        <v>322</v>
      </c>
      <c r="AG82" t="s">
        <v>473</v>
      </c>
      <c r="AH82" s="1">
        <v>43833</v>
      </c>
      <c r="AI82" s="1">
        <v>43888</v>
      </c>
    </row>
    <row r="83" spans="1:35" x14ac:dyDescent="0.2">
      <c r="A83">
        <v>14</v>
      </c>
      <c r="B83" t="s">
        <v>1092</v>
      </c>
      <c r="C83">
        <v>82</v>
      </c>
      <c r="D83" t="s">
        <v>810</v>
      </c>
      <c r="E83" t="s">
        <v>811</v>
      </c>
      <c r="F83" t="s">
        <v>46</v>
      </c>
      <c r="G83">
        <v>2</v>
      </c>
      <c r="H83" t="s">
        <v>1093</v>
      </c>
      <c r="I83">
        <v>45</v>
      </c>
      <c r="J83" t="s">
        <v>71</v>
      </c>
      <c r="K83" t="s">
        <v>340</v>
      </c>
      <c r="L83" t="s">
        <v>52</v>
      </c>
      <c r="M83" t="s">
        <v>51</v>
      </c>
      <c r="N83" t="s">
        <v>52</v>
      </c>
      <c r="O83" s="1">
        <v>43788</v>
      </c>
      <c r="P83" t="s">
        <v>872</v>
      </c>
      <c r="Q83" t="s">
        <v>964</v>
      </c>
      <c r="R83" t="s">
        <v>99</v>
      </c>
      <c r="S83" t="s">
        <v>55</v>
      </c>
      <c r="T83" t="s">
        <v>55</v>
      </c>
      <c r="U83" t="s">
        <v>981</v>
      </c>
      <c r="V83" t="s">
        <v>341</v>
      </c>
      <c r="W83">
        <v>0.19800000000000001</v>
      </c>
      <c r="X83">
        <v>24</v>
      </c>
      <c r="Y83">
        <v>5.0505050000000002</v>
      </c>
      <c r="Z83">
        <v>44.949489999999997</v>
      </c>
      <c r="AA83">
        <v>18.7</v>
      </c>
      <c r="AB83">
        <v>1.3368979999999999</v>
      </c>
      <c r="AC83" t="s">
        <v>66</v>
      </c>
      <c r="AD83" t="s">
        <v>67</v>
      </c>
      <c r="AE83" t="s">
        <v>68</v>
      </c>
      <c r="AG83" t="s">
        <v>474</v>
      </c>
      <c r="AH83" s="1">
        <v>43833</v>
      </c>
      <c r="AI83" s="1">
        <v>43898</v>
      </c>
    </row>
    <row r="84" spans="1:35" x14ac:dyDescent="0.2">
      <c r="A84">
        <v>32</v>
      </c>
      <c r="B84" t="s">
        <v>1094</v>
      </c>
      <c r="C84">
        <v>83</v>
      </c>
      <c r="D84" t="s">
        <v>812</v>
      </c>
      <c r="E84" t="s">
        <v>813</v>
      </c>
      <c r="F84" t="s">
        <v>46</v>
      </c>
      <c r="G84">
        <v>2</v>
      </c>
      <c r="H84" t="s">
        <v>1093</v>
      </c>
      <c r="I84">
        <v>45</v>
      </c>
      <c r="J84" t="s">
        <v>71</v>
      </c>
      <c r="K84" t="s">
        <v>340</v>
      </c>
      <c r="L84" t="s">
        <v>52</v>
      </c>
      <c r="M84" t="s">
        <v>51</v>
      </c>
      <c r="N84" t="s">
        <v>52</v>
      </c>
      <c r="O84" s="1">
        <v>43788</v>
      </c>
      <c r="P84" t="s">
        <v>872</v>
      </c>
      <c r="Q84" t="s">
        <v>964</v>
      </c>
      <c r="R84" t="s">
        <v>99</v>
      </c>
      <c r="S84" t="s">
        <v>55</v>
      </c>
      <c r="T84" t="s">
        <v>55</v>
      </c>
      <c r="U84" t="s">
        <v>981</v>
      </c>
      <c r="V84" t="s">
        <v>341</v>
      </c>
      <c r="W84">
        <v>0.81799999999999995</v>
      </c>
      <c r="X84">
        <v>24</v>
      </c>
      <c r="Y84">
        <v>1.222494</v>
      </c>
      <c r="Z84">
        <v>48.777509999999999</v>
      </c>
      <c r="AA84">
        <v>10.7</v>
      </c>
      <c r="AB84">
        <v>2.336449</v>
      </c>
      <c r="AC84" t="s">
        <v>259</v>
      </c>
      <c r="AD84" t="s">
        <v>260</v>
      </c>
      <c r="AE84" t="s">
        <v>261</v>
      </c>
      <c r="AG84" t="s">
        <v>475</v>
      </c>
      <c r="AH84" s="1">
        <v>43833</v>
      </c>
      <c r="AI84" s="1">
        <v>43898</v>
      </c>
    </row>
    <row r="85" spans="1:35" x14ac:dyDescent="0.2">
      <c r="A85">
        <v>42</v>
      </c>
      <c r="B85" t="s">
        <v>1095</v>
      </c>
      <c r="C85">
        <v>84</v>
      </c>
      <c r="D85" t="s">
        <v>814</v>
      </c>
      <c r="E85" t="s">
        <v>815</v>
      </c>
      <c r="F85" t="s">
        <v>46</v>
      </c>
      <c r="G85">
        <v>1</v>
      </c>
      <c r="H85" t="s">
        <v>1096</v>
      </c>
      <c r="I85">
        <v>57</v>
      </c>
      <c r="J85" t="s">
        <v>71</v>
      </c>
      <c r="K85" t="s">
        <v>55</v>
      </c>
      <c r="L85" t="s">
        <v>52</v>
      </c>
      <c r="M85" t="s">
        <v>438</v>
      </c>
      <c r="N85" t="s">
        <v>52</v>
      </c>
      <c r="O85" s="1">
        <v>43794</v>
      </c>
      <c r="P85" t="s">
        <v>872</v>
      </c>
      <c r="Q85" t="s">
        <v>964</v>
      </c>
      <c r="R85" t="s">
        <v>1097</v>
      </c>
      <c r="S85" t="s">
        <v>52</v>
      </c>
      <c r="T85" t="s">
        <v>52</v>
      </c>
      <c r="U85" t="s">
        <v>975</v>
      </c>
      <c r="V85" t="s">
        <v>513</v>
      </c>
      <c r="W85">
        <v>1.22</v>
      </c>
      <c r="X85">
        <v>24</v>
      </c>
      <c r="Y85">
        <v>0.81967199999999996</v>
      </c>
      <c r="Z85">
        <v>49.180329999999998</v>
      </c>
      <c r="AA85">
        <v>8.26</v>
      </c>
      <c r="AB85">
        <v>3.026634</v>
      </c>
      <c r="AC85" t="s">
        <v>174</v>
      </c>
      <c r="AD85" t="s">
        <v>175</v>
      </c>
      <c r="AE85" t="s">
        <v>176</v>
      </c>
      <c r="AG85" t="s">
        <v>477</v>
      </c>
      <c r="AH85" s="1">
        <v>43833</v>
      </c>
      <c r="AI85" s="1">
        <v>43887</v>
      </c>
    </row>
    <row r="86" spans="1:35" x14ac:dyDescent="0.2">
      <c r="A86">
        <v>33</v>
      </c>
      <c r="B86" t="s">
        <v>1098</v>
      </c>
      <c r="C86">
        <v>85</v>
      </c>
      <c r="D86" t="s">
        <v>816</v>
      </c>
      <c r="E86" t="s">
        <v>817</v>
      </c>
      <c r="F86" t="s">
        <v>46</v>
      </c>
      <c r="G86">
        <v>1</v>
      </c>
      <c r="H86" t="s">
        <v>1096</v>
      </c>
      <c r="I86">
        <v>57</v>
      </c>
      <c r="J86" t="s">
        <v>71</v>
      </c>
      <c r="K86" t="s">
        <v>55</v>
      </c>
      <c r="L86" t="s">
        <v>52</v>
      </c>
      <c r="M86" t="s">
        <v>438</v>
      </c>
      <c r="N86" t="s">
        <v>52</v>
      </c>
      <c r="O86" s="1">
        <v>43794</v>
      </c>
      <c r="P86" t="s">
        <v>872</v>
      </c>
      <c r="Q86" t="s">
        <v>964</v>
      </c>
      <c r="R86" t="s">
        <v>1097</v>
      </c>
      <c r="S86" t="s">
        <v>52</v>
      </c>
      <c r="T86" t="s">
        <v>52</v>
      </c>
      <c r="U86" t="s">
        <v>975</v>
      </c>
      <c r="V86" t="s">
        <v>513</v>
      </c>
      <c r="W86">
        <v>0.67</v>
      </c>
      <c r="X86">
        <v>24</v>
      </c>
      <c r="Y86">
        <v>1.492537</v>
      </c>
      <c r="Z86">
        <v>48.507460000000002</v>
      </c>
      <c r="AA86">
        <v>16.5</v>
      </c>
      <c r="AB86">
        <v>1.5151520000000001</v>
      </c>
      <c r="AC86" t="s">
        <v>215</v>
      </c>
      <c r="AD86" t="s">
        <v>216</v>
      </c>
      <c r="AE86" t="s">
        <v>217</v>
      </c>
      <c r="AG86" t="s">
        <v>478</v>
      </c>
      <c r="AH86" s="1">
        <v>43833</v>
      </c>
      <c r="AI86" s="1">
        <v>43887</v>
      </c>
    </row>
    <row r="87" spans="1:35" x14ac:dyDescent="0.2">
      <c r="A87">
        <v>47</v>
      </c>
      <c r="B87" t="s">
        <v>1099</v>
      </c>
      <c r="C87">
        <v>86</v>
      </c>
      <c r="D87" t="s">
        <v>818</v>
      </c>
      <c r="E87" t="s">
        <v>819</v>
      </c>
      <c r="F87" t="s">
        <v>344</v>
      </c>
      <c r="G87">
        <v>2</v>
      </c>
      <c r="H87" t="s">
        <v>1096</v>
      </c>
      <c r="I87">
        <v>57</v>
      </c>
      <c r="J87" t="s">
        <v>71</v>
      </c>
      <c r="K87" t="s">
        <v>55</v>
      </c>
      <c r="L87" t="s">
        <v>52</v>
      </c>
      <c r="M87" t="s">
        <v>438</v>
      </c>
      <c r="N87" t="s">
        <v>52</v>
      </c>
      <c r="O87" s="1">
        <v>43794</v>
      </c>
      <c r="P87" t="s">
        <v>872</v>
      </c>
      <c r="Q87" t="s">
        <v>964</v>
      </c>
      <c r="R87" t="s">
        <v>1097</v>
      </c>
      <c r="S87" t="s">
        <v>52</v>
      </c>
      <c r="T87" t="s">
        <v>52</v>
      </c>
      <c r="U87" t="s">
        <v>975</v>
      </c>
      <c r="V87" t="s">
        <v>513</v>
      </c>
      <c r="W87">
        <v>1.49</v>
      </c>
      <c r="X87">
        <v>24</v>
      </c>
      <c r="Y87">
        <v>0.67114099999999999</v>
      </c>
      <c r="Z87">
        <v>49.328859999999999</v>
      </c>
      <c r="AA87">
        <v>5.76</v>
      </c>
      <c r="AB87">
        <v>4.3402779999999996</v>
      </c>
      <c r="AC87" t="s">
        <v>300</v>
      </c>
      <c r="AD87" t="s">
        <v>301</v>
      </c>
      <c r="AE87" t="s">
        <v>302</v>
      </c>
      <c r="AG87" t="s">
        <v>480</v>
      </c>
      <c r="AH87" s="1">
        <v>43833</v>
      </c>
      <c r="AI87" s="1">
        <v>43888</v>
      </c>
    </row>
    <row r="88" spans="1:35" x14ac:dyDescent="0.2">
      <c r="A88">
        <v>30</v>
      </c>
      <c r="B88" t="s">
        <v>1100</v>
      </c>
      <c r="C88">
        <v>87</v>
      </c>
      <c r="D88" t="s">
        <v>820</v>
      </c>
      <c r="E88" t="s">
        <v>821</v>
      </c>
      <c r="F88" t="s">
        <v>344</v>
      </c>
      <c r="G88">
        <v>2</v>
      </c>
      <c r="H88" t="s">
        <v>1101</v>
      </c>
      <c r="I88">
        <v>66</v>
      </c>
      <c r="J88" t="s">
        <v>71</v>
      </c>
      <c r="K88" t="s">
        <v>49</v>
      </c>
      <c r="L88" t="s">
        <v>52</v>
      </c>
      <c r="M88" t="s">
        <v>51</v>
      </c>
      <c r="N88" t="s">
        <v>52</v>
      </c>
      <c r="O88" s="1">
        <v>44008</v>
      </c>
      <c r="P88" t="s">
        <v>905</v>
      </c>
      <c r="Q88" t="s">
        <v>980</v>
      </c>
      <c r="R88" t="s">
        <v>346</v>
      </c>
      <c r="S88" t="s">
        <v>52</v>
      </c>
      <c r="T88" t="s">
        <v>52</v>
      </c>
      <c r="U88" t="s">
        <v>975</v>
      </c>
      <c r="W88">
        <v>0.64200000000000002</v>
      </c>
      <c r="X88">
        <v>24</v>
      </c>
      <c r="Y88">
        <v>1.5576319999999999</v>
      </c>
      <c r="Z88">
        <v>48.442369999999997</v>
      </c>
      <c r="AA88">
        <v>14.2</v>
      </c>
      <c r="AB88">
        <v>1.7605630000000001</v>
      </c>
      <c r="AC88" t="s">
        <v>133</v>
      </c>
      <c r="AD88" t="s">
        <v>134</v>
      </c>
      <c r="AE88" t="s">
        <v>135</v>
      </c>
      <c r="AG88" t="s">
        <v>481</v>
      </c>
      <c r="AH88" s="1">
        <v>43833</v>
      </c>
      <c r="AI88" s="1">
        <v>43889</v>
      </c>
    </row>
    <row r="89" spans="1:35" x14ac:dyDescent="0.2">
      <c r="A89">
        <v>49</v>
      </c>
      <c r="B89" t="s">
        <v>1102</v>
      </c>
      <c r="C89">
        <v>88</v>
      </c>
      <c r="D89" t="s">
        <v>822</v>
      </c>
      <c r="E89" t="s">
        <v>823</v>
      </c>
      <c r="F89" t="s">
        <v>344</v>
      </c>
      <c r="G89">
        <v>2</v>
      </c>
      <c r="H89" t="s">
        <v>1101</v>
      </c>
      <c r="I89">
        <v>66</v>
      </c>
      <c r="J89" t="s">
        <v>71</v>
      </c>
      <c r="K89" t="s">
        <v>49</v>
      </c>
      <c r="L89" t="s">
        <v>52</v>
      </c>
      <c r="M89" t="s">
        <v>51</v>
      </c>
      <c r="N89" t="s">
        <v>52</v>
      </c>
      <c r="O89" s="1">
        <v>44008</v>
      </c>
      <c r="P89" t="s">
        <v>905</v>
      </c>
      <c r="Q89" t="s">
        <v>980</v>
      </c>
      <c r="R89" t="s">
        <v>346</v>
      </c>
      <c r="S89" t="s">
        <v>52</v>
      </c>
      <c r="T89" t="s">
        <v>52</v>
      </c>
      <c r="U89" t="s">
        <v>975</v>
      </c>
      <c r="W89">
        <v>1.77</v>
      </c>
      <c r="X89">
        <v>24</v>
      </c>
      <c r="Y89">
        <v>0.56497200000000003</v>
      </c>
      <c r="Z89">
        <v>49.435029999999998</v>
      </c>
      <c r="AA89">
        <v>10.5</v>
      </c>
      <c r="AB89">
        <v>2.3809520000000002</v>
      </c>
      <c r="AC89" t="s">
        <v>268</v>
      </c>
      <c r="AD89" t="s">
        <v>269</v>
      </c>
      <c r="AE89" t="s">
        <v>270</v>
      </c>
      <c r="AG89" t="s">
        <v>482</v>
      </c>
      <c r="AH89" s="1">
        <v>43833</v>
      </c>
      <c r="AI89" s="1">
        <v>43891</v>
      </c>
    </row>
    <row r="90" spans="1:35" x14ac:dyDescent="0.2">
      <c r="A90">
        <v>34</v>
      </c>
      <c r="B90" t="s">
        <v>1103</v>
      </c>
      <c r="C90">
        <v>89</v>
      </c>
      <c r="D90" t="s">
        <v>824</v>
      </c>
      <c r="E90" t="s">
        <v>825</v>
      </c>
      <c r="F90" t="s">
        <v>46</v>
      </c>
      <c r="G90">
        <v>1</v>
      </c>
      <c r="H90" t="s">
        <v>1104</v>
      </c>
      <c r="I90">
        <v>72</v>
      </c>
      <c r="J90" t="s">
        <v>48</v>
      </c>
      <c r="K90" t="s">
        <v>49</v>
      </c>
      <c r="L90" t="s">
        <v>50</v>
      </c>
      <c r="M90" t="s">
        <v>51</v>
      </c>
      <c r="N90" t="s">
        <v>52</v>
      </c>
      <c r="O90" s="1">
        <v>43985</v>
      </c>
      <c r="P90" t="s">
        <v>872</v>
      </c>
      <c r="Q90" t="s">
        <v>993</v>
      </c>
      <c r="R90" t="s">
        <v>72</v>
      </c>
      <c r="S90" t="s">
        <v>55</v>
      </c>
      <c r="T90" t="s">
        <v>55</v>
      </c>
      <c r="U90" t="s">
        <v>981</v>
      </c>
      <c r="W90">
        <v>0.79800000000000004</v>
      </c>
      <c r="X90">
        <v>24</v>
      </c>
      <c r="Y90">
        <v>1.2531330000000001</v>
      </c>
      <c r="Z90">
        <v>48.746870000000001</v>
      </c>
      <c r="AA90">
        <v>31.4</v>
      </c>
      <c r="AB90">
        <v>0.79617800000000005</v>
      </c>
      <c r="AC90" t="s">
        <v>249</v>
      </c>
      <c r="AD90" t="s">
        <v>250</v>
      </c>
      <c r="AE90" t="s">
        <v>251</v>
      </c>
      <c r="AG90" t="s">
        <v>484</v>
      </c>
      <c r="AH90" s="1">
        <v>43833</v>
      </c>
      <c r="AI90" s="1">
        <v>43898</v>
      </c>
    </row>
    <row r="91" spans="1:35" x14ac:dyDescent="0.2">
      <c r="A91">
        <v>43</v>
      </c>
      <c r="B91" t="s">
        <v>1105</v>
      </c>
      <c r="C91">
        <v>90</v>
      </c>
      <c r="D91" t="s">
        <v>826</v>
      </c>
      <c r="E91" t="s">
        <v>827</v>
      </c>
      <c r="F91" t="s">
        <v>46</v>
      </c>
      <c r="G91">
        <v>2</v>
      </c>
      <c r="H91" t="s">
        <v>1104</v>
      </c>
      <c r="I91">
        <v>72</v>
      </c>
      <c r="J91" t="s">
        <v>48</v>
      </c>
      <c r="K91" t="s">
        <v>49</v>
      </c>
      <c r="L91" t="s">
        <v>50</v>
      </c>
      <c r="M91" t="s">
        <v>51</v>
      </c>
      <c r="N91" t="s">
        <v>52</v>
      </c>
      <c r="O91" s="1">
        <v>43985</v>
      </c>
      <c r="P91" t="s">
        <v>872</v>
      </c>
      <c r="Q91" t="s">
        <v>993</v>
      </c>
      <c r="R91" t="s">
        <v>72</v>
      </c>
      <c r="S91" t="s">
        <v>55</v>
      </c>
      <c r="T91" t="s">
        <v>55</v>
      </c>
      <c r="U91" t="s">
        <v>981</v>
      </c>
      <c r="W91">
        <v>1.37</v>
      </c>
      <c r="X91">
        <v>24</v>
      </c>
      <c r="Y91">
        <v>0.72992699999999999</v>
      </c>
      <c r="Z91">
        <v>49.270069999999997</v>
      </c>
      <c r="AA91">
        <v>11.5</v>
      </c>
      <c r="AB91">
        <v>2.1739130000000002</v>
      </c>
      <c r="AC91" t="s">
        <v>313</v>
      </c>
      <c r="AD91" t="s">
        <v>314</v>
      </c>
      <c r="AE91" t="s">
        <v>315</v>
      </c>
      <c r="AG91" t="s">
        <v>485</v>
      </c>
      <c r="AH91" s="1">
        <v>43833</v>
      </c>
      <c r="AI91" s="1">
        <v>43888</v>
      </c>
    </row>
    <row r="92" spans="1:35" x14ac:dyDescent="0.2">
      <c r="A92">
        <v>29</v>
      </c>
      <c r="B92" t="s">
        <v>1106</v>
      </c>
      <c r="C92">
        <v>91</v>
      </c>
      <c r="D92" t="s">
        <v>828</v>
      </c>
      <c r="E92" t="s">
        <v>829</v>
      </c>
      <c r="F92" t="s">
        <v>46</v>
      </c>
      <c r="G92">
        <v>2</v>
      </c>
      <c r="H92" t="s">
        <v>1107</v>
      </c>
      <c r="I92">
        <v>50</v>
      </c>
      <c r="J92" t="s">
        <v>71</v>
      </c>
      <c r="K92" t="s">
        <v>49</v>
      </c>
      <c r="L92" t="s">
        <v>52</v>
      </c>
      <c r="M92" t="s">
        <v>51</v>
      </c>
      <c r="N92" t="s">
        <v>52</v>
      </c>
      <c r="O92" s="1">
        <v>40640</v>
      </c>
      <c r="P92" t="s">
        <v>872</v>
      </c>
      <c r="Q92" t="s">
        <v>1053</v>
      </c>
      <c r="R92" t="s">
        <v>200</v>
      </c>
      <c r="S92" t="s">
        <v>52</v>
      </c>
      <c r="T92" t="s">
        <v>55</v>
      </c>
      <c r="U92" t="s">
        <v>975</v>
      </c>
      <c r="W92">
        <v>0.6</v>
      </c>
      <c r="X92">
        <v>24</v>
      </c>
      <c r="Y92">
        <v>1.6666669999999999</v>
      </c>
      <c r="Z92">
        <v>48.333329999999997</v>
      </c>
      <c r="AA92">
        <v>12.6</v>
      </c>
      <c r="AB92">
        <v>1.984127</v>
      </c>
      <c r="AC92" t="s">
        <v>1108</v>
      </c>
      <c r="AD92" t="s">
        <v>1109</v>
      </c>
      <c r="AE92" t="s">
        <v>1110</v>
      </c>
      <c r="AG92" t="s">
        <v>486</v>
      </c>
      <c r="AH92" s="1">
        <v>43833</v>
      </c>
      <c r="AI92" s="1">
        <v>43898</v>
      </c>
    </row>
    <row r="93" spans="1:35" x14ac:dyDescent="0.2">
      <c r="A93">
        <v>29</v>
      </c>
      <c r="B93" t="s">
        <v>1111</v>
      </c>
      <c r="C93">
        <v>92</v>
      </c>
      <c r="D93" t="s">
        <v>830</v>
      </c>
      <c r="E93" t="s">
        <v>831</v>
      </c>
      <c r="F93" t="s">
        <v>46</v>
      </c>
      <c r="G93">
        <v>1</v>
      </c>
      <c r="H93" t="s">
        <v>1107</v>
      </c>
      <c r="I93">
        <v>50</v>
      </c>
      <c r="J93" t="s">
        <v>71</v>
      </c>
      <c r="K93" t="s">
        <v>49</v>
      </c>
      <c r="L93" t="s">
        <v>52</v>
      </c>
      <c r="M93" t="s">
        <v>51</v>
      </c>
      <c r="N93" t="s">
        <v>52</v>
      </c>
      <c r="O93" s="1">
        <v>40640</v>
      </c>
      <c r="P93" t="s">
        <v>872</v>
      </c>
      <c r="Q93" t="s">
        <v>1053</v>
      </c>
      <c r="R93" t="s">
        <v>200</v>
      </c>
      <c r="S93" t="s">
        <v>52</v>
      </c>
      <c r="T93" t="s">
        <v>55</v>
      </c>
      <c r="U93" t="s">
        <v>975</v>
      </c>
      <c r="W93">
        <v>0.432</v>
      </c>
      <c r="X93">
        <v>24</v>
      </c>
      <c r="Y93">
        <v>2.3148149999999998</v>
      </c>
      <c r="Z93">
        <v>17.5</v>
      </c>
      <c r="AA93">
        <v>17.5</v>
      </c>
      <c r="AB93">
        <v>1.428571</v>
      </c>
      <c r="AC93" t="s">
        <v>1108</v>
      </c>
      <c r="AD93" t="s">
        <v>1109</v>
      </c>
      <c r="AE93" t="s">
        <v>1110</v>
      </c>
      <c r="AG93" t="s">
        <v>489</v>
      </c>
      <c r="AH93" s="1">
        <v>43833</v>
      </c>
      <c r="AI93" s="1">
        <v>43891</v>
      </c>
    </row>
    <row r="94" spans="1:35" x14ac:dyDescent="0.2">
      <c r="AG94" t="s">
        <v>490</v>
      </c>
      <c r="AH94" s="1">
        <v>43833</v>
      </c>
      <c r="AI94" s="1">
        <v>43888</v>
      </c>
    </row>
    <row r="95" spans="1:35" x14ac:dyDescent="0.2">
      <c r="AG95" t="s">
        <v>491</v>
      </c>
      <c r="AH95" s="1">
        <v>43845</v>
      </c>
      <c r="AI95" s="1">
        <v>43888</v>
      </c>
    </row>
    <row r="96" spans="1:35" x14ac:dyDescent="0.2">
      <c r="AG96" t="s">
        <v>494</v>
      </c>
      <c r="AH96" s="1">
        <v>43845</v>
      </c>
      <c r="AI96" s="1">
        <v>43889</v>
      </c>
    </row>
    <row r="97" spans="33:35" x14ac:dyDescent="0.2">
      <c r="AG97" t="s">
        <v>495</v>
      </c>
      <c r="AH97" s="1">
        <v>43845</v>
      </c>
      <c r="AI97" s="1">
        <v>43891</v>
      </c>
    </row>
    <row r="98" spans="33:35" x14ac:dyDescent="0.2">
      <c r="AG98" t="s">
        <v>496</v>
      </c>
      <c r="AH98" s="1">
        <v>43830</v>
      </c>
      <c r="AI98" s="1">
        <v>43888</v>
      </c>
    </row>
    <row r="99" spans="33:35" x14ac:dyDescent="0.2">
      <c r="AG99" t="s">
        <v>498</v>
      </c>
      <c r="AH99" s="1">
        <v>43830</v>
      </c>
      <c r="AI99" s="1">
        <v>43887</v>
      </c>
    </row>
    <row r="100" spans="33:35" x14ac:dyDescent="0.2">
      <c r="AG100" t="s">
        <v>499</v>
      </c>
      <c r="AH100" s="1">
        <v>43830</v>
      </c>
      <c r="AI100" s="1">
        <v>43887</v>
      </c>
    </row>
    <row r="101" spans="33:35" x14ac:dyDescent="0.2">
      <c r="AG101" t="s">
        <v>501</v>
      </c>
      <c r="AH101" s="1">
        <v>43830</v>
      </c>
      <c r="AI101" s="1">
        <v>43898</v>
      </c>
    </row>
    <row r="102" spans="33:35" x14ac:dyDescent="0.2">
      <c r="AG102" t="s">
        <v>502</v>
      </c>
      <c r="AH102" s="1">
        <v>43830</v>
      </c>
      <c r="AI102" s="1">
        <v>43888</v>
      </c>
    </row>
    <row r="103" spans="33:35" x14ac:dyDescent="0.2">
      <c r="AG103" t="s">
        <v>503</v>
      </c>
      <c r="AH103" s="1">
        <v>43830</v>
      </c>
      <c r="AI103" s="1">
        <v>43898</v>
      </c>
    </row>
    <row r="104" spans="33:35" x14ac:dyDescent="0.2">
      <c r="AG104" t="s">
        <v>505</v>
      </c>
      <c r="AH104" s="1">
        <v>43830</v>
      </c>
      <c r="AI104" s="1">
        <v>43891</v>
      </c>
    </row>
    <row r="105" spans="33:35" x14ac:dyDescent="0.2">
      <c r="AG105" t="s">
        <v>834</v>
      </c>
      <c r="AH105" s="1">
        <v>44090</v>
      </c>
      <c r="AI105" s="1">
        <v>44179</v>
      </c>
    </row>
    <row r="106" spans="33:35" x14ac:dyDescent="0.2">
      <c r="AG106" t="s">
        <v>91</v>
      </c>
      <c r="AH106" s="1">
        <v>44090</v>
      </c>
      <c r="AI106" s="1">
        <v>44179</v>
      </c>
    </row>
    <row r="107" spans="33:35" x14ac:dyDescent="0.2">
      <c r="AG107" t="s">
        <v>95</v>
      </c>
      <c r="AH107" s="1">
        <v>44090</v>
      </c>
      <c r="AI107" s="1">
        <v>44179</v>
      </c>
    </row>
    <row r="108" spans="33:35" x14ac:dyDescent="0.2">
      <c r="AG108" t="s">
        <v>96</v>
      </c>
      <c r="AH108" s="1">
        <v>44090</v>
      </c>
      <c r="AI108" s="1">
        <v>44180</v>
      </c>
    </row>
    <row r="109" spans="33:35" x14ac:dyDescent="0.2">
      <c r="AG109" t="s">
        <v>104</v>
      </c>
      <c r="AH109" s="1">
        <v>44090</v>
      </c>
      <c r="AI109" s="1">
        <v>44179</v>
      </c>
    </row>
    <row r="110" spans="33:35" x14ac:dyDescent="0.2">
      <c r="AG110" t="s">
        <v>108</v>
      </c>
      <c r="AH110" s="1">
        <v>44090</v>
      </c>
      <c r="AI110" s="1">
        <v>44180</v>
      </c>
    </row>
    <row r="111" spans="33:35" x14ac:dyDescent="0.2">
      <c r="AG111" t="s">
        <v>111</v>
      </c>
      <c r="AH111" s="1">
        <v>44090</v>
      </c>
      <c r="AI111" s="1">
        <v>44179</v>
      </c>
    </row>
    <row r="112" spans="33:35" x14ac:dyDescent="0.2">
      <c r="AG112" t="s">
        <v>115</v>
      </c>
      <c r="AH112" s="1">
        <v>44090</v>
      </c>
      <c r="AI112" s="1">
        <v>44180</v>
      </c>
    </row>
    <row r="113" spans="33:35" x14ac:dyDescent="0.2">
      <c r="AG113" t="s">
        <v>121</v>
      </c>
      <c r="AH113" s="1">
        <v>44090</v>
      </c>
      <c r="AI113" s="1">
        <v>44179</v>
      </c>
    </row>
    <row r="114" spans="33:35" x14ac:dyDescent="0.2">
      <c r="AG114" t="s">
        <v>125</v>
      </c>
      <c r="AH114" s="1">
        <v>44090</v>
      </c>
      <c r="AI114" s="1">
        <v>44180</v>
      </c>
    </row>
    <row r="115" spans="33:35" x14ac:dyDescent="0.2">
      <c r="AG115" t="s">
        <v>129</v>
      </c>
      <c r="AH115" s="1">
        <v>44090</v>
      </c>
      <c r="AI115" s="1">
        <v>44179</v>
      </c>
    </row>
    <row r="116" spans="33:35" x14ac:dyDescent="0.2">
      <c r="AG116" t="s">
        <v>835</v>
      </c>
      <c r="AH116" s="1">
        <v>44090</v>
      </c>
      <c r="AI116" s="1">
        <v>44180</v>
      </c>
    </row>
    <row r="117" spans="33:35" x14ac:dyDescent="0.2">
      <c r="AG117" t="s">
        <v>136</v>
      </c>
      <c r="AH117" s="1">
        <v>44090</v>
      </c>
      <c r="AI117" s="1">
        <v>44180</v>
      </c>
    </row>
    <row r="118" spans="33:35" x14ac:dyDescent="0.2">
      <c r="AG118" t="s">
        <v>140</v>
      </c>
      <c r="AH118" s="1">
        <v>44090</v>
      </c>
      <c r="AI118" s="1">
        <v>44180</v>
      </c>
    </row>
    <row r="119" spans="33:35" x14ac:dyDescent="0.2">
      <c r="AG119" t="s">
        <v>144</v>
      </c>
      <c r="AH119" s="1">
        <v>44090</v>
      </c>
      <c r="AI119" s="1">
        <v>44180</v>
      </c>
    </row>
    <row r="120" spans="33:35" x14ac:dyDescent="0.2">
      <c r="AG120" t="s">
        <v>150</v>
      </c>
      <c r="AH120" s="1">
        <v>44090</v>
      </c>
      <c r="AI120" s="1">
        <v>44179</v>
      </c>
    </row>
    <row r="121" spans="33:35" x14ac:dyDescent="0.2">
      <c r="AG121" t="s">
        <v>154</v>
      </c>
      <c r="AH121" s="1">
        <v>44090</v>
      </c>
      <c r="AI121" s="1">
        <v>44180</v>
      </c>
    </row>
    <row r="122" spans="33:35" x14ac:dyDescent="0.2">
      <c r="AG122" t="s">
        <v>158</v>
      </c>
      <c r="AH122" s="1">
        <v>44090</v>
      </c>
      <c r="AI122" s="1">
        <v>44179</v>
      </c>
    </row>
    <row r="123" spans="33:35" x14ac:dyDescent="0.2">
      <c r="AG123" t="s">
        <v>164</v>
      </c>
      <c r="AH123" s="1">
        <v>44090</v>
      </c>
      <c r="AI123" s="1">
        <v>44180</v>
      </c>
    </row>
    <row r="124" spans="33:35" x14ac:dyDescent="0.2">
      <c r="AG124" t="s">
        <v>168</v>
      </c>
      <c r="AH124" s="1">
        <v>44090</v>
      </c>
      <c r="AI124" s="1">
        <v>44180</v>
      </c>
    </row>
    <row r="125" spans="33:35" x14ac:dyDescent="0.2">
      <c r="AG125" t="s">
        <v>172</v>
      </c>
      <c r="AH125" s="1">
        <v>44090</v>
      </c>
      <c r="AI125" s="1">
        <v>44180</v>
      </c>
    </row>
    <row r="126" spans="33:35" x14ac:dyDescent="0.2">
      <c r="AG126" t="s">
        <v>177</v>
      </c>
      <c r="AH126" s="1">
        <v>44090</v>
      </c>
      <c r="AI126" s="1">
        <v>44179</v>
      </c>
    </row>
    <row r="127" spans="33:35" x14ac:dyDescent="0.2">
      <c r="AG127" t="s">
        <v>45</v>
      </c>
      <c r="AH127" s="1">
        <v>44090</v>
      </c>
      <c r="AI127" s="1">
        <v>44179</v>
      </c>
    </row>
    <row r="128" spans="33:35" x14ac:dyDescent="0.2">
      <c r="AG128" t="s">
        <v>181</v>
      </c>
      <c r="AH128" s="1">
        <v>44090</v>
      </c>
      <c r="AI128" s="1">
        <v>44179</v>
      </c>
    </row>
    <row r="129" spans="33:35" x14ac:dyDescent="0.2">
      <c r="AG129" t="s">
        <v>187</v>
      </c>
      <c r="AH129" s="1">
        <v>44090</v>
      </c>
      <c r="AI129" s="1">
        <v>44179</v>
      </c>
    </row>
    <row r="130" spans="33:35" x14ac:dyDescent="0.2">
      <c r="AG130" t="s">
        <v>836</v>
      </c>
      <c r="AH130" s="1">
        <v>44091</v>
      </c>
      <c r="AI130" s="1">
        <v>44180</v>
      </c>
    </row>
    <row r="131" spans="33:35" x14ac:dyDescent="0.2">
      <c r="AG131" t="s">
        <v>837</v>
      </c>
      <c r="AH131" s="1">
        <v>44091</v>
      </c>
      <c r="AI131" s="1">
        <v>44179</v>
      </c>
    </row>
    <row r="132" spans="33:35" x14ac:dyDescent="0.2">
      <c r="AG132" t="s">
        <v>191</v>
      </c>
      <c r="AH132" s="1">
        <v>44091</v>
      </c>
      <c r="AI132" s="1">
        <v>44179</v>
      </c>
    </row>
    <row r="133" spans="33:35" x14ac:dyDescent="0.2">
      <c r="AG133" t="s">
        <v>194</v>
      </c>
      <c r="AH133" s="1">
        <v>44091</v>
      </c>
      <c r="AI133" s="1">
        <v>44179</v>
      </c>
    </row>
    <row r="134" spans="33:35" x14ac:dyDescent="0.2">
      <c r="AG134" t="s">
        <v>198</v>
      </c>
      <c r="AH134" s="1">
        <v>44091</v>
      </c>
      <c r="AI134" s="1">
        <v>44179</v>
      </c>
    </row>
    <row r="135" spans="33:35" x14ac:dyDescent="0.2">
      <c r="AG135" t="s">
        <v>204</v>
      </c>
      <c r="AH135" s="1">
        <v>44091</v>
      </c>
      <c r="AI135" s="1">
        <v>44180</v>
      </c>
    </row>
    <row r="136" spans="33:35" x14ac:dyDescent="0.2">
      <c r="AG136" t="s">
        <v>208</v>
      </c>
      <c r="AH136" s="1">
        <v>44091</v>
      </c>
      <c r="AI136" s="1">
        <v>44180</v>
      </c>
    </row>
    <row r="137" spans="33:35" x14ac:dyDescent="0.2">
      <c r="AG137" t="s">
        <v>212</v>
      </c>
      <c r="AH137" s="1">
        <v>44091</v>
      </c>
      <c r="AI137" s="1">
        <v>44180</v>
      </c>
    </row>
    <row r="138" spans="33:35" x14ac:dyDescent="0.2">
      <c r="AG138" t="s">
        <v>61</v>
      </c>
      <c r="AH138" s="1">
        <v>44090</v>
      </c>
      <c r="AI138" s="1">
        <v>44180</v>
      </c>
    </row>
    <row r="139" spans="33:35" x14ac:dyDescent="0.2">
      <c r="AG139" t="s">
        <v>218</v>
      </c>
      <c r="AH139" s="1">
        <v>44091</v>
      </c>
      <c r="AI139" s="1">
        <v>44179</v>
      </c>
    </row>
    <row r="140" spans="33:35" x14ac:dyDescent="0.2">
      <c r="AG140" t="s">
        <v>219</v>
      </c>
      <c r="AH140" s="1">
        <v>44091</v>
      </c>
      <c r="AI140" s="1">
        <v>44179</v>
      </c>
    </row>
    <row r="141" spans="33:35" x14ac:dyDescent="0.2">
      <c r="AG141" t="s">
        <v>223</v>
      </c>
      <c r="AH141" s="1">
        <v>44091</v>
      </c>
      <c r="AI141" s="1">
        <v>44179</v>
      </c>
    </row>
    <row r="142" spans="33:35" x14ac:dyDescent="0.2">
      <c r="AG142" t="s">
        <v>228</v>
      </c>
      <c r="AH142" s="1">
        <v>44091</v>
      </c>
      <c r="AI142" s="1">
        <v>44179</v>
      </c>
    </row>
    <row r="143" spans="33:35" x14ac:dyDescent="0.2">
      <c r="AG143" t="s">
        <v>229</v>
      </c>
      <c r="AH143" s="1">
        <v>44091</v>
      </c>
      <c r="AI143" s="1">
        <v>44180</v>
      </c>
    </row>
    <row r="144" spans="33:35" x14ac:dyDescent="0.2">
      <c r="AG144" t="s">
        <v>233</v>
      </c>
      <c r="AH144" s="1">
        <v>44091</v>
      </c>
      <c r="AI144" s="1">
        <v>44180</v>
      </c>
    </row>
    <row r="145" spans="33:35" x14ac:dyDescent="0.2">
      <c r="AG145" t="s">
        <v>239</v>
      </c>
      <c r="AH145" s="1">
        <v>44091</v>
      </c>
      <c r="AI145" s="1">
        <v>44179</v>
      </c>
    </row>
    <row r="146" spans="33:35" x14ac:dyDescent="0.2">
      <c r="AG146" t="s">
        <v>240</v>
      </c>
      <c r="AH146" s="1">
        <v>44091</v>
      </c>
      <c r="AI146" s="1">
        <v>44179</v>
      </c>
    </row>
    <row r="147" spans="33:35" x14ac:dyDescent="0.2">
      <c r="AG147" t="s">
        <v>243</v>
      </c>
      <c r="AH147" s="1">
        <v>44091</v>
      </c>
      <c r="AI147" s="1">
        <v>44179</v>
      </c>
    </row>
    <row r="148" spans="33:35" x14ac:dyDescent="0.2">
      <c r="AG148" t="s">
        <v>244</v>
      </c>
      <c r="AH148" s="1">
        <v>44091</v>
      </c>
      <c r="AI148" s="1">
        <v>44179</v>
      </c>
    </row>
    <row r="149" spans="33:35" x14ac:dyDescent="0.2">
      <c r="AG149" t="s">
        <v>65</v>
      </c>
      <c r="AH149" s="1">
        <v>44090</v>
      </c>
      <c r="AI149" s="1">
        <v>44179</v>
      </c>
    </row>
    <row r="150" spans="33:35" x14ac:dyDescent="0.2">
      <c r="AG150" t="s">
        <v>248</v>
      </c>
      <c r="AH150" s="1">
        <v>44091</v>
      </c>
      <c r="AI150" s="1">
        <v>44180</v>
      </c>
    </row>
    <row r="151" spans="33:35" x14ac:dyDescent="0.2">
      <c r="AG151" t="s">
        <v>252</v>
      </c>
      <c r="AH151" s="1">
        <v>44091</v>
      </c>
      <c r="AI151" s="1">
        <v>44180</v>
      </c>
    </row>
    <row r="152" spans="33:35" x14ac:dyDescent="0.2">
      <c r="AG152" t="s">
        <v>258</v>
      </c>
      <c r="AH152" s="1">
        <v>44091</v>
      </c>
      <c r="AI152" s="1">
        <v>44179</v>
      </c>
    </row>
    <row r="153" spans="33:35" x14ac:dyDescent="0.2">
      <c r="AG153" t="s">
        <v>262</v>
      </c>
      <c r="AH153" s="1">
        <v>44091</v>
      </c>
      <c r="AI153" s="1">
        <v>44180</v>
      </c>
    </row>
    <row r="154" spans="33:35" x14ac:dyDescent="0.2">
      <c r="AG154" t="s">
        <v>263</v>
      </c>
      <c r="AH154" s="1">
        <v>44091</v>
      </c>
      <c r="AI154" s="1">
        <v>44179</v>
      </c>
    </row>
    <row r="155" spans="33:35" x14ac:dyDescent="0.2">
      <c r="AG155" t="s">
        <v>266</v>
      </c>
      <c r="AH155" s="1">
        <v>44091</v>
      </c>
      <c r="AI155" s="1">
        <v>44180</v>
      </c>
    </row>
    <row r="156" spans="33:35" x14ac:dyDescent="0.2">
      <c r="AG156" t="s">
        <v>267</v>
      </c>
      <c r="AH156" s="1">
        <v>44091</v>
      </c>
      <c r="AI156" s="1">
        <v>44179</v>
      </c>
    </row>
    <row r="157" spans="33:35" x14ac:dyDescent="0.2">
      <c r="AG157" t="s">
        <v>271</v>
      </c>
      <c r="AH157" s="1">
        <v>44091</v>
      </c>
      <c r="AI157" s="1">
        <v>44180</v>
      </c>
    </row>
    <row r="158" spans="33:35" x14ac:dyDescent="0.2">
      <c r="AG158" t="s">
        <v>273</v>
      </c>
      <c r="AH158" s="1">
        <v>44091</v>
      </c>
      <c r="AI158" s="1">
        <v>44179</v>
      </c>
    </row>
    <row r="159" spans="33:35" x14ac:dyDescent="0.2">
      <c r="AG159" t="s">
        <v>277</v>
      </c>
      <c r="AH159" s="1">
        <v>44091</v>
      </c>
      <c r="AI159" s="1">
        <v>44179</v>
      </c>
    </row>
    <row r="160" spans="33:35" x14ac:dyDescent="0.2">
      <c r="AG160" t="s">
        <v>69</v>
      </c>
      <c r="AH160" s="1">
        <v>44090</v>
      </c>
      <c r="AI160" s="1">
        <v>44180</v>
      </c>
    </row>
    <row r="161" spans="33:35" x14ac:dyDescent="0.2">
      <c r="AG161" t="s">
        <v>281</v>
      </c>
      <c r="AH161" s="1">
        <v>44091</v>
      </c>
      <c r="AI161" s="1">
        <v>44179</v>
      </c>
    </row>
    <row r="162" spans="33:35" x14ac:dyDescent="0.2">
      <c r="AG162" t="s">
        <v>286</v>
      </c>
      <c r="AH162" s="1">
        <v>44091</v>
      </c>
      <c r="AI162" s="1">
        <v>44180</v>
      </c>
    </row>
    <row r="163" spans="33:35" x14ac:dyDescent="0.2">
      <c r="AG163" t="s">
        <v>287</v>
      </c>
      <c r="AH163" s="1">
        <v>44091</v>
      </c>
      <c r="AI163" s="1">
        <v>44180</v>
      </c>
    </row>
    <row r="164" spans="33:35" x14ac:dyDescent="0.2">
      <c r="AG164" t="s">
        <v>288</v>
      </c>
      <c r="AH164" s="1">
        <v>44092</v>
      </c>
      <c r="AI164" s="1">
        <v>44179</v>
      </c>
    </row>
    <row r="165" spans="33:35" x14ac:dyDescent="0.2">
      <c r="AG165" t="s">
        <v>293</v>
      </c>
      <c r="AH165" s="1">
        <v>44092</v>
      </c>
      <c r="AI165" s="1">
        <v>44179</v>
      </c>
    </row>
    <row r="166" spans="33:35" x14ac:dyDescent="0.2">
      <c r="AG166" t="s">
        <v>297</v>
      </c>
      <c r="AH166" s="1">
        <v>44092</v>
      </c>
      <c r="AI166" s="1">
        <v>44179</v>
      </c>
    </row>
    <row r="167" spans="33:35" x14ac:dyDescent="0.2">
      <c r="AG167" t="s">
        <v>303</v>
      </c>
      <c r="AH167" s="1">
        <v>44092</v>
      </c>
      <c r="AI167" s="1">
        <v>44180</v>
      </c>
    </row>
    <row r="168" spans="33:35" x14ac:dyDescent="0.2">
      <c r="AG168" t="s">
        <v>304</v>
      </c>
      <c r="AH168" s="1">
        <v>44092</v>
      </c>
      <c r="AI168" s="1">
        <v>44179</v>
      </c>
    </row>
    <row r="169" spans="33:35" x14ac:dyDescent="0.2">
      <c r="AG169" t="s">
        <v>308</v>
      </c>
      <c r="AH169" s="1">
        <v>44092</v>
      </c>
      <c r="AI169" s="1">
        <v>44179</v>
      </c>
    </row>
    <row r="170" spans="33:35" x14ac:dyDescent="0.2">
      <c r="AG170" t="s">
        <v>311</v>
      </c>
      <c r="AH170" s="1">
        <v>44092</v>
      </c>
      <c r="AI170" s="1">
        <v>44180</v>
      </c>
    </row>
    <row r="171" spans="33:35" x14ac:dyDescent="0.2">
      <c r="AG171" t="s">
        <v>77</v>
      </c>
      <c r="AH171" s="1">
        <v>44090</v>
      </c>
      <c r="AI171" s="1">
        <v>44180</v>
      </c>
    </row>
    <row r="172" spans="33:35" x14ac:dyDescent="0.2">
      <c r="AG172" t="s">
        <v>312</v>
      </c>
      <c r="AH172" s="1">
        <v>44092</v>
      </c>
      <c r="AI172" s="1">
        <v>44179</v>
      </c>
    </row>
    <row r="173" spans="33:35" x14ac:dyDescent="0.2">
      <c r="AG173" t="s">
        <v>316</v>
      </c>
      <c r="AH173" s="1">
        <v>44092</v>
      </c>
      <c r="AI173" s="1">
        <v>44180</v>
      </c>
    </row>
    <row r="174" spans="33:35" x14ac:dyDescent="0.2">
      <c r="AG174" t="s">
        <v>319</v>
      </c>
      <c r="AH174" s="1">
        <v>44092</v>
      </c>
      <c r="AI174" s="1">
        <v>44179</v>
      </c>
    </row>
    <row r="175" spans="33:35" x14ac:dyDescent="0.2">
      <c r="AG175" t="s">
        <v>838</v>
      </c>
      <c r="AH175" s="1">
        <v>44092</v>
      </c>
      <c r="AI175" s="1">
        <v>44180</v>
      </c>
    </row>
    <row r="176" spans="33:35" x14ac:dyDescent="0.2">
      <c r="AG176" t="s">
        <v>839</v>
      </c>
      <c r="AH176" s="1">
        <v>44092</v>
      </c>
      <c r="AI176" s="1">
        <v>44180</v>
      </c>
    </row>
    <row r="177" spans="33:35" x14ac:dyDescent="0.2">
      <c r="AG177" t="s">
        <v>323</v>
      </c>
      <c r="AH177" s="1">
        <v>44092</v>
      </c>
      <c r="AI177" s="1">
        <v>44180</v>
      </c>
    </row>
    <row r="178" spans="33:35" x14ac:dyDescent="0.2">
      <c r="AG178" t="s">
        <v>326</v>
      </c>
      <c r="AH178" s="1">
        <v>44092</v>
      </c>
      <c r="AI178" s="1">
        <v>44180</v>
      </c>
    </row>
    <row r="179" spans="33:35" x14ac:dyDescent="0.2">
      <c r="AG179" t="s">
        <v>327</v>
      </c>
      <c r="AH179" s="1">
        <v>44092</v>
      </c>
      <c r="AI179" s="1">
        <v>44180</v>
      </c>
    </row>
    <row r="180" spans="33:35" x14ac:dyDescent="0.2">
      <c r="AG180" t="s">
        <v>328</v>
      </c>
      <c r="AH180" s="1">
        <v>44092</v>
      </c>
      <c r="AI180" s="1">
        <v>44179</v>
      </c>
    </row>
    <row r="181" spans="33:35" x14ac:dyDescent="0.2">
      <c r="AG181" t="s">
        <v>333</v>
      </c>
      <c r="AH181" s="1">
        <v>44092</v>
      </c>
      <c r="AI181" s="1">
        <v>44180</v>
      </c>
    </row>
    <row r="182" spans="33:35" x14ac:dyDescent="0.2">
      <c r="AG182" t="s">
        <v>81</v>
      </c>
      <c r="AH182" s="1">
        <v>44090</v>
      </c>
      <c r="AI182" s="1">
        <v>44180</v>
      </c>
    </row>
    <row r="183" spans="33:35" x14ac:dyDescent="0.2">
      <c r="AG183" t="s">
        <v>334</v>
      </c>
      <c r="AH183" s="1">
        <v>44092</v>
      </c>
      <c r="AI183" s="1">
        <v>44180</v>
      </c>
    </row>
    <row r="184" spans="33:35" x14ac:dyDescent="0.2">
      <c r="AG184" t="s">
        <v>337</v>
      </c>
      <c r="AH184" s="1">
        <v>44092</v>
      </c>
      <c r="AI184" s="1">
        <v>44180</v>
      </c>
    </row>
    <row r="185" spans="33:35" x14ac:dyDescent="0.2">
      <c r="AG185" t="s">
        <v>338</v>
      </c>
      <c r="AH185" s="1">
        <v>44092</v>
      </c>
      <c r="AI185" s="1">
        <v>44180</v>
      </c>
    </row>
    <row r="186" spans="33:35" x14ac:dyDescent="0.2">
      <c r="AG186" t="s">
        <v>342</v>
      </c>
      <c r="AH186" s="1">
        <v>44092</v>
      </c>
      <c r="AI186" s="1">
        <v>44180</v>
      </c>
    </row>
    <row r="187" spans="33:35" x14ac:dyDescent="0.2">
      <c r="AG187" t="s">
        <v>840</v>
      </c>
      <c r="AH187" s="1">
        <v>44092</v>
      </c>
      <c r="AI187" s="1">
        <v>44179</v>
      </c>
    </row>
    <row r="188" spans="33:35" x14ac:dyDescent="0.2">
      <c r="AG188" t="s">
        <v>841</v>
      </c>
      <c r="AH188" s="1">
        <v>44092</v>
      </c>
      <c r="AI188" s="1">
        <v>44179</v>
      </c>
    </row>
    <row r="189" spans="33:35" x14ac:dyDescent="0.2">
      <c r="AG189" t="s">
        <v>343</v>
      </c>
      <c r="AH189" s="1">
        <v>44092</v>
      </c>
      <c r="AI189" s="1">
        <v>44180</v>
      </c>
    </row>
    <row r="190" spans="33:35" x14ac:dyDescent="0.2">
      <c r="AG190" t="s">
        <v>347</v>
      </c>
      <c r="AH190" s="1">
        <v>44092</v>
      </c>
      <c r="AI190" s="1">
        <v>44180</v>
      </c>
    </row>
    <row r="191" spans="33:35" x14ac:dyDescent="0.2">
      <c r="AG191" t="s">
        <v>348</v>
      </c>
      <c r="AH191" s="1">
        <v>44092</v>
      </c>
      <c r="AI191" s="1">
        <v>44180</v>
      </c>
    </row>
    <row r="192" spans="33:35" x14ac:dyDescent="0.2">
      <c r="AG192" t="s">
        <v>349</v>
      </c>
      <c r="AH192" s="1">
        <v>44092</v>
      </c>
      <c r="AI192" s="1">
        <v>44179</v>
      </c>
    </row>
    <row r="193" spans="33:35" x14ac:dyDescent="0.2">
      <c r="AG193" t="s">
        <v>85</v>
      </c>
      <c r="AH193" s="1">
        <v>44090</v>
      </c>
      <c r="AI193" s="1">
        <v>44179</v>
      </c>
    </row>
    <row r="194" spans="33:35" x14ac:dyDescent="0.2">
      <c r="AG194" t="s">
        <v>351</v>
      </c>
      <c r="AH194" s="1">
        <v>44092</v>
      </c>
      <c r="AI194" s="1">
        <v>44180</v>
      </c>
    </row>
    <row r="195" spans="33:35" x14ac:dyDescent="0.2">
      <c r="AG195" t="s">
        <v>842</v>
      </c>
      <c r="AH195" s="1">
        <v>44092</v>
      </c>
      <c r="AI195" s="1">
        <v>44180</v>
      </c>
    </row>
    <row r="196" spans="33:35" x14ac:dyDescent="0.2">
      <c r="AG196" t="s">
        <v>843</v>
      </c>
      <c r="AH196" s="1">
        <v>44092</v>
      </c>
      <c r="AI196" s="1">
        <v>44179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BE93-E957-904E-8B72-9D2E49E22E3D}">
  <dimension ref="A1:AJ77"/>
  <sheetViews>
    <sheetView workbookViewId="0">
      <selection activeCell="T19" sqref="T19"/>
    </sheetView>
  </sheetViews>
  <sheetFormatPr baseColWidth="10" defaultRowHeight="16" x14ac:dyDescent="0.2"/>
  <sheetData>
    <row r="1" spans="1:36" x14ac:dyDescent="0.2">
      <c r="A1" s="5" t="s">
        <v>510</v>
      </c>
      <c r="B1" s="6" t="s">
        <v>845</v>
      </c>
      <c r="C1" s="6" t="s">
        <v>846</v>
      </c>
      <c r="D1" s="7" t="s">
        <v>847</v>
      </c>
      <c r="E1" s="6" t="s">
        <v>848</v>
      </c>
      <c r="F1" s="7" t="s">
        <v>29</v>
      </c>
      <c r="G1" s="8" t="s">
        <v>22</v>
      </c>
      <c r="H1" s="9" t="s">
        <v>23</v>
      </c>
      <c r="I1" s="9" t="s">
        <v>24</v>
      </c>
      <c r="J1" s="9" t="s">
        <v>438</v>
      </c>
      <c r="K1" s="9" t="s">
        <v>25</v>
      </c>
      <c r="L1" s="9" t="s">
        <v>27</v>
      </c>
      <c r="M1" s="9" t="s">
        <v>849</v>
      </c>
      <c r="N1" s="10" t="s">
        <v>850</v>
      </c>
      <c r="O1" s="10" t="s">
        <v>851</v>
      </c>
      <c r="P1" s="10" t="s">
        <v>852</v>
      </c>
      <c r="Q1" s="9" t="s">
        <v>853</v>
      </c>
      <c r="R1" s="5" t="s">
        <v>854</v>
      </c>
      <c r="S1" s="9" t="s">
        <v>30</v>
      </c>
      <c r="T1" s="9" t="s">
        <v>855</v>
      </c>
      <c r="U1" s="6" t="s">
        <v>856</v>
      </c>
      <c r="V1" s="6" t="s">
        <v>857</v>
      </c>
      <c r="W1" s="6" t="s">
        <v>858</v>
      </c>
      <c r="X1" s="6" t="s">
        <v>859</v>
      </c>
      <c r="Y1" s="6" t="s">
        <v>860</v>
      </c>
      <c r="Z1" s="6" t="s">
        <v>861</v>
      </c>
      <c r="AA1" s="6" t="s">
        <v>862</v>
      </c>
      <c r="AB1" s="6" t="s">
        <v>863</v>
      </c>
      <c r="AC1" s="6" t="s">
        <v>864</v>
      </c>
      <c r="AD1" s="6" t="s">
        <v>865</v>
      </c>
      <c r="AE1" s="9" t="s">
        <v>866</v>
      </c>
      <c r="AF1" s="9" t="s">
        <v>867</v>
      </c>
      <c r="AG1" s="9" t="s">
        <v>868</v>
      </c>
      <c r="AH1" s="7" t="s">
        <v>869</v>
      </c>
      <c r="AI1" s="7" t="s">
        <v>870</v>
      </c>
      <c r="AJ1" s="11" t="s">
        <v>871</v>
      </c>
    </row>
    <row r="2" spans="1:36" x14ac:dyDescent="0.2">
      <c r="A2" s="12" t="s">
        <v>412</v>
      </c>
      <c r="B2" s="13">
        <v>1</v>
      </c>
      <c r="C2" s="14" t="s">
        <v>513</v>
      </c>
      <c r="D2" s="15">
        <v>1</v>
      </c>
      <c r="E2" s="14">
        <v>0</v>
      </c>
      <c r="F2" s="16" t="s">
        <v>100</v>
      </c>
      <c r="G2" s="15">
        <v>47</v>
      </c>
      <c r="H2" s="16" t="s">
        <v>71</v>
      </c>
      <c r="I2" s="16" t="s">
        <v>49</v>
      </c>
      <c r="J2" s="16" t="s">
        <v>51</v>
      </c>
      <c r="K2" s="16" t="s">
        <v>52</v>
      </c>
      <c r="L2" s="16" t="s">
        <v>52</v>
      </c>
      <c r="M2" s="16" t="s">
        <v>872</v>
      </c>
      <c r="N2" s="12" t="s">
        <v>99</v>
      </c>
      <c r="O2" s="17" t="s">
        <v>873</v>
      </c>
      <c r="P2" s="16" t="s">
        <v>874</v>
      </c>
      <c r="Q2" s="16" t="s">
        <v>875</v>
      </c>
      <c r="R2" s="12" t="s">
        <v>55</v>
      </c>
      <c r="S2" s="18" t="s">
        <v>52</v>
      </c>
      <c r="T2" s="15">
        <v>0</v>
      </c>
      <c r="U2" s="13" t="s">
        <v>52</v>
      </c>
      <c r="V2" s="13">
        <v>1</v>
      </c>
      <c r="W2" s="13">
        <v>0</v>
      </c>
      <c r="X2" s="13">
        <v>0</v>
      </c>
      <c r="Y2" s="12">
        <v>1</v>
      </c>
      <c r="Z2" s="12">
        <v>0</v>
      </c>
      <c r="AA2" s="12">
        <v>0</v>
      </c>
      <c r="AB2" s="12">
        <v>0</v>
      </c>
      <c r="AC2" s="12">
        <v>0</v>
      </c>
      <c r="AD2" s="12" t="s">
        <v>235</v>
      </c>
      <c r="AE2" s="16" t="s">
        <v>873</v>
      </c>
      <c r="AF2" s="16" t="s">
        <v>876</v>
      </c>
      <c r="AG2" s="16" t="s">
        <v>875</v>
      </c>
      <c r="AH2" s="14" t="s">
        <v>413</v>
      </c>
      <c r="AI2" s="14">
        <v>0.9</v>
      </c>
      <c r="AJ2" s="19" t="s">
        <v>57</v>
      </c>
    </row>
    <row r="3" spans="1:36" x14ac:dyDescent="0.2">
      <c r="A3" s="12" t="s">
        <v>353</v>
      </c>
      <c r="B3" s="13">
        <v>0</v>
      </c>
      <c r="C3" s="14">
        <v>0</v>
      </c>
      <c r="D3" s="15">
        <v>1</v>
      </c>
      <c r="E3" s="14">
        <v>1</v>
      </c>
      <c r="F3" s="16" t="s">
        <v>54</v>
      </c>
      <c r="G3" s="15">
        <v>55</v>
      </c>
      <c r="H3" s="16" t="s">
        <v>48</v>
      </c>
      <c r="I3" s="16" t="s">
        <v>49</v>
      </c>
      <c r="J3" s="16" t="s">
        <v>51</v>
      </c>
      <c r="K3" s="16" t="s">
        <v>52</v>
      </c>
      <c r="L3" s="16" t="s">
        <v>52</v>
      </c>
      <c r="M3" s="16" t="s">
        <v>872</v>
      </c>
      <c r="N3" s="12" t="s">
        <v>354</v>
      </c>
      <c r="O3" s="17" t="s">
        <v>873</v>
      </c>
      <c r="P3" s="16" t="s">
        <v>877</v>
      </c>
      <c r="Q3" s="16" t="s">
        <v>875</v>
      </c>
      <c r="R3" s="12" t="s">
        <v>55</v>
      </c>
      <c r="S3" s="18" t="s">
        <v>52</v>
      </c>
      <c r="T3" s="15">
        <v>0</v>
      </c>
      <c r="U3" s="13" t="s">
        <v>50</v>
      </c>
      <c r="V3" s="13">
        <v>2</v>
      </c>
      <c r="W3" s="13">
        <v>1</v>
      </c>
      <c r="X3" s="13">
        <v>0</v>
      </c>
      <c r="Y3" s="12">
        <v>1</v>
      </c>
      <c r="Z3" s="12">
        <v>0</v>
      </c>
      <c r="AA3" s="12">
        <v>0</v>
      </c>
      <c r="AB3" s="12">
        <v>1</v>
      </c>
      <c r="AC3" s="12">
        <v>1</v>
      </c>
      <c r="AD3" s="20" t="s">
        <v>878</v>
      </c>
      <c r="AE3" s="16" t="s">
        <v>873</v>
      </c>
      <c r="AF3" s="16" t="s">
        <v>879</v>
      </c>
      <c r="AG3" s="16" t="s">
        <v>875</v>
      </c>
      <c r="AH3" s="22">
        <v>0.9</v>
      </c>
      <c r="AI3" s="14">
        <v>0.1</v>
      </c>
      <c r="AJ3" s="12" t="s">
        <v>310</v>
      </c>
    </row>
    <row r="4" spans="1:36" x14ac:dyDescent="0.2">
      <c r="A4" s="12" t="s">
        <v>358</v>
      </c>
      <c r="B4" s="13">
        <v>0</v>
      </c>
      <c r="C4" s="14">
        <v>0</v>
      </c>
      <c r="D4" s="15">
        <v>1</v>
      </c>
      <c r="E4" s="14">
        <v>1</v>
      </c>
      <c r="F4" s="23" t="s">
        <v>54</v>
      </c>
      <c r="G4" s="15">
        <v>58</v>
      </c>
      <c r="H4" s="16" t="s">
        <v>48</v>
      </c>
      <c r="I4" s="16" t="s">
        <v>49</v>
      </c>
      <c r="J4" s="16" t="s">
        <v>51</v>
      </c>
      <c r="K4" s="16" t="s">
        <v>52</v>
      </c>
      <c r="L4" s="16" t="s">
        <v>52</v>
      </c>
      <c r="M4" s="16" t="s">
        <v>872</v>
      </c>
      <c r="N4" s="12" t="s">
        <v>878</v>
      </c>
      <c r="O4" s="17" t="s">
        <v>873</v>
      </c>
      <c r="P4" s="16" t="s">
        <v>880</v>
      </c>
      <c r="Q4" s="16" t="s">
        <v>875</v>
      </c>
      <c r="R4" s="12" t="s">
        <v>55</v>
      </c>
      <c r="S4" s="18" t="s">
        <v>52</v>
      </c>
      <c r="T4" s="15">
        <v>0</v>
      </c>
      <c r="U4" s="13" t="s">
        <v>50</v>
      </c>
      <c r="V4" s="13">
        <v>1</v>
      </c>
      <c r="W4" s="13">
        <v>1</v>
      </c>
      <c r="X4" s="13">
        <v>0</v>
      </c>
      <c r="Y4" s="12">
        <v>0</v>
      </c>
      <c r="Z4" s="12">
        <v>0</v>
      </c>
      <c r="AA4" s="12">
        <v>0</v>
      </c>
      <c r="AB4" s="12">
        <v>1</v>
      </c>
      <c r="AC4" s="12">
        <v>1</v>
      </c>
      <c r="AD4" s="20" t="s">
        <v>878</v>
      </c>
      <c r="AE4" s="16" t="s">
        <v>881</v>
      </c>
      <c r="AF4" s="16" t="s">
        <v>879</v>
      </c>
      <c r="AG4" s="16" t="s">
        <v>875</v>
      </c>
      <c r="AH4" s="14" t="s">
        <v>359</v>
      </c>
      <c r="AI4" s="14" t="s">
        <v>368</v>
      </c>
      <c r="AJ4" s="19" t="s">
        <v>132</v>
      </c>
    </row>
    <row r="5" spans="1:36" x14ac:dyDescent="0.2">
      <c r="A5" s="12" t="s">
        <v>363</v>
      </c>
      <c r="B5" s="13">
        <v>0</v>
      </c>
      <c r="C5" s="14" t="s">
        <v>513</v>
      </c>
      <c r="D5" s="15">
        <v>1</v>
      </c>
      <c r="E5" s="14">
        <v>0</v>
      </c>
      <c r="F5" s="23" t="s">
        <v>100</v>
      </c>
      <c r="G5" s="15">
        <v>65</v>
      </c>
      <c r="H5" s="16" t="s">
        <v>71</v>
      </c>
      <c r="I5" s="16" t="s">
        <v>49</v>
      </c>
      <c r="J5" s="16" t="s">
        <v>51</v>
      </c>
      <c r="K5" s="24" t="s">
        <v>50</v>
      </c>
      <c r="L5" s="24" t="s">
        <v>50</v>
      </c>
      <c r="M5" s="16" t="s">
        <v>872</v>
      </c>
      <c r="N5" s="12" t="s">
        <v>200</v>
      </c>
      <c r="O5" s="17" t="s">
        <v>873</v>
      </c>
      <c r="P5" s="16" t="s">
        <v>874</v>
      </c>
      <c r="Q5" s="16" t="s">
        <v>875</v>
      </c>
      <c r="R5" s="12" t="s">
        <v>55</v>
      </c>
      <c r="S5" s="18" t="s">
        <v>52</v>
      </c>
      <c r="T5" s="15">
        <v>0</v>
      </c>
      <c r="U5" s="13" t="s">
        <v>50</v>
      </c>
      <c r="V5" s="13">
        <v>1</v>
      </c>
      <c r="W5" s="13">
        <v>0</v>
      </c>
      <c r="X5" s="13">
        <v>0</v>
      </c>
      <c r="Y5" s="12">
        <v>1</v>
      </c>
      <c r="Z5" s="12">
        <v>0</v>
      </c>
      <c r="AA5" s="12">
        <v>0</v>
      </c>
      <c r="AB5" s="12">
        <v>0</v>
      </c>
      <c r="AC5" s="12">
        <v>1</v>
      </c>
      <c r="AD5" s="12" t="s">
        <v>882</v>
      </c>
      <c r="AE5" s="16" t="s">
        <v>881</v>
      </c>
      <c r="AF5" s="16" t="s">
        <v>874</v>
      </c>
      <c r="AG5" s="16" t="s">
        <v>875</v>
      </c>
      <c r="AH5" s="22">
        <v>0.9</v>
      </c>
      <c r="AI5" s="14">
        <v>0.1</v>
      </c>
      <c r="AJ5" s="12" t="s">
        <v>310</v>
      </c>
    </row>
    <row r="6" spans="1:36" x14ac:dyDescent="0.2">
      <c r="A6" s="12" t="s">
        <v>417</v>
      </c>
      <c r="B6" s="13">
        <v>1</v>
      </c>
      <c r="C6" s="14">
        <v>0</v>
      </c>
      <c r="D6" s="15">
        <v>1</v>
      </c>
      <c r="E6" s="14">
        <v>1</v>
      </c>
      <c r="F6" s="23" t="s">
        <v>54</v>
      </c>
      <c r="G6" s="15">
        <v>54</v>
      </c>
      <c r="H6" s="16" t="s">
        <v>48</v>
      </c>
      <c r="I6" s="16" t="s">
        <v>49</v>
      </c>
      <c r="J6" s="16" t="s">
        <v>51</v>
      </c>
      <c r="K6" s="16" t="s">
        <v>52</v>
      </c>
      <c r="L6" s="16" t="s">
        <v>52</v>
      </c>
      <c r="M6" s="16" t="s">
        <v>872</v>
      </c>
      <c r="N6" s="12" t="s">
        <v>87</v>
      </c>
      <c r="O6" s="17" t="s">
        <v>873</v>
      </c>
      <c r="P6" s="16" t="s">
        <v>877</v>
      </c>
      <c r="Q6" s="16" t="s">
        <v>875</v>
      </c>
      <c r="R6" s="12" t="s">
        <v>55</v>
      </c>
      <c r="S6" s="18" t="s">
        <v>52</v>
      </c>
      <c r="T6" s="15">
        <v>1</v>
      </c>
      <c r="U6" s="13" t="s">
        <v>52</v>
      </c>
      <c r="V6" s="13">
        <v>1</v>
      </c>
      <c r="W6" s="13">
        <v>1</v>
      </c>
      <c r="X6" s="13">
        <v>0</v>
      </c>
      <c r="Y6" s="12">
        <v>1</v>
      </c>
      <c r="Z6" s="12">
        <v>1</v>
      </c>
      <c r="AA6" s="12">
        <v>0</v>
      </c>
      <c r="AB6" s="12">
        <v>0</v>
      </c>
      <c r="AC6" s="12"/>
      <c r="AD6" s="12" t="s">
        <v>878</v>
      </c>
      <c r="AE6" s="16" t="s">
        <v>873</v>
      </c>
      <c r="AF6" s="16" t="s">
        <v>883</v>
      </c>
      <c r="AG6" s="16" t="s">
        <v>875</v>
      </c>
      <c r="AH6" s="14" t="s">
        <v>413</v>
      </c>
      <c r="AI6" s="14">
        <v>0.9</v>
      </c>
      <c r="AJ6" s="19" t="s">
        <v>57</v>
      </c>
    </row>
    <row r="7" spans="1:36" x14ac:dyDescent="0.2">
      <c r="A7" s="12" t="s">
        <v>367</v>
      </c>
      <c r="B7" s="13">
        <v>1</v>
      </c>
      <c r="C7" s="14" t="s">
        <v>513</v>
      </c>
      <c r="D7" s="15">
        <v>1</v>
      </c>
      <c r="E7" s="14">
        <v>0</v>
      </c>
      <c r="F7" s="23" t="s">
        <v>100</v>
      </c>
      <c r="G7" s="15">
        <v>68</v>
      </c>
      <c r="H7" s="16" t="s">
        <v>48</v>
      </c>
      <c r="I7" s="16" t="s">
        <v>49</v>
      </c>
      <c r="J7" s="16" t="s">
        <v>51</v>
      </c>
      <c r="K7" s="16" t="s">
        <v>52</v>
      </c>
      <c r="L7" s="16" t="s">
        <v>52</v>
      </c>
      <c r="M7" s="16" t="s">
        <v>872</v>
      </c>
      <c r="N7" s="12" t="s">
        <v>235</v>
      </c>
      <c r="O7" s="17" t="s">
        <v>873</v>
      </c>
      <c r="P7" s="16" t="s">
        <v>876</v>
      </c>
      <c r="Q7" s="16" t="s">
        <v>875</v>
      </c>
      <c r="R7" s="12" t="s">
        <v>55</v>
      </c>
      <c r="S7" s="18" t="s">
        <v>52</v>
      </c>
      <c r="T7" s="15">
        <v>1</v>
      </c>
      <c r="U7" s="13" t="s">
        <v>50</v>
      </c>
      <c r="V7" s="13">
        <v>1</v>
      </c>
      <c r="W7" s="13">
        <v>0</v>
      </c>
      <c r="X7" s="13">
        <v>0</v>
      </c>
      <c r="Y7" s="12">
        <v>1</v>
      </c>
      <c r="Z7" s="12">
        <v>1</v>
      </c>
      <c r="AA7" s="12">
        <v>0</v>
      </c>
      <c r="AB7" s="12">
        <v>0</v>
      </c>
      <c r="AC7" s="12">
        <v>0</v>
      </c>
      <c r="AD7" s="12" t="s">
        <v>884</v>
      </c>
      <c r="AE7" s="16" t="s">
        <v>873</v>
      </c>
      <c r="AF7" s="16" t="s">
        <v>874</v>
      </c>
      <c r="AG7" s="16" t="s">
        <v>885</v>
      </c>
      <c r="AH7" s="14" t="s">
        <v>368</v>
      </c>
      <c r="AI7" s="14" t="s">
        <v>359</v>
      </c>
      <c r="AJ7" s="19" t="s">
        <v>132</v>
      </c>
    </row>
    <row r="8" spans="1:36" x14ac:dyDescent="0.2">
      <c r="A8" s="12" t="s">
        <v>372</v>
      </c>
      <c r="B8" s="13">
        <v>1</v>
      </c>
      <c r="C8" s="14">
        <v>2</v>
      </c>
      <c r="D8" s="15">
        <v>1</v>
      </c>
      <c r="E8" s="14">
        <v>1</v>
      </c>
      <c r="F8" s="23" t="s">
        <v>54</v>
      </c>
      <c r="G8" s="15">
        <v>28</v>
      </c>
      <c r="H8" s="16" t="s">
        <v>71</v>
      </c>
      <c r="I8" s="16" t="s">
        <v>49</v>
      </c>
      <c r="J8" s="16" t="s">
        <v>51</v>
      </c>
      <c r="K8" s="16" t="s">
        <v>52</v>
      </c>
      <c r="L8" s="16" t="s">
        <v>52</v>
      </c>
      <c r="M8" s="16" t="s">
        <v>872</v>
      </c>
      <c r="N8" s="20" t="s">
        <v>886</v>
      </c>
      <c r="O8" s="17" t="s">
        <v>887</v>
      </c>
      <c r="P8" s="16" t="s">
        <v>880</v>
      </c>
      <c r="Q8" s="16" t="s">
        <v>875</v>
      </c>
      <c r="R8" s="12" t="s">
        <v>50</v>
      </c>
      <c r="S8" s="16" t="s">
        <v>55</v>
      </c>
      <c r="T8" s="15">
        <v>0</v>
      </c>
      <c r="U8" s="13" t="s">
        <v>50</v>
      </c>
      <c r="V8" s="13">
        <v>1</v>
      </c>
      <c r="W8" s="13">
        <v>1</v>
      </c>
      <c r="X8" s="13">
        <v>1</v>
      </c>
      <c r="Y8" s="12">
        <v>1</v>
      </c>
      <c r="Z8" s="12">
        <v>1</v>
      </c>
      <c r="AA8" s="12">
        <v>1</v>
      </c>
      <c r="AB8" s="12">
        <v>0</v>
      </c>
      <c r="AC8" s="12"/>
      <c r="AD8" s="12" t="s">
        <v>888</v>
      </c>
      <c r="AE8" s="16" t="s">
        <v>881</v>
      </c>
      <c r="AF8" s="16" t="s">
        <v>879</v>
      </c>
      <c r="AG8" s="16" t="s">
        <v>885</v>
      </c>
      <c r="AH8" s="14" t="s">
        <v>359</v>
      </c>
      <c r="AI8" s="14" t="s">
        <v>368</v>
      </c>
      <c r="AJ8" s="19" t="s">
        <v>132</v>
      </c>
    </row>
    <row r="9" spans="1:36" ht="48" x14ac:dyDescent="0.2">
      <c r="A9" s="20" t="s">
        <v>376</v>
      </c>
      <c r="B9" s="25">
        <v>1</v>
      </c>
      <c r="C9" s="14">
        <v>0</v>
      </c>
      <c r="D9" s="26">
        <v>1</v>
      </c>
      <c r="E9" s="14">
        <v>1</v>
      </c>
      <c r="F9" s="27" t="s">
        <v>54</v>
      </c>
      <c r="G9" s="26">
        <v>60</v>
      </c>
      <c r="H9" s="28" t="s">
        <v>48</v>
      </c>
      <c r="I9" s="28" t="s">
        <v>49</v>
      </c>
      <c r="J9" s="28" t="s">
        <v>51</v>
      </c>
      <c r="K9" s="28" t="s">
        <v>52</v>
      </c>
      <c r="L9" s="28" t="s">
        <v>52</v>
      </c>
      <c r="M9" s="28" t="s">
        <v>872</v>
      </c>
      <c r="N9" s="20" t="s">
        <v>377</v>
      </c>
      <c r="O9" s="17" t="s">
        <v>881</v>
      </c>
      <c r="P9" s="28" t="s">
        <v>877</v>
      </c>
      <c r="Q9" s="28" t="s">
        <v>875</v>
      </c>
      <c r="R9" s="20" t="s">
        <v>55</v>
      </c>
      <c r="S9" s="18" t="s">
        <v>52</v>
      </c>
      <c r="T9" s="26">
        <v>0</v>
      </c>
      <c r="U9" s="25" t="s">
        <v>50</v>
      </c>
      <c r="V9" s="25">
        <v>2</v>
      </c>
      <c r="W9" s="25">
        <v>1</v>
      </c>
      <c r="X9" s="25">
        <v>0</v>
      </c>
      <c r="Y9" s="20">
        <v>0</v>
      </c>
      <c r="Z9" s="20">
        <v>0</v>
      </c>
      <c r="AA9" s="20">
        <v>0</v>
      </c>
      <c r="AB9" s="20">
        <v>0</v>
      </c>
      <c r="AC9" s="20">
        <v>1</v>
      </c>
      <c r="AD9" s="20" t="s">
        <v>889</v>
      </c>
      <c r="AE9" s="28" t="s">
        <v>873</v>
      </c>
      <c r="AF9" s="28" t="s">
        <v>890</v>
      </c>
      <c r="AG9" s="28" t="s">
        <v>875</v>
      </c>
      <c r="AH9" s="14" t="s">
        <v>368</v>
      </c>
      <c r="AI9" s="14" t="s">
        <v>891</v>
      </c>
      <c r="AJ9" s="29" t="s">
        <v>132</v>
      </c>
    </row>
    <row r="10" spans="1:36" x14ac:dyDescent="0.2">
      <c r="A10" s="12" t="s">
        <v>421</v>
      </c>
      <c r="B10" s="13">
        <v>1</v>
      </c>
      <c r="C10" s="14">
        <v>0</v>
      </c>
      <c r="D10" s="15">
        <v>1</v>
      </c>
      <c r="E10" s="14">
        <v>1</v>
      </c>
      <c r="F10" s="23" t="s">
        <v>54</v>
      </c>
      <c r="G10" s="15">
        <v>47</v>
      </c>
      <c r="H10" s="16" t="s">
        <v>48</v>
      </c>
      <c r="I10" s="16" t="s">
        <v>49</v>
      </c>
      <c r="J10" s="16" t="s">
        <v>51</v>
      </c>
      <c r="K10" s="16" t="s">
        <v>50</v>
      </c>
      <c r="L10" s="16" t="s">
        <v>50</v>
      </c>
      <c r="M10" s="16" t="s">
        <v>872</v>
      </c>
      <c r="N10" s="12" t="s">
        <v>382</v>
      </c>
      <c r="O10" s="17" t="s">
        <v>881</v>
      </c>
      <c r="P10" s="16" t="s">
        <v>877</v>
      </c>
      <c r="Q10" s="16" t="s">
        <v>875</v>
      </c>
      <c r="R10" s="12" t="s">
        <v>55</v>
      </c>
      <c r="S10" s="18" t="s">
        <v>52</v>
      </c>
      <c r="T10" s="15">
        <v>0</v>
      </c>
      <c r="U10" s="13" t="s">
        <v>52</v>
      </c>
      <c r="V10" s="13">
        <v>1</v>
      </c>
      <c r="W10" s="13">
        <v>1</v>
      </c>
      <c r="X10" s="13">
        <v>0</v>
      </c>
      <c r="Y10" s="12">
        <v>1</v>
      </c>
      <c r="Z10" s="12">
        <v>1</v>
      </c>
      <c r="AA10" s="12">
        <v>1</v>
      </c>
      <c r="AB10" s="12">
        <v>1</v>
      </c>
      <c r="AC10" s="12">
        <v>1</v>
      </c>
      <c r="AD10" s="20" t="s">
        <v>889</v>
      </c>
      <c r="AE10" s="16" t="s">
        <v>873</v>
      </c>
      <c r="AF10" s="16" t="s">
        <v>890</v>
      </c>
      <c r="AG10" s="16" t="s">
        <v>875</v>
      </c>
      <c r="AH10" s="14" t="s">
        <v>413</v>
      </c>
      <c r="AI10" s="14">
        <v>0.9</v>
      </c>
      <c r="AJ10" s="19" t="s">
        <v>57</v>
      </c>
    </row>
    <row r="11" spans="1:36" x14ac:dyDescent="0.2">
      <c r="A11" s="12" t="s">
        <v>381</v>
      </c>
      <c r="B11" s="13">
        <v>1</v>
      </c>
      <c r="C11" s="14" t="s">
        <v>513</v>
      </c>
      <c r="D11" s="15">
        <v>1</v>
      </c>
      <c r="E11" s="14">
        <v>0</v>
      </c>
      <c r="F11" s="23" t="s">
        <v>100</v>
      </c>
      <c r="G11" s="15">
        <v>53</v>
      </c>
      <c r="H11" s="16" t="s">
        <v>71</v>
      </c>
      <c r="I11" s="16" t="s">
        <v>49</v>
      </c>
      <c r="J11" s="16" t="s">
        <v>51</v>
      </c>
      <c r="K11" s="16" t="s">
        <v>52</v>
      </c>
      <c r="L11" s="16" t="s">
        <v>50</v>
      </c>
      <c r="M11" s="16" t="s">
        <v>872</v>
      </c>
      <c r="N11" s="12" t="s">
        <v>382</v>
      </c>
      <c r="O11" s="17" t="s">
        <v>881</v>
      </c>
      <c r="P11" s="16" t="s">
        <v>877</v>
      </c>
      <c r="Q11" s="16" t="s">
        <v>875</v>
      </c>
      <c r="R11" s="12" t="s">
        <v>52</v>
      </c>
      <c r="S11" s="18" t="s">
        <v>52</v>
      </c>
      <c r="T11" s="15">
        <v>0</v>
      </c>
      <c r="U11" s="13" t="s">
        <v>50</v>
      </c>
      <c r="V11" s="13">
        <v>2</v>
      </c>
      <c r="W11" s="13">
        <v>0</v>
      </c>
      <c r="X11" s="13">
        <v>0</v>
      </c>
      <c r="Y11" s="12">
        <v>0</v>
      </c>
      <c r="Z11" s="12">
        <v>0</v>
      </c>
      <c r="AA11" s="12">
        <v>0</v>
      </c>
      <c r="AB11" s="12">
        <v>0</v>
      </c>
      <c r="AC11" s="12">
        <v>1</v>
      </c>
      <c r="AD11" s="12" t="s">
        <v>892</v>
      </c>
      <c r="AE11" s="16" t="s">
        <v>893</v>
      </c>
      <c r="AF11" s="16" t="s">
        <v>874</v>
      </c>
      <c r="AG11" s="16" t="s">
        <v>875</v>
      </c>
      <c r="AH11" s="14" t="s">
        <v>383</v>
      </c>
      <c r="AI11" s="14">
        <v>0</v>
      </c>
      <c r="AJ11" s="12" t="s">
        <v>310</v>
      </c>
    </row>
    <row r="12" spans="1:36" x14ac:dyDescent="0.2">
      <c r="A12" s="30" t="s">
        <v>387</v>
      </c>
      <c r="B12" s="31">
        <v>0</v>
      </c>
      <c r="C12" s="32" t="s">
        <v>513</v>
      </c>
      <c r="D12" s="33">
        <v>1</v>
      </c>
      <c r="E12" s="32">
        <v>0</v>
      </c>
      <c r="F12" s="34" t="s">
        <v>100</v>
      </c>
      <c r="G12" s="33">
        <v>68</v>
      </c>
      <c r="H12" s="35" t="s">
        <v>71</v>
      </c>
      <c r="I12" s="35" t="s">
        <v>49</v>
      </c>
      <c r="J12" s="35" t="s">
        <v>51</v>
      </c>
      <c r="K12" s="35" t="s">
        <v>50</v>
      </c>
      <c r="L12" s="35" t="s">
        <v>50</v>
      </c>
      <c r="M12" s="35" t="s">
        <v>872</v>
      </c>
      <c r="N12" s="30" t="s">
        <v>377</v>
      </c>
      <c r="O12" s="36" t="s">
        <v>881</v>
      </c>
      <c r="P12" s="35" t="s">
        <v>877</v>
      </c>
      <c r="Q12" s="35" t="s">
        <v>875</v>
      </c>
      <c r="R12" s="30" t="s">
        <v>55</v>
      </c>
      <c r="S12" s="35" t="s">
        <v>52</v>
      </c>
      <c r="T12" s="33">
        <v>0</v>
      </c>
      <c r="U12" s="31" t="s">
        <v>50</v>
      </c>
      <c r="V12" s="31">
        <v>1</v>
      </c>
      <c r="W12" s="31">
        <v>0</v>
      </c>
      <c r="X12" s="31">
        <v>0</v>
      </c>
      <c r="Y12" s="30">
        <v>1</v>
      </c>
      <c r="Z12" s="30">
        <v>0</v>
      </c>
      <c r="AA12" s="30">
        <v>0</v>
      </c>
      <c r="AB12" s="30">
        <v>0</v>
      </c>
      <c r="AC12" s="30">
        <v>0</v>
      </c>
      <c r="AD12" s="30" t="s">
        <v>894</v>
      </c>
      <c r="AE12" s="35" t="s">
        <v>893</v>
      </c>
      <c r="AF12" s="35" t="s">
        <v>874</v>
      </c>
      <c r="AG12" s="35" t="s">
        <v>875</v>
      </c>
      <c r="AH12" s="37">
        <v>1</v>
      </c>
      <c r="AI12" s="32">
        <v>0</v>
      </c>
      <c r="AJ12" s="30" t="s">
        <v>310</v>
      </c>
    </row>
    <row r="13" spans="1:36" x14ac:dyDescent="0.2">
      <c r="A13" s="12" t="s">
        <v>425</v>
      </c>
      <c r="B13" s="13">
        <v>1</v>
      </c>
      <c r="C13" s="14">
        <v>0</v>
      </c>
      <c r="D13" s="15">
        <v>1</v>
      </c>
      <c r="E13" s="14">
        <v>1</v>
      </c>
      <c r="F13" s="23" t="s">
        <v>54</v>
      </c>
      <c r="G13" s="15">
        <v>27</v>
      </c>
      <c r="H13" s="16" t="s">
        <v>71</v>
      </c>
      <c r="I13" s="16" t="s">
        <v>49</v>
      </c>
      <c r="J13" s="16" t="s">
        <v>51</v>
      </c>
      <c r="K13" s="16" t="s">
        <v>52</v>
      </c>
      <c r="L13" s="16" t="s">
        <v>52</v>
      </c>
      <c r="M13" s="16" t="s">
        <v>872</v>
      </c>
      <c r="N13" s="12" t="s">
        <v>53</v>
      </c>
      <c r="O13" s="17" t="s">
        <v>873</v>
      </c>
      <c r="P13" s="16" t="s">
        <v>877</v>
      </c>
      <c r="Q13" s="16" t="s">
        <v>875</v>
      </c>
      <c r="R13" s="12" t="s">
        <v>52</v>
      </c>
      <c r="S13" s="18" t="s">
        <v>52</v>
      </c>
      <c r="T13" s="15">
        <v>0</v>
      </c>
      <c r="U13" s="13" t="s">
        <v>52</v>
      </c>
      <c r="V13" s="13">
        <v>1</v>
      </c>
      <c r="W13" s="13">
        <v>1</v>
      </c>
      <c r="X13" s="13">
        <v>0</v>
      </c>
      <c r="Y13" s="12">
        <v>1</v>
      </c>
      <c r="Z13" s="12">
        <v>0</v>
      </c>
      <c r="AA13" s="12">
        <v>0</v>
      </c>
      <c r="AB13" s="12">
        <v>0</v>
      </c>
      <c r="AC13" s="12">
        <v>0</v>
      </c>
      <c r="AD13" s="12" t="s">
        <v>878</v>
      </c>
      <c r="AE13" s="16" t="s">
        <v>873</v>
      </c>
      <c r="AF13" s="16" t="s">
        <v>879</v>
      </c>
      <c r="AG13" s="16" t="s">
        <v>875</v>
      </c>
      <c r="AH13" s="14" t="s">
        <v>413</v>
      </c>
      <c r="AI13" s="14">
        <v>0.9</v>
      </c>
      <c r="AJ13" s="19" t="s">
        <v>57</v>
      </c>
    </row>
    <row r="14" spans="1:36" x14ac:dyDescent="0.2">
      <c r="A14" s="12" t="s">
        <v>390</v>
      </c>
      <c r="B14" s="13">
        <v>0</v>
      </c>
      <c r="C14" s="14">
        <v>0</v>
      </c>
      <c r="D14" s="15">
        <v>1</v>
      </c>
      <c r="E14" s="14">
        <v>1</v>
      </c>
      <c r="F14" s="23" t="s">
        <v>54</v>
      </c>
      <c r="G14" s="15">
        <v>55</v>
      </c>
      <c r="H14" s="16" t="s">
        <v>71</v>
      </c>
      <c r="I14" s="16" t="s">
        <v>49</v>
      </c>
      <c r="J14" s="16" t="s">
        <v>51</v>
      </c>
      <c r="K14" s="16" t="s">
        <v>50</v>
      </c>
      <c r="L14" s="24" t="s">
        <v>50</v>
      </c>
      <c r="M14" s="16" t="s">
        <v>872</v>
      </c>
      <c r="N14" s="12" t="s">
        <v>87</v>
      </c>
      <c r="O14" s="17" t="s">
        <v>873</v>
      </c>
      <c r="P14" s="16" t="s">
        <v>877</v>
      </c>
      <c r="Q14" s="16" t="s">
        <v>875</v>
      </c>
      <c r="R14" s="12" t="s">
        <v>55</v>
      </c>
      <c r="S14" s="18" t="s">
        <v>52</v>
      </c>
      <c r="T14" s="15">
        <v>1</v>
      </c>
      <c r="U14" s="13" t="s">
        <v>50</v>
      </c>
      <c r="V14" s="13">
        <v>2</v>
      </c>
      <c r="W14" s="13">
        <v>1</v>
      </c>
      <c r="X14" s="13">
        <v>0</v>
      </c>
      <c r="Y14" s="12">
        <v>1</v>
      </c>
      <c r="Z14" s="12">
        <v>1</v>
      </c>
      <c r="AA14" s="12">
        <v>1</v>
      </c>
      <c r="AB14" s="12">
        <v>0</v>
      </c>
      <c r="AC14" s="12"/>
      <c r="AD14" s="12" t="s">
        <v>878</v>
      </c>
      <c r="AE14" s="16" t="s">
        <v>873</v>
      </c>
      <c r="AF14" s="16" t="s">
        <v>879</v>
      </c>
      <c r="AG14" s="16" t="s">
        <v>875</v>
      </c>
      <c r="AH14" s="14" t="s">
        <v>391</v>
      </c>
      <c r="AI14" s="14" t="s">
        <v>895</v>
      </c>
      <c r="AJ14" s="19" t="s">
        <v>132</v>
      </c>
    </row>
    <row r="15" spans="1:36" x14ac:dyDescent="0.2">
      <c r="A15" s="12" t="s">
        <v>429</v>
      </c>
      <c r="B15" s="13">
        <v>1</v>
      </c>
      <c r="C15" s="14">
        <v>1</v>
      </c>
      <c r="D15" s="15">
        <v>1</v>
      </c>
      <c r="E15" s="14">
        <v>1</v>
      </c>
      <c r="F15" s="23" t="s">
        <v>54</v>
      </c>
      <c r="G15" s="15">
        <v>48</v>
      </c>
      <c r="H15" s="16" t="s">
        <v>71</v>
      </c>
      <c r="I15" s="16" t="s">
        <v>49</v>
      </c>
      <c r="J15" s="16" t="s">
        <v>51</v>
      </c>
      <c r="K15" s="16" t="s">
        <v>52</v>
      </c>
      <c r="L15" s="16" t="s">
        <v>52</v>
      </c>
      <c r="M15" s="16" t="s">
        <v>872</v>
      </c>
      <c r="N15" s="20" t="s">
        <v>896</v>
      </c>
      <c r="O15" s="17" t="s">
        <v>873</v>
      </c>
      <c r="P15" s="16" t="s">
        <v>874</v>
      </c>
      <c r="Q15" s="16" t="s">
        <v>875</v>
      </c>
      <c r="R15" s="12" t="s">
        <v>52</v>
      </c>
      <c r="S15" s="16" t="s">
        <v>55</v>
      </c>
      <c r="T15" s="15">
        <v>0</v>
      </c>
      <c r="U15" s="13" t="s">
        <v>52</v>
      </c>
      <c r="V15" s="13">
        <v>1</v>
      </c>
      <c r="W15" s="13">
        <v>0</v>
      </c>
      <c r="X15" s="13">
        <v>1</v>
      </c>
      <c r="Y15" s="12">
        <v>1</v>
      </c>
      <c r="Z15" s="12">
        <v>1</v>
      </c>
      <c r="AA15" s="12">
        <v>0</v>
      </c>
      <c r="AB15" s="12">
        <v>0</v>
      </c>
      <c r="AC15" s="12">
        <v>0</v>
      </c>
      <c r="AD15" s="12" t="s">
        <v>99</v>
      </c>
      <c r="AE15" s="16" t="s">
        <v>873</v>
      </c>
      <c r="AF15" s="16" t="s">
        <v>874</v>
      </c>
      <c r="AG15" s="16" t="s">
        <v>875</v>
      </c>
      <c r="AH15" s="14" t="s">
        <v>413</v>
      </c>
      <c r="AI15" s="14">
        <v>0.9</v>
      </c>
      <c r="AJ15" s="19" t="s">
        <v>57</v>
      </c>
    </row>
    <row r="16" spans="1:36" x14ac:dyDescent="0.2">
      <c r="A16" s="12" t="s">
        <v>395</v>
      </c>
      <c r="B16" s="13">
        <v>0</v>
      </c>
      <c r="C16" s="14">
        <v>0</v>
      </c>
      <c r="D16" s="15">
        <v>1</v>
      </c>
      <c r="E16" s="14">
        <v>1</v>
      </c>
      <c r="F16" s="23" t="s">
        <v>54</v>
      </c>
      <c r="G16" s="15">
        <v>45</v>
      </c>
      <c r="H16" s="16" t="s">
        <v>71</v>
      </c>
      <c r="I16" s="16" t="s">
        <v>49</v>
      </c>
      <c r="J16" s="16" t="s">
        <v>51</v>
      </c>
      <c r="K16" s="16" t="s">
        <v>50</v>
      </c>
      <c r="L16" s="16" t="s">
        <v>50</v>
      </c>
      <c r="M16" s="16" t="s">
        <v>872</v>
      </c>
      <c r="N16" s="20" t="s">
        <v>72</v>
      </c>
      <c r="O16" s="17" t="s">
        <v>873</v>
      </c>
      <c r="P16" s="16" t="s">
        <v>877</v>
      </c>
      <c r="Q16" s="16" t="s">
        <v>875</v>
      </c>
      <c r="R16" s="12" t="s">
        <v>55</v>
      </c>
      <c r="S16" s="16" t="s">
        <v>55</v>
      </c>
      <c r="T16" s="15">
        <v>0</v>
      </c>
      <c r="U16" s="13" t="s">
        <v>50</v>
      </c>
      <c r="V16" s="13">
        <v>2</v>
      </c>
      <c r="W16" s="13">
        <v>1</v>
      </c>
      <c r="X16" s="13">
        <v>0</v>
      </c>
      <c r="Y16" s="12">
        <v>1</v>
      </c>
      <c r="Z16" s="12">
        <v>1</v>
      </c>
      <c r="AA16" s="12">
        <v>0</v>
      </c>
      <c r="AB16" s="12">
        <v>0</v>
      </c>
      <c r="AC16" s="12"/>
      <c r="AD16" s="12" t="s">
        <v>897</v>
      </c>
      <c r="AE16" s="16" t="s">
        <v>881</v>
      </c>
      <c r="AF16" s="16" t="s">
        <v>879</v>
      </c>
      <c r="AG16" s="16" t="s">
        <v>875</v>
      </c>
      <c r="AH16" s="26" t="s">
        <v>391</v>
      </c>
      <c r="AI16" s="14" t="s">
        <v>895</v>
      </c>
      <c r="AJ16" s="19" t="s">
        <v>132</v>
      </c>
    </row>
    <row r="17" spans="1:36" x14ac:dyDescent="0.2">
      <c r="A17" s="12" t="s">
        <v>433</v>
      </c>
      <c r="B17" s="13">
        <v>1</v>
      </c>
      <c r="C17" s="14" t="s">
        <v>513</v>
      </c>
      <c r="D17" s="15">
        <v>1</v>
      </c>
      <c r="E17" s="14">
        <v>0</v>
      </c>
      <c r="F17" s="23" t="s">
        <v>100</v>
      </c>
      <c r="G17" s="15">
        <v>64</v>
      </c>
      <c r="H17" s="16" t="s">
        <v>71</v>
      </c>
      <c r="I17" s="16" t="s">
        <v>49</v>
      </c>
      <c r="J17" s="16" t="s">
        <v>51</v>
      </c>
      <c r="K17" s="24" t="s">
        <v>50</v>
      </c>
      <c r="L17" s="16" t="s">
        <v>50</v>
      </c>
      <c r="M17" s="16" t="s">
        <v>872</v>
      </c>
      <c r="N17" s="12" t="s">
        <v>382</v>
      </c>
      <c r="O17" s="17" t="s">
        <v>881</v>
      </c>
      <c r="P17" s="16" t="s">
        <v>877</v>
      </c>
      <c r="Q17" s="16" t="s">
        <v>875</v>
      </c>
      <c r="R17" s="12" t="s">
        <v>55</v>
      </c>
      <c r="S17" s="16" t="s">
        <v>55</v>
      </c>
      <c r="T17" s="15">
        <v>0</v>
      </c>
      <c r="U17" s="13" t="s">
        <v>52</v>
      </c>
      <c r="V17" s="13">
        <v>0</v>
      </c>
      <c r="W17" s="13">
        <v>0</v>
      </c>
      <c r="X17" s="13">
        <v>0</v>
      </c>
      <c r="Y17" s="12">
        <v>0</v>
      </c>
      <c r="Z17" s="12">
        <v>0</v>
      </c>
      <c r="AA17" s="12">
        <v>0</v>
      </c>
      <c r="AB17" s="12">
        <v>0</v>
      </c>
      <c r="AC17" s="12"/>
      <c r="AD17" s="12" t="s">
        <v>898</v>
      </c>
      <c r="AE17" s="16" t="s">
        <v>881</v>
      </c>
      <c r="AF17" s="16" t="s">
        <v>874</v>
      </c>
      <c r="AG17" s="16" t="s">
        <v>875</v>
      </c>
      <c r="AH17" s="14" t="s">
        <v>413</v>
      </c>
      <c r="AI17" s="14">
        <v>0.9</v>
      </c>
      <c r="AJ17" s="19" t="s">
        <v>57</v>
      </c>
    </row>
    <row r="18" spans="1:36" x14ac:dyDescent="0.2">
      <c r="A18" s="12" t="s">
        <v>437</v>
      </c>
      <c r="B18" s="13">
        <v>0</v>
      </c>
      <c r="C18" s="14">
        <v>1</v>
      </c>
      <c r="D18" s="15">
        <v>1</v>
      </c>
      <c r="E18" s="14">
        <v>1</v>
      </c>
      <c r="F18" s="23" t="s">
        <v>54</v>
      </c>
      <c r="G18" s="15">
        <v>72</v>
      </c>
      <c r="H18" s="16" t="s">
        <v>48</v>
      </c>
      <c r="I18" s="24" t="s">
        <v>55</v>
      </c>
      <c r="J18" s="16" t="s">
        <v>438</v>
      </c>
      <c r="K18" s="16" t="s">
        <v>50</v>
      </c>
      <c r="L18" s="16" t="s">
        <v>50</v>
      </c>
      <c r="M18" s="16" t="s">
        <v>872</v>
      </c>
      <c r="N18" s="12" t="s">
        <v>87</v>
      </c>
      <c r="O18" s="17" t="s">
        <v>873</v>
      </c>
      <c r="P18" s="16" t="s">
        <v>877</v>
      </c>
      <c r="Q18" s="16" t="s">
        <v>875</v>
      </c>
      <c r="R18" s="12" t="s">
        <v>55</v>
      </c>
      <c r="S18" s="16" t="s">
        <v>55</v>
      </c>
      <c r="T18" s="15">
        <v>1</v>
      </c>
      <c r="U18" s="13" t="s">
        <v>52</v>
      </c>
      <c r="V18" s="13">
        <v>1</v>
      </c>
      <c r="W18" s="13">
        <v>0</v>
      </c>
      <c r="X18" s="13">
        <v>1</v>
      </c>
      <c r="Y18" s="12">
        <v>1</v>
      </c>
      <c r="Z18" s="12">
        <v>0</v>
      </c>
      <c r="AA18" s="12">
        <v>0</v>
      </c>
      <c r="AB18" s="12">
        <v>0</v>
      </c>
      <c r="AC18" s="12">
        <v>0</v>
      </c>
      <c r="AD18" s="12" t="s">
        <v>87</v>
      </c>
      <c r="AE18" s="16" t="s">
        <v>873</v>
      </c>
      <c r="AF18" s="16" t="s">
        <v>883</v>
      </c>
      <c r="AG18" s="16" t="s">
        <v>875</v>
      </c>
      <c r="AH18" s="14" t="s">
        <v>413</v>
      </c>
      <c r="AI18" s="14">
        <v>0.9</v>
      </c>
      <c r="AJ18" s="19" t="s">
        <v>57</v>
      </c>
    </row>
    <row r="19" spans="1:36" x14ac:dyDescent="0.2">
      <c r="A19" s="12" t="s">
        <v>442</v>
      </c>
      <c r="B19" s="13">
        <v>1</v>
      </c>
      <c r="C19" s="14">
        <v>2</v>
      </c>
      <c r="D19" s="15">
        <v>1</v>
      </c>
      <c r="E19" s="14">
        <v>1</v>
      </c>
      <c r="F19" s="23" t="s">
        <v>54</v>
      </c>
      <c r="G19" s="15">
        <v>70</v>
      </c>
      <c r="H19" s="16" t="s">
        <v>71</v>
      </c>
      <c r="I19" s="16" t="s">
        <v>49</v>
      </c>
      <c r="J19" s="16" t="s">
        <v>51</v>
      </c>
      <c r="K19" s="16" t="s">
        <v>52</v>
      </c>
      <c r="L19" s="16" t="s">
        <v>52</v>
      </c>
      <c r="M19" s="16" t="s">
        <v>872</v>
      </c>
      <c r="N19" s="12" t="s">
        <v>87</v>
      </c>
      <c r="O19" s="17" t="s">
        <v>873</v>
      </c>
      <c r="P19" s="16" t="s">
        <v>877</v>
      </c>
      <c r="Q19" s="16" t="s">
        <v>875</v>
      </c>
      <c r="R19" s="12" t="s">
        <v>52</v>
      </c>
      <c r="S19" s="16" t="s">
        <v>55</v>
      </c>
      <c r="T19" s="15">
        <v>0</v>
      </c>
      <c r="U19" s="13" t="s">
        <v>52</v>
      </c>
      <c r="V19" s="13">
        <v>2</v>
      </c>
      <c r="W19" s="13">
        <v>1</v>
      </c>
      <c r="X19" s="13">
        <v>1</v>
      </c>
      <c r="Y19" s="12">
        <v>1</v>
      </c>
      <c r="Z19" s="12">
        <v>1</v>
      </c>
      <c r="AA19" s="12">
        <v>0</v>
      </c>
      <c r="AB19" s="12">
        <v>0</v>
      </c>
      <c r="AC19" s="12"/>
      <c r="AD19" s="12" t="s">
        <v>889</v>
      </c>
      <c r="AE19" s="16" t="s">
        <v>873</v>
      </c>
      <c r="AF19" s="16" t="s">
        <v>879</v>
      </c>
      <c r="AG19" s="16" t="s">
        <v>875</v>
      </c>
      <c r="AH19" s="14" t="s">
        <v>413</v>
      </c>
      <c r="AI19" s="14">
        <v>0.9</v>
      </c>
      <c r="AJ19" s="19" t="s">
        <v>57</v>
      </c>
    </row>
    <row r="20" spans="1:36" x14ac:dyDescent="0.2">
      <c r="A20" s="12" t="s">
        <v>399</v>
      </c>
      <c r="B20" s="13">
        <v>1</v>
      </c>
      <c r="C20" s="13">
        <v>2</v>
      </c>
      <c r="D20" s="15">
        <v>1</v>
      </c>
      <c r="E20" s="13">
        <v>1</v>
      </c>
      <c r="F20" s="16" t="s">
        <v>54</v>
      </c>
      <c r="G20" s="15">
        <v>61</v>
      </c>
      <c r="H20" s="16" t="s">
        <v>71</v>
      </c>
      <c r="I20" s="16" t="s">
        <v>49</v>
      </c>
      <c r="J20" s="16" t="s">
        <v>51</v>
      </c>
      <c r="K20" s="16" t="s">
        <v>50</v>
      </c>
      <c r="L20" s="16" t="s">
        <v>50</v>
      </c>
      <c r="M20" s="16" t="s">
        <v>872</v>
      </c>
      <c r="N20" s="12" t="s">
        <v>72</v>
      </c>
      <c r="O20" s="17" t="s">
        <v>873</v>
      </c>
      <c r="P20" s="16" t="s">
        <v>877</v>
      </c>
      <c r="Q20" s="16" t="s">
        <v>875</v>
      </c>
      <c r="R20" s="12" t="s">
        <v>55</v>
      </c>
      <c r="S20" s="16" t="s">
        <v>55</v>
      </c>
      <c r="T20" s="15">
        <v>0</v>
      </c>
      <c r="U20" s="13" t="s">
        <v>50</v>
      </c>
      <c r="V20" s="13">
        <v>0</v>
      </c>
      <c r="W20" s="13">
        <v>1</v>
      </c>
      <c r="X20" s="13">
        <v>1</v>
      </c>
      <c r="Y20" s="12">
        <v>1</v>
      </c>
      <c r="Z20" s="12">
        <v>0</v>
      </c>
      <c r="AA20" s="12">
        <v>1</v>
      </c>
      <c r="AB20" s="12">
        <v>0</v>
      </c>
      <c r="AC20" s="12"/>
      <c r="AD20" s="12" t="s">
        <v>889</v>
      </c>
      <c r="AE20" s="16" t="s">
        <v>873</v>
      </c>
      <c r="AF20" s="16" t="s">
        <v>879</v>
      </c>
      <c r="AG20" s="16" t="s">
        <v>875</v>
      </c>
      <c r="AH20" s="38">
        <v>0.2</v>
      </c>
      <c r="AI20" s="14">
        <v>0.8</v>
      </c>
      <c r="AJ20" s="19" t="s">
        <v>132</v>
      </c>
    </row>
    <row r="21" spans="1:36" x14ac:dyDescent="0.2">
      <c r="A21" s="12" t="s">
        <v>450</v>
      </c>
      <c r="B21" s="13">
        <v>0</v>
      </c>
      <c r="C21" s="13">
        <v>2</v>
      </c>
      <c r="D21" s="15">
        <v>1</v>
      </c>
      <c r="E21" s="13">
        <v>1</v>
      </c>
      <c r="F21" s="16" t="s">
        <v>54</v>
      </c>
      <c r="G21" s="15">
        <v>54</v>
      </c>
      <c r="H21" s="16" t="s">
        <v>48</v>
      </c>
      <c r="I21" s="16" t="s">
        <v>49</v>
      </c>
      <c r="J21" s="16" t="s">
        <v>51</v>
      </c>
      <c r="K21" s="16" t="s">
        <v>50</v>
      </c>
      <c r="L21" s="16" t="s">
        <v>50</v>
      </c>
      <c r="M21" s="16" t="s">
        <v>872</v>
      </c>
      <c r="N21" s="12" t="s">
        <v>72</v>
      </c>
      <c r="O21" s="17" t="s">
        <v>873</v>
      </c>
      <c r="P21" s="16" t="s">
        <v>877</v>
      </c>
      <c r="Q21" s="16" t="s">
        <v>875</v>
      </c>
      <c r="R21" s="12" t="s">
        <v>52</v>
      </c>
      <c r="S21" s="16" t="s">
        <v>55</v>
      </c>
      <c r="T21" s="15">
        <v>1</v>
      </c>
      <c r="U21" s="13" t="s">
        <v>52</v>
      </c>
      <c r="V21" s="13">
        <v>1</v>
      </c>
      <c r="W21" s="13">
        <v>1</v>
      </c>
      <c r="X21" s="13">
        <v>1</v>
      </c>
      <c r="Y21" s="12">
        <v>1</v>
      </c>
      <c r="Z21" s="12">
        <v>1</v>
      </c>
      <c r="AA21" s="12">
        <v>1</v>
      </c>
      <c r="AB21" s="12">
        <v>1</v>
      </c>
      <c r="AC21" s="12"/>
      <c r="AD21" s="12" t="s">
        <v>889</v>
      </c>
      <c r="AE21" s="16" t="s">
        <v>873</v>
      </c>
      <c r="AF21" s="16" t="s">
        <v>879</v>
      </c>
      <c r="AG21" s="16" t="s">
        <v>875</v>
      </c>
      <c r="AH21" s="13" t="s">
        <v>56</v>
      </c>
      <c r="AI21" s="14">
        <v>0.9</v>
      </c>
      <c r="AJ21" s="19" t="s">
        <v>57</v>
      </c>
    </row>
    <row r="22" spans="1:36" x14ac:dyDescent="0.2">
      <c r="A22" s="12" t="s">
        <v>403</v>
      </c>
      <c r="B22" s="13">
        <v>1</v>
      </c>
      <c r="C22" s="13" t="s">
        <v>513</v>
      </c>
      <c r="D22" s="15">
        <v>1</v>
      </c>
      <c r="E22" s="13">
        <v>0</v>
      </c>
      <c r="F22" s="16" t="s">
        <v>100</v>
      </c>
      <c r="G22" s="15">
        <v>59</v>
      </c>
      <c r="H22" s="16" t="s">
        <v>71</v>
      </c>
      <c r="I22" s="16" t="s">
        <v>49</v>
      </c>
      <c r="J22" s="16" t="s">
        <v>51</v>
      </c>
      <c r="K22" s="16" t="s">
        <v>50</v>
      </c>
      <c r="L22" s="16" t="s">
        <v>50</v>
      </c>
      <c r="M22" s="16" t="s">
        <v>872</v>
      </c>
      <c r="N22" s="12" t="s">
        <v>99</v>
      </c>
      <c r="O22" s="17" t="s">
        <v>873</v>
      </c>
      <c r="P22" s="16" t="s">
        <v>874</v>
      </c>
      <c r="Q22" s="16" t="s">
        <v>875</v>
      </c>
      <c r="R22" s="12" t="s">
        <v>55</v>
      </c>
      <c r="S22" s="16" t="s">
        <v>55</v>
      </c>
      <c r="T22" s="15">
        <v>1</v>
      </c>
      <c r="U22" s="13" t="s">
        <v>50</v>
      </c>
      <c r="V22" s="13">
        <v>1</v>
      </c>
      <c r="W22" s="13">
        <v>0</v>
      </c>
      <c r="X22" s="13">
        <v>0</v>
      </c>
      <c r="Y22" s="12">
        <v>1</v>
      </c>
      <c r="Z22" s="12">
        <v>0</v>
      </c>
      <c r="AA22" s="12">
        <v>0</v>
      </c>
      <c r="AB22" s="12">
        <v>0</v>
      </c>
      <c r="AC22" s="12">
        <v>0</v>
      </c>
      <c r="AD22" s="12" t="s">
        <v>99</v>
      </c>
      <c r="AE22" s="16" t="s">
        <v>873</v>
      </c>
      <c r="AF22" s="16" t="s">
        <v>874</v>
      </c>
      <c r="AG22" s="16" t="s">
        <v>875</v>
      </c>
      <c r="AH22" s="38">
        <v>0.2</v>
      </c>
      <c r="AI22" s="14">
        <v>0.8</v>
      </c>
      <c r="AJ22" s="19" t="s">
        <v>132</v>
      </c>
    </row>
    <row r="23" spans="1:36" x14ac:dyDescent="0.2">
      <c r="A23" s="12" t="s">
        <v>500</v>
      </c>
      <c r="B23" s="13">
        <v>0</v>
      </c>
      <c r="C23" s="13" t="s">
        <v>513</v>
      </c>
      <c r="D23" s="15">
        <v>1</v>
      </c>
      <c r="E23" s="13">
        <v>0</v>
      </c>
      <c r="F23" s="16" t="s">
        <v>100</v>
      </c>
      <c r="G23" s="15">
        <v>68</v>
      </c>
      <c r="H23" s="16" t="s">
        <v>48</v>
      </c>
      <c r="I23" s="16" t="s">
        <v>49</v>
      </c>
      <c r="J23" s="16" t="s">
        <v>51</v>
      </c>
      <c r="K23" s="16" t="s">
        <v>52</v>
      </c>
      <c r="L23" s="16" t="s">
        <v>52</v>
      </c>
      <c r="M23" s="16" t="s">
        <v>872</v>
      </c>
      <c r="N23" s="20" t="s">
        <v>382</v>
      </c>
      <c r="O23" s="17" t="s">
        <v>881</v>
      </c>
      <c r="P23" s="16" t="s">
        <v>877</v>
      </c>
      <c r="Q23" s="16" t="s">
        <v>875</v>
      </c>
      <c r="R23" s="12" t="s">
        <v>52</v>
      </c>
      <c r="S23" s="16" t="s">
        <v>55</v>
      </c>
      <c r="T23" s="15">
        <v>0</v>
      </c>
      <c r="U23" s="13" t="s">
        <v>50</v>
      </c>
      <c r="V23" s="13">
        <v>2</v>
      </c>
      <c r="W23" s="13">
        <v>0</v>
      </c>
      <c r="X23" s="13">
        <v>0</v>
      </c>
      <c r="Y23" s="12">
        <v>0</v>
      </c>
      <c r="Z23" s="12">
        <v>0</v>
      </c>
      <c r="AA23" s="12">
        <v>0</v>
      </c>
      <c r="AB23" s="12">
        <v>0</v>
      </c>
      <c r="AC23" s="12">
        <v>0</v>
      </c>
      <c r="AD23" s="39" t="s">
        <v>899</v>
      </c>
      <c r="AE23" s="16" t="s">
        <v>881</v>
      </c>
      <c r="AF23" s="16" t="s">
        <v>890</v>
      </c>
      <c r="AG23" s="16" t="s">
        <v>875</v>
      </c>
      <c r="AH23" s="13" t="s">
        <v>368</v>
      </c>
      <c r="AI23" s="14" t="s">
        <v>359</v>
      </c>
      <c r="AJ23" s="19" t="s">
        <v>132</v>
      </c>
    </row>
    <row r="24" spans="1:36" x14ac:dyDescent="0.2">
      <c r="A24" s="12" t="s">
        <v>47</v>
      </c>
      <c r="B24" s="13">
        <v>1</v>
      </c>
      <c r="C24" s="13">
        <v>0</v>
      </c>
      <c r="D24" s="15">
        <v>1</v>
      </c>
      <c r="E24" s="13">
        <v>1</v>
      </c>
      <c r="F24" s="16" t="s">
        <v>54</v>
      </c>
      <c r="G24" s="15">
        <v>44</v>
      </c>
      <c r="H24" s="16" t="s">
        <v>48</v>
      </c>
      <c r="I24" s="16" t="s">
        <v>49</v>
      </c>
      <c r="J24" s="16" t="s">
        <v>51</v>
      </c>
      <c r="K24" s="16" t="s">
        <v>50</v>
      </c>
      <c r="L24" s="16" t="s">
        <v>52</v>
      </c>
      <c r="M24" s="16" t="s">
        <v>872</v>
      </c>
      <c r="N24" s="20" t="s">
        <v>53</v>
      </c>
      <c r="O24" s="17" t="s">
        <v>873</v>
      </c>
      <c r="P24" s="16" t="s">
        <v>877</v>
      </c>
      <c r="Q24" s="16" t="s">
        <v>875</v>
      </c>
      <c r="R24" s="12" t="s">
        <v>52</v>
      </c>
      <c r="S24" s="24" t="s">
        <v>55</v>
      </c>
      <c r="T24" s="15">
        <v>0</v>
      </c>
      <c r="U24" s="13" t="s">
        <v>52</v>
      </c>
      <c r="V24" s="13">
        <v>1</v>
      </c>
      <c r="W24" s="13">
        <v>1</v>
      </c>
      <c r="X24" s="13">
        <v>0</v>
      </c>
      <c r="Y24" s="12">
        <v>1</v>
      </c>
      <c r="Z24" s="12">
        <v>1</v>
      </c>
      <c r="AA24" s="12">
        <v>0</v>
      </c>
      <c r="AB24" s="12">
        <v>0</v>
      </c>
      <c r="AC24" s="12">
        <v>0</v>
      </c>
      <c r="AD24" s="12" t="s">
        <v>889</v>
      </c>
      <c r="AE24" s="16" t="s">
        <v>873</v>
      </c>
      <c r="AF24" s="16" t="s">
        <v>879</v>
      </c>
      <c r="AG24" s="16" t="s">
        <v>875</v>
      </c>
      <c r="AH24" s="13" t="s">
        <v>56</v>
      </c>
      <c r="AI24" s="14">
        <v>0.9</v>
      </c>
      <c r="AJ24" s="19" t="s">
        <v>57</v>
      </c>
    </row>
    <row r="25" spans="1:36" x14ac:dyDescent="0.2">
      <c r="A25" s="12" t="s">
        <v>454</v>
      </c>
      <c r="B25" s="13">
        <v>1</v>
      </c>
      <c r="C25" s="13">
        <v>0</v>
      </c>
      <c r="D25" s="15">
        <v>1</v>
      </c>
      <c r="E25" s="13">
        <v>1</v>
      </c>
      <c r="F25" s="16" t="s">
        <v>54</v>
      </c>
      <c r="G25" s="15">
        <v>58</v>
      </c>
      <c r="H25" s="16" t="s">
        <v>48</v>
      </c>
      <c r="I25" s="16" t="s">
        <v>455</v>
      </c>
      <c r="J25" s="16" t="s">
        <v>51</v>
      </c>
      <c r="K25" s="16" t="s">
        <v>50</v>
      </c>
      <c r="L25" s="16" t="s">
        <v>50</v>
      </c>
      <c r="M25" s="16" t="s">
        <v>872</v>
      </c>
      <c r="N25" s="12" t="s">
        <v>235</v>
      </c>
      <c r="O25" s="17" t="s">
        <v>873</v>
      </c>
      <c r="P25" s="16" t="s">
        <v>876</v>
      </c>
      <c r="Q25" s="16" t="s">
        <v>875</v>
      </c>
      <c r="R25" s="12" t="s">
        <v>52</v>
      </c>
      <c r="S25" s="16" t="s">
        <v>52</v>
      </c>
      <c r="T25" s="15">
        <v>0</v>
      </c>
      <c r="U25" s="13" t="s">
        <v>52</v>
      </c>
      <c r="V25" s="13">
        <v>0</v>
      </c>
      <c r="W25" s="13">
        <v>1</v>
      </c>
      <c r="X25" s="13">
        <v>0</v>
      </c>
      <c r="Y25" s="12">
        <v>1</v>
      </c>
      <c r="Z25" s="12">
        <v>0</v>
      </c>
      <c r="AA25" s="12">
        <v>0</v>
      </c>
      <c r="AB25" s="12">
        <v>0</v>
      </c>
      <c r="AC25" s="12">
        <v>0</v>
      </c>
      <c r="AD25" s="12" t="s">
        <v>889</v>
      </c>
      <c r="AE25" s="16" t="s">
        <v>873</v>
      </c>
      <c r="AF25" s="16" t="s">
        <v>879</v>
      </c>
      <c r="AG25" s="16" t="s">
        <v>885</v>
      </c>
      <c r="AH25" s="38">
        <v>0</v>
      </c>
      <c r="AI25" s="14">
        <v>1</v>
      </c>
      <c r="AJ25" s="19" t="s">
        <v>57</v>
      </c>
    </row>
    <row r="26" spans="1:36" x14ac:dyDescent="0.2">
      <c r="A26" s="12" t="s">
        <v>459</v>
      </c>
      <c r="B26" s="13">
        <v>1</v>
      </c>
      <c r="C26" s="13" t="s">
        <v>513</v>
      </c>
      <c r="D26" s="15">
        <v>1</v>
      </c>
      <c r="E26" s="13">
        <v>0</v>
      </c>
      <c r="F26" s="16" t="s">
        <v>100</v>
      </c>
      <c r="G26" s="15">
        <v>60</v>
      </c>
      <c r="H26" s="16" t="s">
        <v>71</v>
      </c>
      <c r="I26" s="16" t="s">
        <v>49</v>
      </c>
      <c r="J26" s="16" t="s">
        <v>51</v>
      </c>
      <c r="K26" s="16" t="s">
        <v>50</v>
      </c>
      <c r="L26" s="16" t="s">
        <v>50</v>
      </c>
      <c r="M26" s="16" t="s">
        <v>872</v>
      </c>
      <c r="N26" s="12" t="s">
        <v>87</v>
      </c>
      <c r="O26" s="17" t="s">
        <v>873</v>
      </c>
      <c r="P26" s="16" t="s">
        <v>877</v>
      </c>
      <c r="Q26" s="16" t="s">
        <v>875</v>
      </c>
      <c r="R26" s="12" t="s">
        <v>55</v>
      </c>
      <c r="S26" s="16" t="s">
        <v>55</v>
      </c>
      <c r="T26" s="15">
        <v>1</v>
      </c>
      <c r="U26" s="13" t="s">
        <v>52</v>
      </c>
      <c r="V26" s="13">
        <v>0</v>
      </c>
      <c r="W26" s="13">
        <v>0</v>
      </c>
      <c r="X26" s="13">
        <v>0</v>
      </c>
      <c r="Y26" s="12">
        <v>1</v>
      </c>
      <c r="Z26" s="12">
        <v>1</v>
      </c>
      <c r="AA26" s="12">
        <v>0</v>
      </c>
      <c r="AB26" s="12">
        <v>0</v>
      </c>
      <c r="AC26" s="12">
        <v>0</v>
      </c>
      <c r="AD26" s="12" t="s">
        <v>900</v>
      </c>
      <c r="AE26" s="16" t="s">
        <v>873</v>
      </c>
      <c r="AF26" s="16" t="s">
        <v>874</v>
      </c>
      <c r="AG26" s="16" t="s">
        <v>885</v>
      </c>
      <c r="AH26" s="13" t="s">
        <v>460</v>
      </c>
      <c r="AI26" s="14" t="s">
        <v>901</v>
      </c>
      <c r="AJ26" s="19" t="s">
        <v>57</v>
      </c>
    </row>
    <row r="27" spans="1:36" x14ac:dyDescent="0.2">
      <c r="A27" s="12" t="s">
        <v>516</v>
      </c>
      <c r="B27" s="13">
        <v>0</v>
      </c>
      <c r="C27" s="13" t="s">
        <v>513</v>
      </c>
      <c r="D27" s="15">
        <v>1</v>
      </c>
      <c r="E27" s="13">
        <v>0</v>
      </c>
      <c r="F27" s="16" t="s">
        <v>100</v>
      </c>
      <c r="G27" s="15">
        <v>74</v>
      </c>
      <c r="H27" s="16" t="s">
        <v>71</v>
      </c>
      <c r="I27" s="16" t="s">
        <v>49</v>
      </c>
      <c r="J27" s="16" t="s">
        <v>51</v>
      </c>
      <c r="K27" s="16" t="s">
        <v>52</v>
      </c>
      <c r="L27" s="16" t="s">
        <v>52</v>
      </c>
      <c r="M27" s="16" t="s">
        <v>872</v>
      </c>
      <c r="N27" s="20" t="s">
        <v>235</v>
      </c>
      <c r="O27" s="17" t="s">
        <v>873</v>
      </c>
      <c r="P27" s="16" t="s">
        <v>876</v>
      </c>
      <c r="Q27" s="16" t="s">
        <v>875</v>
      </c>
      <c r="R27" s="12" t="s">
        <v>55</v>
      </c>
      <c r="S27" s="16" t="s">
        <v>55</v>
      </c>
      <c r="T27" s="15">
        <v>0</v>
      </c>
      <c r="U27" s="13" t="s">
        <v>50</v>
      </c>
      <c r="V27" s="13">
        <v>9</v>
      </c>
      <c r="W27" s="13">
        <v>0</v>
      </c>
      <c r="X27" s="13">
        <v>0</v>
      </c>
      <c r="Y27" s="12">
        <v>1</v>
      </c>
      <c r="Z27" s="12">
        <v>1</v>
      </c>
      <c r="AA27" s="12">
        <v>0</v>
      </c>
      <c r="AB27" s="12">
        <v>0</v>
      </c>
      <c r="AC27" s="12"/>
      <c r="AD27" s="12" t="s">
        <v>902</v>
      </c>
      <c r="AE27" s="16" t="s">
        <v>873</v>
      </c>
      <c r="AF27" s="16" t="s">
        <v>874</v>
      </c>
      <c r="AG27" s="16" t="s">
        <v>885</v>
      </c>
      <c r="AH27" s="38">
        <v>0.2</v>
      </c>
      <c r="AI27" s="14">
        <v>0.8</v>
      </c>
      <c r="AJ27" s="19" t="s">
        <v>132</v>
      </c>
    </row>
    <row r="28" spans="1:36" x14ac:dyDescent="0.2">
      <c r="A28" s="12" t="s">
        <v>70</v>
      </c>
      <c r="B28" s="13">
        <v>0</v>
      </c>
      <c r="C28" s="13">
        <v>0</v>
      </c>
      <c r="D28" s="15">
        <v>1</v>
      </c>
      <c r="E28" s="13">
        <v>1</v>
      </c>
      <c r="F28" s="16" t="s">
        <v>903</v>
      </c>
      <c r="G28" s="15">
        <v>51</v>
      </c>
      <c r="H28" s="16" t="s">
        <v>71</v>
      </c>
      <c r="I28" s="16" t="s">
        <v>49</v>
      </c>
      <c r="J28" s="16" t="s">
        <v>51</v>
      </c>
      <c r="K28" s="16" t="s">
        <v>52</v>
      </c>
      <c r="L28" s="16" t="s">
        <v>52</v>
      </c>
      <c r="M28" s="16" t="s">
        <v>872</v>
      </c>
      <c r="N28" s="20" t="s">
        <v>72</v>
      </c>
      <c r="O28" s="17" t="s">
        <v>873</v>
      </c>
      <c r="P28" s="16" t="s">
        <v>877</v>
      </c>
      <c r="Q28" s="16" t="s">
        <v>875</v>
      </c>
      <c r="R28" s="12" t="s">
        <v>55</v>
      </c>
      <c r="S28" s="16" t="s">
        <v>55</v>
      </c>
      <c r="T28" s="15">
        <v>1</v>
      </c>
      <c r="U28" s="13" t="s">
        <v>52</v>
      </c>
      <c r="V28" s="13">
        <v>9</v>
      </c>
      <c r="W28" s="13">
        <v>1</v>
      </c>
      <c r="X28" s="13">
        <v>0</v>
      </c>
      <c r="Y28" s="12">
        <v>1</v>
      </c>
      <c r="Z28" s="12">
        <v>1</v>
      </c>
      <c r="AA28" s="12">
        <v>1</v>
      </c>
      <c r="AB28" s="12">
        <v>1</v>
      </c>
      <c r="AC28" s="12"/>
      <c r="AD28" s="12" t="s">
        <v>889</v>
      </c>
      <c r="AE28" s="16" t="s">
        <v>873</v>
      </c>
      <c r="AF28" s="16" t="s">
        <v>879</v>
      </c>
      <c r="AG28" s="16" t="s">
        <v>875</v>
      </c>
      <c r="AH28" s="13" t="s">
        <v>73</v>
      </c>
      <c r="AI28" s="14" t="s">
        <v>341</v>
      </c>
      <c r="AJ28" s="19" t="s">
        <v>57</v>
      </c>
    </row>
    <row r="29" spans="1:36" x14ac:dyDescent="0.2">
      <c r="A29" s="12" t="s">
        <v>86</v>
      </c>
      <c r="B29" s="13">
        <v>1</v>
      </c>
      <c r="C29" s="13">
        <v>0</v>
      </c>
      <c r="D29" s="15">
        <v>1</v>
      </c>
      <c r="E29" s="13">
        <v>1</v>
      </c>
      <c r="F29" s="16" t="s">
        <v>903</v>
      </c>
      <c r="G29" s="15">
        <v>71</v>
      </c>
      <c r="H29" s="16" t="s">
        <v>48</v>
      </c>
      <c r="I29" s="16" t="s">
        <v>49</v>
      </c>
      <c r="J29" s="16" t="s">
        <v>51</v>
      </c>
      <c r="K29" s="16" t="s">
        <v>50</v>
      </c>
      <c r="L29" s="16" t="s">
        <v>52</v>
      </c>
      <c r="M29" s="16" t="s">
        <v>872</v>
      </c>
      <c r="N29" s="20" t="s">
        <v>87</v>
      </c>
      <c r="O29" s="17" t="s">
        <v>873</v>
      </c>
      <c r="P29" s="16" t="s">
        <v>877</v>
      </c>
      <c r="Q29" s="16" t="s">
        <v>875</v>
      </c>
      <c r="R29" s="12" t="s">
        <v>55</v>
      </c>
      <c r="S29" s="16" t="s">
        <v>55</v>
      </c>
      <c r="T29" s="15">
        <v>1</v>
      </c>
      <c r="U29" s="13" t="s">
        <v>52</v>
      </c>
      <c r="V29" s="13">
        <v>1</v>
      </c>
      <c r="W29" s="13">
        <v>1</v>
      </c>
      <c r="X29" s="13">
        <v>0</v>
      </c>
      <c r="Y29" s="12">
        <v>1</v>
      </c>
      <c r="Z29" s="12">
        <v>0</v>
      </c>
      <c r="AA29" s="12">
        <v>0</v>
      </c>
      <c r="AB29" s="12">
        <v>0</v>
      </c>
      <c r="AC29" s="12"/>
      <c r="AD29" s="12" t="s">
        <v>904</v>
      </c>
      <c r="AE29" s="16" t="s">
        <v>873</v>
      </c>
      <c r="AF29" s="16" t="s">
        <v>879</v>
      </c>
      <c r="AG29" s="16" t="s">
        <v>885</v>
      </c>
      <c r="AH29" s="13" t="s">
        <v>73</v>
      </c>
      <c r="AI29" s="14" t="s">
        <v>341</v>
      </c>
      <c r="AJ29" s="19" t="s">
        <v>57</v>
      </c>
    </row>
    <row r="30" spans="1:36" x14ac:dyDescent="0.2">
      <c r="A30" s="12" t="s">
        <v>517</v>
      </c>
      <c r="B30" s="13">
        <v>0</v>
      </c>
      <c r="C30" s="13">
        <v>0</v>
      </c>
      <c r="D30" s="15">
        <v>1</v>
      </c>
      <c r="E30" s="13">
        <v>1</v>
      </c>
      <c r="F30" s="16" t="s">
        <v>903</v>
      </c>
      <c r="G30" s="15">
        <v>47</v>
      </c>
      <c r="H30" s="16" t="s">
        <v>71</v>
      </c>
      <c r="I30" s="16" t="s">
        <v>49</v>
      </c>
      <c r="J30" s="16" t="s">
        <v>51</v>
      </c>
      <c r="K30" s="16" t="s">
        <v>50</v>
      </c>
      <c r="L30" s="16" t="s">
        <v>50</v>
      </c>
      <c r="M30" s="16" t="s">
        <v>905</v>
      </c>
      <c r="N30" s="20" t="s">
        <v>382</v>
      </c>
      <c r="O30" s="17" t="s">
        <v>881</v>
      </c>
      <c r="P30" s="16" t="s">
        <v>877</v>
      </c>
      <c r="Q30" s="16" t="s">
        <v>875</v>
      </c>
      <c r="R30" s="12" t="s">
        <v>52</v>
      </c>
      <c r="S30" s="16" t="s">
        <v>55</v>
      </c>
      <c r="T30" s="15">
        <v>1</v>
      </c>
      <c r="U30" s="13" t="s">
        <v>50</v>
      </c>
      <c r="V30" s="13">
        <v>9</v>
      </c>
      <c r="W30" s="13">
        <v>1</v>
      </c>
      <c r="X30" s="13">
        <v>0</v>
      </c>
      <c r="Y30" s="12">
        <v>1</v>
      </c>
      <c r="Z30" s="12">
        <v>1</v>
      </c>
      <c r="AA30" s="12">
        <v>1</v>
      </c>
      <c r="AB30" s="12">
        <v>0</v>
      </c>
      <c r="AC30" s="12"/>
      <c r="AD30" s="12" t="s">
        <v>906</v>
      </c>
      <c r="AE30" s="16" t="s">
        <v>881</v>
      </c>
      <c r="AF30" s="16" t="s">
        <v>879</v>
      </c>
      <c r="AG30" s="16" t="s">
        <v>885</v>
      </c>
      <c r="AH30" s="38">
        <v>0.2</v>
      </c>
      <c r="AI30" s="14" t="s">
        <v>488</v>
      </c>
      <c r="AJ30" s="19" t="s">
        <v>132</v>
      </c>
    </row>
    <row r="31" spans="1:36" x14ac:dyDescent="0.2">
      <c r="A31" s="12" t="s">
        <v>518</v>
      </c>
      <c r="B31" s="13">
        <v>0</v>
      </c>
      <c r="C31" s="13" t="s">
        <v>513</v>
      </c>
      <c r="D31" s="15">
        <v>1</v>
      </c>
      <c r="E31" s="13">
        <v>0</v>
      </c>
      <c r="F31" s="16" t="s">
        <v>100</v>
      </c>
      <c r="G31" s="15">
        <v>76</v>
      </c>
      <c r="H31" s="16" t="s">
        <v>48</v>
      </c>
      <c r="I31" s="16" t="s">
        <v>49</v>
      </c>
      <c r="J31" s="16" t="s">
        <v>51</v>
      </c>
      <c r="K31" s="16" t="s">
        <v>52</v>
      </c>
      <c r="L31" s="16" t="s">
        <v>50</v>
      </c>
      <c r="M31" s="16" t="s">
        <v>872</v>
      </c>
      <c r="N31" s="20" t="s">
        <v>87</v>
      </c>
      <c r="O31" s="17" t="s">
        <v>873</v>
      </c>
      <c r="P31" s="16" t="s">
        <v>877</v>
      </c>
      <c r="Q31" s="16" t="s">
        <v>875</v>
      </c>
      <c r="R31" s="12" t="s">
        <v>55</v>
      </c>
      <c r="S31" s="16" t="s">
        <v>55</v>
      </c>
      <c r="T31" s="15">
        <v>0</v>
      </c>
      <c r="U31" s="13" t="s">
        <v>50</v>
      </c>
      <c r="V31" s="13">
        <v>9</v>
      </c>
      <c r="W31" s="13">
        <v>0</v>
      </c>
      <c r="X31" s="13">
        <v>0</v>
      </c>
      <c r="Y31" s="12">
        <v>1</v>
      </c>
      <c r="Z31" s="12">
        <v>1</v>
      </c>
      <c r="AA31" s="12">
        <v>0</v>
      </c>
      <c r="AB31" s="12">
        <v>0</v>
      </c>
      <c r="AC31" s="12"/>
      <c r="AD31" s="12" t="s">
        <v>907</v>
      </c>
      <c r="AE31" s="16" t="s">
        <v>873</v>
      </c>
      <c r="AF31" s="16" t="s">
        <v>874</v>
      </c>
      <c r="AG31" s="16" t="s">
        <v>885</v>
      </c>
      <c r="AH31" s="38">
        <v>0.2</v>
      </c>
      <c r="AI31" s="14">
        <v>0.8</v>
      </c>
      <c r="AJ31" s="19" t="s">
        <v>132</v>
      </c>
    </row>
    <row r="32" spans="1:36" x14ac:dyDescent="0.2">
      <c r="A32" s="12" t="s">
        <v>109</v>
      </c>
      <c r="B32" s="13">
        <v>0</v>
      </c>
      <c r="C32" s="13">
        <v>2</v>
      </c>
      <c r="D32" s="15">
        <v>1</v>
      </c>
      <c r="E32" s="13">
        <v>1</v>
      </c>
      <c r="F32" s="16" t="s">
        <v>54</v>
      </c>
      <c r="G32" s="15">
        <v>70</v>
      </c>
      <c r="H32" s="16" t="s">
        <v>48</v>
      </c>
      <c r="I32" s="16" t="s">
        <v>49</v>
      </c>
      <c r="J32" s="16" t="s">
        <v>51</v>
      </c>
      <c r="K32" s="16" t="s">
        <v>52</v>
      </c>
      <c r="L32" s="16" t="s">
        <v>52</v>
      </c>
      <c r="M32" s="16" t="s">
        <v>872</v>
      </c>
      <c r="N32" s="12" t="s">
        <v>110</v>
      </c>
      <c r="O32" s="17" t="s">
        <v>873</v>
      </c>
      <c r="P32" s="16" t="s">
        <v>877</v>
      </c>
      <c r="Q32" s="16" t="s">
        <v>875</v>
      </c>
      <c r="R32" s="12" t="s">
        <v>52</v>
      </c>
      <c r="S32" s="24" t="s">
        <v>55</v>
      </c>
      <c r="T32" s="15">
        <v>0</v>
      </c>
      <c r="U32" s="13" t="s">
        <v>52</v>
      </c>
      <c r="V32" s="13">
        <v>1</v>
      </c>
      <c r="W32" s="13">
        <v>1</v>
      </c>
      <c r="X32" s="13">
        <v>1</v>
      </c>
      <c r="Y32" s="12">
        <v>1</v>
      </c>
      <c r="Z32" s="12">
        <v>1</v>
      </c>
      <c r="AA32" s="12">
        <v>0</v>
      </c>
      <c r="AB32" s="12">
        <v>1</v>
      </c>
      <c r="AC32" s="12">
        <v>1</v>
      </c>
      <c r="AD32" s="12" t="s">
        <v>908</v>
      </c>
      <c r="AE32" s="16" t="s">
        <v>873</v>
      </c>
      <c r="AF32" s="16" t="s">
        <v>880</v>
      </c>
      <c r="AG32" s="16" t="s">
        <v>885</v>
      </c>
      <c r="AH32" s="13" t="s">
        <v>56</v>
      </c>
      <c r="AI32" s="14">
        <v>0.9</v>
      </c>
      <c r="AJ32" s="19" t="s">
        <v>57</v>
      </c>
    </row>
    <row r="33" spans="1:36" x14ac:dyDescent="0.2">
      <c r="A33" s="12" t="s">
        <v>464</v>
      </c>
      <c r="B33" s="13">
        <v>0</v>
      </c>
      <c r="C33" s="13">
        <v>0</v>
      </c>
      <c r="D33" s="15">
        <v>1</v>
      </c>
      <c r="E33" s="13">
        <v>1</v>
      </c>
      <c r="F33" s="16" t="s">
        <v>54</v>
      </c>
      <c r="G33" s="15">
        <v>46</v>
      </c>
      <c r="H33" s="16" t="s">
        <v>71</v>
      </c>
      <c r="I33" s="16" t="s">
        <v>49</v>
      </c>
      <c r="J33" s="16" t="s">
        <v>51</v>
      </c>
      <c r="K33" s="16" t="s">
        <v>50</v>
      </c>
      <c r="L33" s="16" t="s">
        <v>50</v>
      </c>
      <c r="M33" s="16" t="s">
        <v>872</v>
      </c>
      <c r="N33" s="12" t="s">
        <v>72</v>
      </c>
      <c r="O33" s="17" t="s">
        <v>873</v>
      </c>
      <c r="P33" s="16" t="s">
        <v>877</v>
      </c>
      <c r="Q33" s="16" t="s">
        <v>875</v>
      </c>
      <c r="R33" s="12" t="s">
        <v>55</v>
      </c>
      <c r="S33" s="24" t="s">
        <v>55</v>
      </c>
      <c r="T33" s="15">
        <v>0</v>
      </c>
      <c r="U33" s="13" t="s">
        <v>52</v>
      </c>
      <c r="V33" s="13">
        <v>1</v>
      </c>
      <c r="W33" s="13">
        <v>1</v>
      </c>
      <c r="X33" s="13">
        <v>0</v>
      </c>
      <c r="Y33" s="12">
        <v>1</v>
      </c>
      <c r="Z33" s="12">
        <v>1</v>
      </c>
      <c r="AA33" s="12">
        <v>1</v>
      </c>
      <c r="AB33" s="12">
        <v>1</v>
      </c>
      <c r="AC33" s="12"/>
      <c r="AD33" s="12" t="s">
        <v>909</v>
      </c>
      <c r="AE33" s="16" t="s">
        <v>873</v>
      </c>
      <c r="AF33" s="16" t="s">
        <v>880</v>
      </c>
      <c r="AG33" s="16" t="s">
        <v>885</v>
      </c>
      <c r="AH33" s="13" t="s">
        <v>56</v>
      </c>
      <c r="AI33" s="14">
        <v>0.4</v>
      </c>
      <c r="AJ33" s="19" t="s">
        <v>57</v>
      </c>
    </row>
    <row r="34" spans="1:36" x14ac:dyDescent="0.2">
      <c r="A34" s="12" t="s">
        <v>407</v>
      </c>
      <c r="B34" s="13">
        <v>0</v>
      </c>
      <c r="C34" s="13" t="s">
        <v>513</v>
      </c>
      <c r="D34" s="15">
        <v>1</v>
      </c>
      <c r="E34" s="13">
        <v>0</v>
      </c>
      <c r="F34" s="16" t="s">
        <v>100</v>
      </c>
      <c r="G34" s="15">
        <v>56</v>
      </c>
      <c r="H34" s="16" t="s">
        <v>71</v>
      </c>
      <c r="I34" s="16" t="s">
        <v>49</v>
      </c>
      <c r="J34" s="16" t="s">
        <v>51</v>
      </c>
      <c r="K34" s="16" t="s">
        <v>52</v>
      </c>
      <c r="L34" s="16" t="s">
        <v>52</v>
      </c>
      <c r="M34" s="16" t="s">
        <v>872</v>
      </c>
      <c r="N34" s="12" t="s">
        <v>183</v>
      </c>
      <c r="O34" s="17" t="s">
        <v>873</v>
      </c>
      <c r="P34" s="16" t="s">
        <v>877</v>
      </c>
      <c r="Q34" s="16" t="s">
        <v>875</v>
      </c>
      <c r="R34" s="12" t="s">
        <v>55</v>
      </c>
      <c r="S34" s="16" t="s">
        <v>55</v>
      </c>
      <c r="T34" s="15">
        <v>0</v>
      </c>
      <c r="U34" s="13" t="s">
        <v>50</v>
      </c>
      <c r="V34" s="13">
        <v>1</v>
      </c>
      <c r="W34" s="13">
        <v>0</v>
      </c>
      <c r="X34" s="13">
        <v>0</v>
      </c>
      <c r="Y34" s="12">
        <v>1</v>
      </c>
      <c r="Z34" s="12">
        <v>0</v>
      </c>
      <c r="AA34" s="12">
        <v>0</v>
      </c>
      <c r="AB34" s="12">
        <v>0</v>
      </c>
      <c r="AC34" s="12">
        <v>1</v>
      </c>
      <c r="AD34" s="12" t="s">
        <v>910</v>
      </c>
      <c r="AE34" s="16" t="s">
        <v>873</v>
      </c>
      <c r="AF34" s="16" t="s">
        <v>883</v>
      </c>
      <c r="AG34" s="16" t="s">
        <v>885</v>
      </c>
      <c r="AH34" s="13" t="s">
        <v>408</v>
      </c>
      <c r="AI34" s="14" t="s">
        <v>911</v>
      </c>
      <c r="AJ34" s="12" t="s">
        <v>310</v>
      </c>
    </row>
    <row r="35" spans="1:36" x14ac:dyDescent="0.2">
      <c r="A35" s="12" t="s">
        <v>519</v>
      </c>
      <c r="B35" s="13">
        <v>0</v>
      </c>
      <c r="C35" s="13" t="s">
        <v>513</v>
      </c>
      <c r="D35" s="15">
        <v>1</v>
      </c>
      <c r="E35" s="13">
        <v>0</v>
      </c>
      <c r="F35" s="16" t="s">
        <v>100</v>
      </c>
      <c r="G35" s="15">
        <v>55</v>
      </c>
      <c r="H35" s="16" t="s">
        <v>48</v>
      </c>
      <c r="I35" s="16" t="s">
        <v>49</v>
      </c>
      <c r="J35" s="16" t="s">
        <v>51</v>
      </c>
      <c r="K35" s="16" t="s">
        <v>52</v>
      </c>
      <c r="L35" s="16" t="s">
        <v>50</v>
      </c>
      <c r="M35" s="16" t="s">
        <v>872</v>
      </c>
      <c r="N35" s="20" t="s">
        <v>912</v>
      </c>
      <c r="O35" s="17" t="s">
        <v>873</v>
      </c>
      <c r="P35" s="16" t="s">
        <v>877</v>
      </c>
      <c r="Q35" s="16" t="s">
        <v>875</v>
      </c>
      <c r="R35" s="12" t="s">
        <v>55</v>
      </c>
      <c r="S35" s="16" t="s">
        <v>55</v>
      </c>
      <c r="T35" s="15">
        <v>0</v>
      </c>
      <c r="U35" s="13" t="s">
        <v>50</v>
      </c>
      <c r="V35" s="13">
        <v>1</v>
      </c>
      <c r="W35" s="13">
        <v>0</v>
      </c>
      <c r="X35" s="13">
        <v>0</v>
      </c>
      <c r="Y35" s="12">
        <v>0</v>
      </c>
      <c r="Z35" s="12">
        <v>1</v>
      </c>
      <c r="AA35" s="12">
        <v>1</v>
      </c>
      <c r="AB35" s="12">
        <v>0</v>
      </c>
      <c r="AC35" s="12"/>
      <c r="AD35" s="12" t="s">
        <v>913</v>
      </c>
      <c r="AE35" s="16" t="s">
        <v>873</v>
      </c>
      <c r="AF35" s="16" t="s">
        <v>883</v>
      </c>
      <c r="AG35" s="16" t="s">
        <v>885</v>
      </c>
      <c r="AH35" s="38">
        <v>0.2</v>
      </c>
      <c r="AI35" s="14">
        <v>0.8</v>
      </c>
      <c r="AJ35" s="19" t="s">
        <v>132</v>
      </c>
    </row>
    <row r="36" spans="1:36" x14ac:dyDescent="0.2">
      <c r="A36" s="12" t="s">
        <v>468</v>
      </c>
      <c r="B36" s="13">
        <v>0</v>
      </c>
      <c r="C36" s="13">
        <v>0</v>
      </c>
      <c r="D36" s="15">
        <v>1</v>
      </c>
      <c r="E36" s="13">
        <v>1</v>
      </c>
      <c r="F36" s="16" t="s">
        <v>54</v>
      </c>
      <c r="G36" s="15">
        <v>37</v>
      </c>
      <c r="H36" s="16" t="s">
        <v>71</v>
      </c>
      <c r="I36" s="16" t="s">
        <v>49</v>
      </c>
      <c r="J36" s="16" t="s">
        <v>51</v>
      </c>
      <c r="K36" s="16" t="s">
        <v>50</v>
      </c>
      <c r="L36" s="16" t="s">
        <v>52</v>
      </c>
      <c r="M36" s="16" t="s">
        <v>872</v>
      </c>
      <c r="N36" s="12" t="s">
        <v>447</v>
      </c>
      <c r="O36" s="17" t="s">
        <v>873</v>
      </c>
      <c r="P36" s="16" t="s">
        <v>877</v>
      </c>
      <c r="Q36" s="16" t="s">
        <v>875</v>
      </c>
      <c r="R36" s="12" t="s">
        <v>52</v>
      </c>
      <c r="S36" s="18" t="s">
        <v>52</v>
      </c>
      <c r="T36" s="15">
        <v>1</v>
      </c>
      <c r="U36" s="13" t="s">
        <v>52</v>
      </c>
      <c r="V36" s="13">
        <v>0</v>
      </c>
      <c r="W36" s="13">
        <v>1</v>
      </c>
      <c r="X36" s="13">
        <v>0</v>
      </c>
      <c r="Y36" s="12">
        <v>0</v>
      </c>
      <c r="Z36" s="12">
        <v>1</v>
      </c>
      <c r="AA36" s="12">
        <v>1</v>
      </c>
      <c r="AB36" s="12">
        <v>1</v>
      </c>
      <c r="AC36" s="12">
        <v>0</v>
      </c>
      <c r="AD36" s="12" t="s">
        <v>914</v>
      </c>
      <c r="AE36" s="16" t="s">
        <v>873</v>
      </c>
      <c r="AF36" s="16" t="s">
        <v>880</v>
      </c>
      <c r="AG36" s="16" t="s">
        <v>885</v>
      </c>
      <c r="AH36" s="13" t="s">
        <v>56</v>
      </c>
      <c r="AI36" s="14">
        <v>0.9</v>
      </c>
      <c r="AJ36" s="19" t="s">
        <v>57</v>
      </c>
    </row>
    <row r="37" spans="1:36" x14ac:dyDescent="0.2">
      <c r="A37" s="12" t="s">
        <v>116</v>
      </c>
      <c r="B37" s="13">
        <v>0</v>
      </c>
      <c r="C37" s="13" t="s">
        <v>513</v>
      </c>
      <c r="D37" s="15">
        <v>1</v>
      </c>
      <c r="E37" s="13">
        <v>0</v>
      </c>
      <c r="F37" s="16" t="s">
        <v>100</v>
      </c>
      <c r="G37" s="15">
        <v>55</v>
      </c>
      <c r="H37" s="16" t="s">
        <v>71</v>
      </c>
      <c r="I37" s="16" t="s">
        <v>49</v>
      </c>
      <c r="J37" s="16" t="s">
        <v>51</v>
      </c>
      <c r="K37" s="16" t="s">
        <v>50</v>
      </c>
      <c r="L37" s="24" t="s">
        <v>50</v>
      </c>
      <c r="M37" s="16" t="s">
        <v>872</v>
      </c>
      <c r="N37" s="12" t="s">
        <v>117</v>
      </c>
      <c r="O37" s="17" t="s">
        <v>873</v>
      </c>
      <c r="P37" s="16" t="s">
        <v>915</v>
      </c>
      <c r="Q37" s="16" t="s">
        <v>885</v>
      </c>
      <c r="R37" s="12" t="s">
        <v>52</v>
      </c>
      <c r="S37" s="16" t="s">
        <v>55</v>
      </c>
      <c r="T37" s="15">
        <v>1</v>
      </c>
      <c r="U37" s="13" t="s">
        <v>52</v>
      </c>
      <c r="V37" s="13">
        <v>0</v>
      </c>
      <c r="W37" s="13">
        <v>0</v>
      </c>
      <c r="X37" s="13">
        <v>0</v>
      </c>
      <c r="Y37" s="12">
        <v>0</v>
      </c>
      <c r="Z37" s="12">
        <v>0</v>
      </c>
      <c r="AA37" s="12">
        <v>0</v>
      </c>
      <c r="AB37" s="12">
        <v>0</v>
      </c>
      <c r="AC37" s="12"/>
      <c r="AD37" s="12" t="s">
        <v>193</v>
      </c>
      <c r="AE37" s="16" t="s">
        <v>873</v>
      </c>
      <c r="AF37" s="16" t="s">
        <v>874</v>
      </c>
      <c r="AG37" s="16" t="s">
        <v>875</v>
      </c>
      <c r="AH37" s="13" t="s">
        <v>56</v>
      </c>
      <c r="AI37" s="14">
        <v>0.9</v>
      </c>
      <c r="AJ37" s="19" t="s">
        <v>57</v>
      </c>
    </row>
    <row r="38" spans="1:36" x14ac:dyDescent="0.2">
      <c r="A38" s="12" t="s">
        <v>130</v>
      </c>
      <c r="B38" s="13">
        <v>0</v>
      </c>
      <c r="C38" s="13">
        <v>0</v>
      </c>
      <c r="D38" s="15">
        <v>1</v>
      </c>
      <c r="E38" s="13">
        <v>1</v>
      </c>
      <c r="F38" s="16" t="s">
        <v>903</v>
      </c>
      <c r="G38" s="15">
        <v>49</v>
      </c>
      <c r="H38" s="16" t="s">
        <v>71</v>
      </c>
      <c r="I38" s="16" t="s">
        <v>49</v>
      </c>
      <c r="J38" s="16" t="s">
        <v>51</v>
      </c>
      <c r="K38" s="16" t="s">
        <v>50</v>
      </c>
      <c r="L38" s="16" t="s">
        <v>52</v>
      </c>
      <c r="M38" s="16" t="s">
        <v>872</v>
      </c>
      <c r="N38" s="12" t="s">
        <v>916</v>
      </c>
      <c r="O38" s="17" t="s">
        <v>873</v>
      </c>
      <c r="P38" s="16" t="s">
        <v>876</v>
      </c>
      <c r="Q38" s="16" t="s">
        <v>885</v>
      </c>
      <c r="R38" s="12" t="s">
        <v>55</v>
      </c>
      <c r="S38" s="16" t="s">
        <v>55</v>
      </c>
      <c r="T38" s="15">
        <v>1</v>
      </c>
      <c r="U38" s="13" t="s">
        <v>55</v>
      </c>
      <c r="V38" s="13">
        <v>9</v>
      </c>
      <c r="W38" s="13">
        <v>1</v>
      </c>
      <c r="X38" s="13">
        <v>0</v>
      </c>
      <c r="Y38" s="12">
        <v>1</v>
      </c>
      <c r="Z38" s="12">
        <v>1</v>
      </c>
      <c r="AA38" s="12">
        <v>1</v>
      </c>
      <c r="AB38" s="12">
        <v>1</v>
      </c>
      <c r="AC38" s="12">
        <v>0</v>
      </c>
      <c r="AD38" s="12" t="s">
        <v>917</v>
      </c>
      <c r="AE38" s="16" t="s">
        <v>873</v>
      </c>
      <c r="AF38" s="16" t="s">
        <v>879</v>
      </c>
      <c r="AG38" s="16" t="s">
        <v>885</v>
      </c>
      <c r="AH38" s="38">
        <v>0.3</v>
      </c>
      <c r="AI38" s="14">
        <v>0.7</v>
      </c>
      <c r="AJ38" s="19" t="s">
        <v>132</v>
      </c>
    </row>
    <row r="39" spans="1:36" x14ac:dyDescent="0.2">
      <c r="A39" s="12" t="s">
        <v>145</v>
      </c>
      <c r="B39" s="13">
        <v>0</v>
      </c>
      <c r="C39" s="13">
        <v>2</v>
      </c>
      <c r="D39" s="15">
        <v>1</v>
      </c>
      <c r="E39" s="13">
        <v>1</v>
      </c>
      <c r="F39" s="16" t="s">
        <v>54</v>
      </c>
      <c r="G39" s="15">
        <v>38</v>
      </c>
      <c r="H39" s="16" t="s">
        <v>48</v>
      </c>
      <c r="I39" s="16" t="s">
        <v>49</v>
      </c>
      <c r="J39" s="16" t="s">
        <v>51</v>
      </c>
      <c r="K39" s="16" t="s">
        <v>50</v>
      </c>
      <c r="L39" s="16" t="s">
        <v>52</v>
      </c>
      <c r="M39" s="16" t="s">
        <v>872</v>
      </c>
      <c r="N39" s="12" t="s">
        <v>146</v>
      </c>
      <c r="O39" s="17" t="s">
        <v>873</v>
      </c>
      <c r="P39" s="16" t="s">
        <v>877</v>
      </c>
      <c r="Q39" s="16" t="s">
        <v>885</v>
      </c>
      <c r="R39" s="12" t="s">
        <v>55</v>
      </c>
      <c r="S39" s="18" t="s">
        <v>52</v>
      </c>
      <c r="T39" s="15">
        <v>1</v>
      </c>
      <c r="U39" s="13" t="s">
        <v>52</v>
      </c>
      <c r="V39" s="13">
        <v>9</v>
      </c>
      <c r="W39" s="13">
        <v>1</v>
      </c>
      <c r="X39" s="13">
        <v>1</v>
      </c>
      <c r="Y39" s="12">
        <v>0</v>
      </c>
      <c r="Z39" s="12">
        <v>1</v>
      </c>
      <c r="AA39" s="12">
        <v>0</v>
      </c>
      <c r="AB39" s="12">
        <v>0</v>
      </c>
      <c r="AC39" s="12">
        <v>0</v>
      </c>
      <c r="AD39" s="12" t="s">
        <v>918</v>
      </c>
      <c r="AE39" s="16" t="s">
        <v>873</v>
      </c>
      <c r="AF39" s="16" t="s">
        <v>879</v>
      </c>
      <c r="AG39" s="16" t="s">
        <v>875</v>
      </c>
      <c r="AH39" s="13" t="s">
        <v>56</v>
      </c>
      <c r="AI39" s="14">
        <v>0.9</v>
      </c>
      <c r="AJ39" s="19" t="s">
        <v>57</v>
      </c>
    </row>
    <row r="40" spans="1:36" x14ac:dyDescent="0.2">
      <c r="A40" s="12" t="s">
        <v>159</v>
      </c>
      <c r="B40" s="13">
        <v>1</v>
      </c>
      <c r="C40" s="13">
        <v>2</v>
      </c>
      <c r="D40" s="15">
        <v>1</v>
      </c>
      <c r="E40" s="13">
        <v>1</v>
      </c>
      <c r="F40" s="16" t="s">
        <v>54</v>
      </c>
      <c r="G40" s="40">
        <v>63</v>
      </c>
      <c r="H40" s="16" t="s">
        <v>71</v>
      </c>
      <c r="I40" s="16" t="s">
        <v>49</v>
      </c>
      <c r="J40" s="16" t="s">
        <v>51</v>
      </c>
      <c r="K40" s="24" t="s">
        <v>50</v>
      </c>
      <c r="L40" s="24" t="s">
        <v>50</v>
      </c>
      <c r="M40" s="24" t="s">
        <v>919</v>
      </c>
      <c r="N40" s="20" t="s">
        <v>160</v>
      </c>
      <c r="O40" s="17" t="s">
        <v>873</v>
      </c>
      <c r="P40" s="16" t="s">
        <v>877</v>
      </c>
      <c r="Q40" s="16" t="s">
        <v>885</v>
      </c>
      <c r="R40" s="12" t="s">
        <v>55</v>
      </c>
      <c r="S40" s="16" t="s">
        <v>55</v>
      </c>
      <c r="T40" s="15">
        <v>0</v>
      </c>
      <c r="U40" s="13" t="s">
        <v>50</v>
      </c>
      <c r="V40" s="13">
        <v>1</v>
      </c>
      <c r="W40" s="13">
        <v>1</v>
      </c>
      <c r="X40" s="13">
        <v>1</v>
      </c>
      <c r="Y40" s="12">
        <v>1</v>
      </c>
      <c r="Z40" s="12">
        <v>0</v>
      </c>
      <c r="AA40" s="12">
        <v>0</v>
      </c>
      <c r="AB40" s="12">
        <v>0</v>
      </c>
      <c r="AC40" s="12">
        <v>0</v>
      </c>
      <c r="AD40" s="12" t="s">
        <v>878</v>
      </c>
      <c r="AE40" s="16" t="s">
        <v>873</v>
      </c>
      <c r="AF40" s="16" t="s">
        <v>879</v>
      </c>
      <c r="AG40" s="16" t="s">
        <v>875</v>
      </c>
      <c r="AH40" s="38">
        <v>0.3</v>
      </c>
      <c r="AI40" s="14">
        <v>0.7</v>
      </c>
      <c r="AJ40" s="19" t="s">
        <v>132</v>
      </c>
    </row>
    <row r="41" spans="1:36" x14ac:dyDescent="0.2">
      <c r="A41" s="12" t="s">
        <v>173</v>
      </c>
      <c r="B41" s="13">
        <v>1</v>
      </c>
      <c r="C41" s="13">
        <v>2</v>
      </c>
      <c r="D41" s="15">
        <v>1</v>
      </c>
      <c r="E41" s="13">
        <v>1</v>
      </c>
      <c r="F41" s="16" t="s">
        <v>54</v>
      </c>
      <c r="G41" s="40">
        <v>49</v>
      </c>
      <c r="H41" s="24" t="s">
        <v>71</v>
      </c>
      <c r="I41" s="16" t="s">
        <v>49</v>
      </c>
      <c r="J41" s="16" t="s">
        <v>51</v>
      </c>
      <c r="K41" s="24" t="s">
        <v>50</v>
      </c>
      <c r="L41" s="16" t="s">
        <v>50</v>
      </c>
      <c r="M41" s="24" t="s">
        <v>920</v>
      </c>
      <c r="N41" s="20" t="s">
        <v>87</v>
      </c>
      <c r="O41" s="17" t="s">
        <v>873</v>
      </c>
      <c r="P41" s="16" t="s">
        <v>877</v>
      </c>
      <c r="Q41" s="16" t="s">
        <v>875</v>
      </c>
      <c r="R41" s="12" t="s">
        <v>55</v>
      </c>
      <c r="S41" s="18" t="s">
        <v>52</v>
      </c>
      <c r="T41" s="15">
        <v>0</v>
      </c>
      <c r="U41" s="13" t="s">
        <v>52</v>
      </c>
      <c r="V41" s="13">
        <v>0</v>
      </c>
      <c r="W41" s="13">
        <v>1</v>
      </c>
      <c r="X41" s="13">
        <v>1</v>
      </c>
      <c r="Y41" s="12">
        <v>1</v>
      </c>
      <c r="Z41" s="12">
        <v>1</v>
      </c>
      <c r="AA41" s="12">
        <v>0</v>
      </c>
      <c r="AB41" s="12">
        <v>1</v>
      </c>
      <c r="AC41" s="12">
        <v>0</v>
      </c>
      <c r="AD41" s="12" t="s">
        <v>918</v>
      </c>
      <c r="AE41" s="16" t="s">
        <v>873</v>
      </c>
      <c r="AF41" s="16" t="s">
        <v>879</v>
      </c>
      <c r="AG41" s="16" t="s">
        <v>875</v>
      </c>
      <c r="AH41" s="13" t="s">
        <v>56</v>
      </c>
      <c r="AI41" s="14">
        <v>0.9</v>
      </c>
      <c r="AJ41" s="19" t="s">
        <v>57</v>
      </c>
    </row>
    <row r="42" spans="1:36" x14ac:dyDescent="0.2">
      <c r="A42" s="12" t="s">
        <v>521</v>
      </c>
      <c r="B42" s="13">
        <v>0</v>
      </c>
      <c r="C42" s="13" t="s">
        <v>513</v>
      </c>
      <c r="D42" s="15">
        <v>1</v>
      </c>
      <c r="E42" s="13">
        <v>0</v>
      </c>
      <c r="F42" s="16" t="s">
        <v>100</v>
      </c>
      <c r="G42" s="15">
        <v>52</v>
      </c>
      <c r="H42" s="16" t="s">
        <v>71</v>
      </c>
      <c r="I42" s="16" t="s">
        <v>49</v>
      </c>
      <c r="J42" s="16" t="s">
        <v>51</v>
      </c>
      <c r="K42" s="16" t="s">
        <v>52</v>
      </c>
      <c r="L42" s="16" t="s">
        <v>52</v>
      </c>
      <c r="M42" s="16" t="s">
        <v>872</v>
      </c>
      <c r="N42" s="12" t="s">
        <v>246</v>
      </c>
      <c r="O42" s="17" t="s">
        <v>873</v>
      </c>
      <c r="P42" s="16" t="s">
        <v>876</v>
      </c>
      <c r="Q42" s="16" t="s">
        <v>875</v>
      </c>
      <c r="R42" s="12" t="s">
        <v>55</v>
      </c>
      <c r="S42" s="16" t="s">
        <v>55</v>
      </c>
      <c r="T42" s="15">
        <v>0</v>
      </c>
      <c r="U42" s="13" t="s">
        <v>55</v>
      </c>
      <c r="V42" s="13">
        <v>9</v>
      </c>
      <c r="W42" s="13">
        <v>0</v>
      </c>
      <c r="X42" s="13">
        <v>0</v>
      </c>
      <c r="Y42" s="12">
        <v>0</v>
      </c>
      <c r="Z42" s="12">
        <v>1</v>
      </c>
      <c r="AA42" s="12">
        <v>0</v>
      </c>
      <c r="AB42" s="12">
        <v>0</v>
      </c>
      <c r="AC42" s="12"/>
      <c r="AD42" s="12" t="s">
        <v>921</v>
      </c>
      <c r="AE42" s="16" t="s">
        <v>881</v>
      </c>
      <c r="AF42" s="16" t="s">
        <v>883</v>
      </c>
      <c r="AG42" s="16" t="s">
        <v>885</v>
      </c>
      <c r="AH42" s="13" t="s">
        <v>56</v>
      </c>
      <c r="AI42" s="14">
        <v>0.9</v>
      </c>
      <c r="AJ42" s="19" t="s">
        <v>57</v>
      </c>
    </row>
    <row r="43" spans="1:36" x14ac:dyDescent="0.2">
      <c r="A43" s="12" t="s">
        <v>182</v>
      </c>
      <c r="B43" s="13">
        <v>0</v>
      </c>
      <c r="C43" s="13" t="s">
        <v>513</v>
      </c>
      <c r="D43" s="15">
        <v>1</v>
      </c>
      <c r="E43" s="13">
        <v>0</v>
      </c>
      <c r="F43" s="16" t="s">
        <v>100</v>
      </c>
      <c r="G43" s="15">
        <v>45</v>
      </c>
      <c r="H43" s="16" t="s">
        <v>71</v>
      </c>
      <c r="I43" s="16" t="s">
        <v>49</v>
      </c>
      <c r="J43" s="16" t="s">
        <v>51</v>
      </c>
      <c r="K43" s="16" t="s">
        <v>50</v>
      </c>
      <c r="L43" s="18" t="s">
        <v>50</v>
      </c>
      <c r="M43" s="16" t="s">
        <v>919</v>
      </c>
      <c r="N43" s="12" t="s">
        <v>183</v>
      </c>
      <c r="O43" s="17" t="s">
        <v>873</v>
      </c>
      <c r="P43" s="16" t="s">
        <v>877</v>
      </c>
      <c r="Q43" s="16" t="s">
        <v>875</v>
      </c>
      <c r="R43" s="12" t="s">
        <v>52</v>
      </c>
      <c r="S43" s="41" t="s">
        <v>50</v>
      </c>
      <c r="T43" s="15">
        <v>1</v>
      </c>
      <c r="U43" s="13" t="s">
        <v>52</v>
      </c>
      <c r="V43" s="13">
        <v>1</v>
      </c>
      <c r="W43" s="13">
        <v>0</v>
      </c>
      <c r="X43" s="13">
        <v>0</v>
      </c>
      <c r="Y43" s="12">
        <v>0</v>
      </c>
      <c r="Z43" s="39">
        <v>1</v>
      </c>
      <c r="AA43" s="39">
        <v>1</v>
      </c>
      <c r="AB43" s="12">
        <v>0</v>
      </c>
      <c r="AC43" s="12">
        <v>0</v>
      </c>
      <c r="AD43" s="12" t="s">
        <v>922</v>
      </c>
      <c r="AE43" s="16" t="s">
        <v>873</v>
      </c>
      <c r="AF43" s="16" t="s">
        <v>890</v>
      </c>
      <c r="AG43" s="16" t="s">
        <v>885</v>
      </c>
      <c r="AH43" s="13" t="s">
        <v>56</v>
      </c>
      <c r="AI43" s="14">
        <v>0.9</v>
      </c>
      <c r="AJ43" s="19" t="s">
        <v>57</v>
      </c>
    </row>
    <row r="44" spans="1:36" x14ac:dyDescent="0.2">
      <c r="A44" s="12" t="s">
        <v>472</v>
      </c>
      <c r="B44" s="13">
        <v>0</v>
      </c>
      <c r="C44" s="13" t="s">
        <v>513</v>
      </c>
      <c r="D44" s="15">
        <v>1</v>
      </c>
      <c r="E44" s="13">
        <v>0</v>
      </c>
      <c r="F44" s="16" t="s">
        <v>100</v>
      </c>
      <c r="G44" s="15">
        <v>42</v>
      </c>
      <c r="H44" s="16" t="s">
        <v>71</v>
      </c>
      <c r="I44" s="16" t="s">
        <v>49</v>
      </c>
      <c r="J44" s="16" t="s">
        <v>51</v>
      </c>
      <c r="K44" s="16" t="s">
        <v>50</v>
      </c>
      <c r="L44" s="16" t="s">
        <v>52</v>
      </c>
      <c r="M44" s="16" t="s">
        <v>919</v>
      </c>
      <c r="N44" s="12" t="s">
        <v>99</v>
      </c>
      <c r="O44" s="17" t="s">
        <v>873</v>
      </c>
      <c r="P44" s="16" t="s">
        <v>874</v>
      </c>
      <c r="Q44" s="16" t="s">
        <v>875</v>
      </c>
      <c r="R44" s="12" t="s">
        <v>55</v>
      </c>
      <c r="S44" s="18" t="s">
        <v>52</v>
      </c>
      <c r="T44" s="15">
        <v>1</v>
      </c>
      <c r="U44" s="13" t="s">
        <v>52</v>
      </c>
      <c r="V44" s="13">
        <v>0</v>
      </c>
      <c r="W44" s="13">
        <v>0</v>
      </c>
      <c r="X44" s="13">
        <v>0</v>
      </c>
      <c r="Y44" s="12">
        <v>0</v>
      </c>
      <c r="Z44" s="12">
        <v>0</v>
      </c>
      <c r="AA44" s="12">
        <v>0</v>
      </c>
      <c r="AB44" s="12">
        <v>0</v>
      </c>
      <c r="AC44" s="12">
        <v>1</v>
      </c>
      <c r="AD44" s="12" t="s">
        <v>99</v>
      </c>
      <c r="AE44" s="16" t="s">
        <v>873</v>
      </c>
      <c r="AF44" s="16" t="s">
        <v>874</v>
      </c>
      <c r="AG44" s="16" t="s">
        <v>875</v>
      </c>
      <c r="AH44" s="13" t="s">
        <v>56</v>
      </c>
      <c r="AI44" s="14">
        <v>0.9</v>
      </c>
      <c r="AJ44" s="19" t="s">
        <v>57</v>
      </c>
    </row>
    <row r="45" spans="1:36" x14ac:dyDescent="0.2">
      <c r="A45" s="12" t="s">
        <v>476</v>
      </c>
      <c r="B45" s="13">
        <v>1</v>
      </c>
      <c r="C45" s="13" t="s">
        <v>513</v>
      </c>
      <c r="D45" s="15">
        <v>1</v>
      </c>
      <c r="E45" s="13">
        <v>0</v>
      </c>
      <c r="F45" s="16" t="s">
        <v>100</v>
      </c>
      <c r="G45" s="15">
        <v>76</v>
      </c>
      <c r="H45" s="16" t="s">
        <v>71</v>
      </c>
      <c r="I45" s="16" t="s">
        <v>49</v>
      </c>
      <c r="J45" s="16" t="s">
        <v>51</v>
      </c>
      <c r="K45" s="16" t="s">
        <v>50</v>
      </c>
      <c r="L45" s="16" t="s">
        <v>52</v>
      </c>
      <c r="M45" s="16" t="s">
        <v>919</v>
      </c>
      <c r="N45" s="12" t="s">
        <v>99</v>
      </c>
      <c r="O45" s="17" t="s">
        <v>873</v>
      </c>
      <c r="P45" s="16" t="s">
        <v>874</v>
      </c>
      <c r="Q45" s="16" t="s">
        <v>875</v>
      </c>
      <c r="R45" s="12" t="s">
        <v>55</v>
      </c>
      <c r="S45" s="42" t="s">
        <v>55</v>
      </c>
      <c r="T45" s="15">
        <v>0</v>
      </c>
      <c r="U45" s="13" t="s">
        <v>50</v>
      </c>
      <c r="V45" s="13">
        <v>0</v>
      </c>
      <c r="W45" s="13">
        <v>0</v>
      </c>
      <c r="X45" s="13">
        <v>0</v>
      </c>
      <c r="Y45" s="12">
        <v>0</v>
      </c>
      <c r="Z45" s="12">
        <v>1</v>
      </c>
      <c r="AA45" s="12">
        <v>0</v>
      </c>
      <c r="AB45" s="12">
        <v>0</v>
      </c>
      <c r="AC45" s="12">
        <v>0</v>
      </c>
      <c r="AD45" s="12" t="s">
        <v>902</v>
      </c>
      <c r="AE45" s="16" t="s">
        <v>873</v>
      </c>
      <c r="AF45" s="16" t="s">
        <v>874</v>
      </c>
      <c r="AG45" s="16" t="s">
        <v>885</v>
      </c>
      <c r="AH45" s="38">
        <v>0.2</v>
      </c>
      <c r="AI45" s="14">
        <v>0.8</v>
      </c>
      <c r="AJ45" s="19" t="s">
        <v>132</v>
      </c>
    </row>
    <row r="46" spans="1:36" x14ac:dyDescent="0.2">
      <c r="A46" s="12" t="s">
        <v>479</v>
      </c>
      <c r="B46" s="13">
        <v>0</v>
      </c>
      <c r="C46" s="13" t="s">
        <v>513</v>
      </c>
      <c r="D46" s="15">
        <v>1</v>
      </c>
      <c r="E46" s="13">
        <v>1</v>
      </c>
      <c r="F46" s="16" t="s">
        <v>54</v>
      </c>
      <c r="G46" s="15">
        <v>68</v>
      </c>
      <c r="H46" s="16" t="s">
        <v>71</v>
      </c>
      <c r="I46" s="16" t="s">
        <v>49</v>
      </c>
      <c r="J46" s="16" t="s">
        <v>51</v>
      </c>
      <c r="K46" s="16" t="s">
        <v>50</v>
      </c>
      <c r="L46" s="16" t="s">
        <v>50</v>
      </c>
      <c r="M46" s="16" t="s">
        <v>872</v>
      </c>
      <c r="N46" s="12" t="s">
        <v>246</v>
      </c>
      <c r="O46" s="17" t="s">
        <v>873</v>
      </c>
      <c r="P46" s="16" t="s">
        <v>876</v>
      </c>
      <c r="Q46" s="16" t="s">
        <v>875</v>
      </c>
      <c r="R46" s="12" t="s">
        <v>55</v>
      </c>
      <c r="S46" s="18" t="s">
        <v>52</v>
      </c>
      <c r="T46" s="15">
        <v>0</v>
      </c>
      <c r="U46" s="13" t="s">
        <v>52</v>
      </c>
      <c r="V46" s="13">
        <v>1</v>
      </c>
      <c r="W46" s="43">
        <v>1</v>
      </c>
      <c r="X46" s="13">
        <v>0</v>
      </c>
      <c r="Y46" s="12">
        <v>0</v>
      </c>
      <c r="Z46" s="12">
        <v>1</v>
      </c>
      <c r="AA46" s="12">
        <v>0</v>
      </c>
      <c r="AB46" s="12">
        <v>0</v>
      </c>
      <c r="AC46" s="12">
        <v>0</v>
      </c>
      <c r="AD46" s="12" t="s">
        <v>878</v>
      </c>
      <c r="AE46" s="16" t="s">
        <v>873</v>
      </c>
      <c r="AF46" s="16" t="s">
        <v>879</v>
      </c>
      <c r="AG46" s="16" t="s">
        <v>875</v>
      </c>
      <c r="AH46" s="13" t="s">
        <v>56</v>
      </c>
      <c r="AI46" s="14">
        <v>0.9</v>
      </c>
      <c r="AJ46" s="19" t="s">
        <v>57</v>
      </c>
    </row>
    <row r="47" spans="1:36" x14ac:dyDescent="0.2">
      <c r="A47" s="12" t="s">
        <v>483</v>
      </c>
      <c r="B47" s="13">
        <v>0</v>
      </c>
      <c r="C47" s="13" t="s">
        <v>513</v>
      </c>
      <c r="D47" s="15">
        <v>1</v>
      </c>
      <c r="E47" s="13">
        <v>0</v>
      </c>
      <c r="F47" s="16" t="s">
        <v>100</v>
      </c>
      <c r="G47" s="15">
        <v>39</v>
      </c>
      <c r="H47" s="16" t="s">
        <v>71</v>
      </c>
      <c r="I47" s="16" t="s">
        <v>49</v>
      </c>
      <c r="J47" s="16" t="s">
        <v>51</v>
      </c>
      <c r="K47" s="16" t="s">
        <v>52</v>
      </c>
      <c r="L47" s="16" t="s">
        <v>52</v>
      </c>
      <c r="M47" s="16" t="s">
        <v>872</v>
      </c>
      <c r="N47" s="20" t="s">
        <v>246</v>
      </c>
      <c r="O47" s="17" t="s">
        <v>873</v>
      </c>
      <c r="P47" s="16" t="s">
        <v>876</v>
      </c>
      <c r="Q47" s="16" t="s">
        <v>875</v>
      </c>
      <c r="R47" s="12" t="s">
        <v>55</v>
      </c>
      <c r="S47" s="44" t="s">
        <v>52</v>
      </c>
      <c r="T47" s="15">
        <v>0</v>
      </c>
      <c r="U47" s="13" t="s">
        <v>52</v>
      </c>
      <c r="V47" s="13">
        <v>0</v>
      </c>
      <c r="W47" s="13">
        <v>0</v>
      </c>
      <c r="X47" s="13">
        <v>0</v>
      </c>
      <c r="Y47" s="12">
        <v>0</v>
      </c>
      <c r="Z47" s="12">
        <v>0</v>
      </c>
      <c r="AA47" s="12">
        <v>0</v>
      </c>
      <c r="AB47" s="12">
        <v>0</v>
      </c>
      <c r="AC47" s="12">
        <v>0</v>
      </c>
      <c r="AD47" s="12" t="s">
        <v>923</v>
      </c>
      <c r="AE47" s="16" t="s">
        <v>881</v>
      </c>
      <c r="AF47" s="16" t="s">
        <v>876</v>
      </c>
      <c r="AG47" s="16" t="s">
        <v>885</v>
      </c>
      <c r="AH47" s="38">
        <v>0.1</v>
      </c>
      <c r="AI47" s="14">
        <v>0.9</v>
      </c>
      <c r="AJ47" s="19" t="s">
        <v>57</v>
      </c>
    </row>
    <row r="48" spans="1:36" x14ac:dyDescent="0.2">
      <c r="A48" s="12" t="s">
        <v>192</v>
      </c>
      <c r="B48" s="13">
        <v>1</v>
      </c>
      <c r="C48" s="13" t="s">
        <v>513</v>
      </c>
      <c r="D48" s="15">
        <v>1</v>
      </c>
      <c r="E48" s="13">
        <v>0</v>
      </c>
      <c r="F48" s="16" t="s">
        <v>100</v>
      </c>
      <c r="G48" s="15">
        <v>61</v>
      </c>
      <c r="H48" s="16" t="s">
        <v>71</v>
      </c>
      <c r="I48" s="16" t="s">
        <v>49</v>
      </c>
      <c r="J48" s="16" t="s">
        <v>51</v>
      </c>
      <c r="K48" s="16" t="s">
        <v>52</v>
      </c>
      <c r="L48" s="16" t="s">
        <v>52</v>
      </c>
      <c r="M48" s="16" t="s">
        <v>872</v>
      </c>
      <c r="N48" s="20" t="s">
        <v>87</v>
      </c>
      <c r="O48" s="17" t="s">
        <v>873</v>
      </c>
      <c r="P48" s="16" t="s">
        <v>877</v>
      </c>
      <c r="Q48" s="16" t="s">
        <v>875</v>
      </c>
      <c r="R48" s="12" t="s">
        <v>55</v>
      </c>
      <c r="S48" s="18" t="s">
        <v>52</v>
      </c>
      <c r="T48" s="15">
        <v>0</v>
      </c>
      <c r="U48" s="13" t="s">
        <v>52</v>
      </c>
      <c r="V48" s="13">
        <v>0</v>
      </c>
      <c r="W48" s="13">
        <v>0</v>
      </c>
      <c r="X48" s="13">
        <v>0</v>
      </c>
      <c r="Y48" s="12">
        <v>0</v>
      </c>
      <c r="Z48" s="12">
        <v>0</v>
      </c>
      <c r="AA48" s="12">
        <v>0</v>
      </c>
      <c r="AB48" s="12">
        <v>0</v>
      </c>
      <c r="AC48" s="12">
        <v>0</v>
      </c>
      <c r="AD48" s="12" t="s">
        <v>193</v>
      </c>
      <c r="AE48" s="16" t="s">
        <v>873</v>
      </c>
      <c r="AF48" s="16" t="s">
        <v>874</v>
      </c>
      <c r="AG48" s="16" t="s">
        <v>875</v>
      </c>
      <c r="AH48" s="13" t="s">
        <v>56</v>
      </c>
      <c r="AI48" s="14" t="s">
        <v>924</v>
      </c>
      <c r="AJ48" s="19" t="s">
        <v>57</v>
      </c>
    </row>
    <row r="49" spans="1:36" x14ac:dyDescent="0.2">
      <c r="A49" s="45" t="s">
        <v>199</v>
      </c>
      <c r="B49" s="25">
        <v>1</v>
      </c>
      <c r="C49" s="13" t="s">
        <v>513</v>
      </c>
      <c r="D49" s="15">
        <v>1</v>
      </c>
      <c r="E49" s="13">
        <v>0</v>
      </c>
      <c r="F49" s="16" t="s">
        <v>100</v>
      </c>
      <c r="G49" s="15">
        <v>60</v>
      </c>
      <c r="H49" s="16" t="s">
        <v>71</v>
      </c>
      <c r="I49" s="16" t="s">
        <v>49</v>
      </c>
      <c r="J49" s="16" t="s">
        <v>51</v>
      </c>
      <c r="K49" s="16" t="s">
        <v>52</v>
      </c>
      <c r="L49" s="16" t="s">
        <v>52</v>
      </c>
      <c r="M49" s="16" t="s">
        <v>872</v>
      </c>
      <c r="N49" s="20" t="s">
        <v>200</v>
      </c>
      <c r="O49" s="17" t="s">
        <v>873</v>
      </c>
      <c r="P49" s="16" t="s">
        <v>874</v>
      </c>
      <c r="Q49" s="16" t="s">
        <v>875</v>
      </c>
      <c r="R49" s="12" t="s">
        <v>55</v>
      </c>
      <c r="S49" s="16" t="s">
        <v>52</v>
      </c>
      <c r="T49" s="15">
        <v>0</v>
      </c>
      <c r="U49" s="13" t="s">
        <v>50</v>
      </c>
      <c r="V49" s="13">
        <v>1</v>
      </c>
      <c r="W49" s="13">
        <v>0</v>
      </c>
      <c r="X49" s="43">
        <v>0</v>
      </c>
      <c r="Y49" s="12">
        <v>1</v>
      </c>
      <c r="Z49" s="39">
        <v>0</v>
      </c>
      <c r="AA49" s="12">
        <v>0</v>
      </c>
      <c r="AB49" s="12">
        <v>0</v>
      </c>
      <c r="AC49" s="12">
        <v>0</v>
      </c>
      <c r="AD49" s="12" t="s">
        <v>900</v>
      </c>
      <c r="AE49" s="16" t="s">
        <v>873</v>
      </c>
      <c r="AF49" s="16" t="s">
        <v>874</v>
      </c>
      <c r="AG49" s="16" t="s">
        <v>885</v>
      </c>
      <c r="AH49" s="38">
        <v>0.2</v>
      </c>
      <c r="AI49" s="14">
        <v>0.8</v>
      </c>
      <c r="AJ49" s="19" t="s">
        <v>132</v>
      </c>
    </row>
    <row r="50" spans="1:36" x14ac:dyDescent="0.2">
      <c r="A50" s="45" t="s">
        <v>213</v>
      </c>
      <c r="B50" s="25">
        <v>1</v>
      </c>
      <c r="C50" s="13" t="s">
        <v>513</v>
      </c>
      <c r="D50" s="15">
        <v>1</v>
      </c>
      <c r="E50" s="13">
        <v>0</v>
      </c>
      <c r="F50" s="16" t="s">
        <v>100</v>
      </c>
      <c r="G50" s="15">
        <v>62</v>
      </c>
      <c r="H50" s="16" t="s">
        <v>71</v>
      </c>
      <c r="I50" s="16" t="s">
        <v>49</v>
      </c>
      <c r="J50" s="16" t="s">
        <v>51</v>
      </c>
      <c r="K50" s="24" t="s">
        <v>50</v>
      </c>
      <c r="L50" s="16" t="s">
        <v>52</v>
      </c>
      <c r="M50" s="16" t="s">
        <v>919</v>
      </c>
      <c r="N50" s="20" t="s">
        <v>214</v>
      </c>
      <c r="O50" s="17" t="s">
        <v>873</v>
      </c>
      <c r="P50" s="16" t="s">
        <v>877</v>
      </c>
      <c r="Q50" s="16" t="s">
        <v>875</v>
      </c>
      <c r="R50" s="12" t="s">
        <v>55</v>
      </c>
      <c r="S50" s="18" t="s">
        <v>52</v>
      </c>
      <c r="T50" s="15">
        <v>0</v>
      </c>
      <c r="U50" s="13" t="s">
        <v>50</v>
      </c>
      <c r="V50" s="13">
        <v>0</v>
      </c>
      <c r="W50" s="13">
        <v>0</v>
      </c>
      <c r="X50" s="13">
        <v>0</v>
      </c>
      <c r="Y50" s="39">
        <v>0</v>
      </c>
      <c r="Z50" s="12">
        <v>0</v>
      </c>
      <c r="AA50" s="12">
        <v>0</v>
      </c>
      <c r="AB50" s="12">
        <v>0</v>
      </c>
      <c r="AC50" s="12"/>
      <c r="AD50" s="12" t="s">
        <v>200</v>
      </c>
      <c r="AE50" s="16" t="s">
        <v>873</v>
      </c>
      <c r="AF50" s="16" t="s">
        <v>874</v>
      </c>
      <c r="AG50" s="16" t="s">
        <v>885</v>
      </c>
      <c r="AH50" s="38">
        <v>0.5</v>
      </c>
      <c r="AI50" s="14">
        <v>0.5</v>
      </c>
      <c r="AJ50" s="19" t="s">
        <v>132</v>
      </c>
    </row>
    <row r="51" spans="1:36" x14ac:dyDescent="0.2">
      <c r="A51" s="45" t="s">
        <v>224</v>
      </c>
      <c r="B51" s="25">
        <v>1</v>
      </c>
      <c r="C51" s="13" t="s">
        <v>513</v>
      </c>
      <c r="D51" s="15">
        <v>1</v>
      </c>
      <c r="E51" s="13">
        <v>0</v>
      </c>
      <c r="F51" s="16" t="s">
        <v>100</v>
      </c>
      <c r="G51" s="15">
        <v>59</v>
      </c>
      <c r="H51" s="16" t="s">
        <v>48</v>
      </c>
      <c r="I51" s="16" t="s">
        <v>49</v>
      </c>
      <c r="J51" s="16" t="s">
        <v>51</v>
      </c>
      <c r="K51" s="16" t="s">
        <v>50</v>
      </c>
      <c r="L51" s="16" t="s">
        <v>52</v>
      </c>
      <c r="M51" s="16" t="s">
        <v>872</v>
      </c>
      <c r="N51" s="12" t="s">
        <v>72</v>
      </c>
      <c r="O51" s="17" t="s">
        <v>873</v>
      </c>
      <c r="P51" s="16" t="s">
        <v>877</v>
      </c>
      <c r="Q51" s="16" t="s">
        <v>875</v>
      </c>
      <c r="R51" s="12" t="s">
        <v>52</v>
      </c>
      <c r="S51" s="16" t="s">
        <v>55</v>
      </c>
      <c r="T51" s="15">
        <v>0</v>
      </c>
      <c r="U51" s="13" t="s">
        <v>52</v>
      </c>
      <c r="V51" s="13">
        <v>0</v>
      </c>
      <c r="W51" s="13">
        <v>0</v>
      </c>
      <c r="X51" s="13">
        <v>0</v>
      </c>
      <c r="Y51" s="12">
        <v>0</v>
      </c>
      <c r="Z51" s="12">
        <v>0</v>
      </c>
      <c r="AA51" s="12">
        <v>0</v>
      </c>
      <c r="AB51" s="12">
        <v>0</v>
      </c>
      <c r="AC51" s="12"/>
      <c r="AD51" s="12" t="s">
        <v>72</v>
      </c>
      <c r="AE51" s="16" t="s">
        <v>873</v>
      </c>
      <c r="AF51" s="16" t="s">
        <v>890</v>
      </c>
      <c r="AG51" s="16" t="s">
        <v>875</v>
      </c>
      <c r="AH51" s="38">
        <v>0.1</v>
      </c>
      <c r="AI51" s="14">
        <v>0.9</v>
      </c>
      <c r="AJ51" s="19" t="s">
        <v>57</v>
      </c>
    </row>
    <row r="52" spans="1:36" x14ac:dyDescent="0.2">
      <c r="A52" s="45" t="s">
        <v>234</v>
      </c>
      <c r="B52" s="25">
        <v>1</v>
      </c>
      <c r="C52" s="13" t="s">
        <v>513</v>
      </c>
      <c r="D52" s="15">
        <v>1</v>
      </c>
      <c r="E52" s="13">
        <v>0</v>
      </c>
      <c r="F52" s="16" t="s">
        <v>100</v>
      </c>
      <c r="G52" s="15">
        <v>44</v>
      </c>
      <c r="H52" s="16" t="s">
        <v>71</v>
      </c>
      <c r="I52" s="16" t="s">
        <v>49</v>
      </c>
      <c r="J52" s="16" t="s">
        <v>51</v>
      </c>
      <c r="K52" s="16" t="s">
        <v>50</v>
      </c>
      <c r="L52" s="16" t="s">
        <v>52</v>
      </c>
      <c r="M52" s="16" t="s">
        <v>872</v>
      </c>
      <c r="N52" s="12" t="s">
        <v>235</v>
      </c>
      <c r="O52" s="17" t="s">
        <v>873</v>
      </c>
      <c r="P52" s="16" t="s">
        <v>876</v>
      </c>
      <c r="Q52" s="16" t="s">
        <v>875</v>
      </c>
      <c r="R52" s="12" t="s">
        <v>55</v>
      </c>
      <c r="S52" s="18" t="s">
        <v>52</v>
      </c>
      <c r="T52" s="15">
        <v>0</v>
      </c>
      <c r="U52" s="13" t="s">
        <v>52</v>
      </c>
      <c r="V52" s="13">
        <v>1</v>
      </c>
      <c r="W52" s="13">
        <v>0</v>
      </c>
      <c r="X52" s="13">
        <v>0</v>
      </c>
      <c r="Y52" s="12">
        <v>1</v>
      </c>
      <c r="Z52" s="12">
        <v>0</v>
      </c>
      <c r="AA52" s="12">
        <v>0</v>
      </c>
      <c r="AB52" s="12">
        <v>0</v>
      </c>
      <c r="AC52" s="12"/>
      <c r="AD52" s="12" t="s">
        <v>925</v>
      </c>
      <c r="AE52" s="16" t="s">
        <v>873</v>
      </c>
      <c r="AF52" s="16" t="s">
        <v>874</v>
      </c>
      <c r="AG52" s="16" t="s">
        <v>875</v>
      </c>
      <c r="AH52" s="13" t="s">
        <v>73</v>
      </c>
      <c r="AI52" s="14" t="s">
        <v>341</v>
      </c>
      <c r="AJ52" s="19" t="s">
        <v>57</v>
      </c>
    </row>
    <row r="53" spans="1:36" x14ac:dyDescent="0.2">
      <c r="A53" s="45" t="s">
        <v>525</v>
      </c>
      <c r="B53" s="25">
        <v>0</v>
      </c>
      <c r="C53" s="13">
        <v>0</v>
      </c>
      <c r="D53" s="15">
        <v>1</v>
      </c>
      <c r="E53" s="13">
        <v>1</v>
      </c>
      <c r="F53" s="16" t="s">
        <v>903</v>
      </c>
      <c r="G53" s="15">
        <v>72</v>
      </c>
      <c r="H53" s="16" t="s">
        <v>71</v>
      </c>
      <c r="I53" s="16" t="s">
        <v>49</v>
      </c>
      <c r="J53" s="16" t="s">
        <v>51</v>
      </c>
      <c r="K53" s="16" t="s">
        <v>52</v>
      </c>
      <c r="L53" s="16" t="s">
        <v>52</v>
      </c>
      <c r="M53" s="16" t="s">
        <v>872</v>
      </c>
      <c r="N53" s="12" t="s">
        <v>110</v>
      </c>
      <c r="O53" s="17" t="s">
        <v>873</v>
      </c>
      <c r="P53" s="16" t="s">
        <v>877</v>
      </c>
      <c r="Q53" s="16" t="s">
        <v>875</v>
      </c>
      <c r="R53" s="12" t="s">
        <v>52</v>
      </c>
      <c r="S53" s="16" t="s">
        <v>55</v>
      </c>
      <c r="T53" s="15">
        <v>0</v>
      </c>
      <c r="U53" s="13" t="s">
        <v>55</v>
      </c>
      <c r="V53" s="13">
        <v>2</v>
      </c>
      <c r="W53" s="13">
        <v>1</v>
      </c>
      <c r="X53" s="13">
        <v>0</v>
      </c>
      <c r="Y53" s="12">
        <v>0</v>
      </c>
      <c r="Z53" s="12">
        <v>0</v>
      </c>
      <c r="AA53" s="12">
        <v>0</v>
      </c>
      <c r="AB53" s="39">
        <v>0</v>
      </c>
      <c r="AC53" s="12"/>
      <c r="AD53" s="12" t="s">
        <v>926</v>
      </c>
      <c r="AE53" s="16" t="s">
        <v>881</v>
      </c>
      <c r="AF53" s="16" t="s">
        <v>879</v>
      </c>
      <c r="AG53" s="16" t="s">
        <v>875</v>
      </c>
      <c r="AH53" s="13" t="s">
        <v>927</v>
      </c>
      <c r="AI53" s="14">
        <v>0.6</v>
      </c>
      <c r="AJ53" s="19" t="s">
        <v>132</v>
      </c>
    </row>
    <row r="54" spans="1:36" x14ac:dyDescent="0.2">
      <c r="A54" s="45" t="s">
        <v>241</v>
      </c>
      <c r="B54" s="25">
        <v>0</v>
      </c>
      <c r="C54" s="13" t="s">
        <v>513</v>
      </c>
      <c r="D54" s="15">
        <v>1</v>
      </c>
      <c r="E54" s="13">
        <v>1</v>
      </c>
      <c r="F54" s="16" t="s">
        <v>903</v>
      </c>
      <c r="G54" s="15">
        <v>50</v>
      </c>
      <c r="H54" s="16" t="s">
        <v>71</v>
      </c>
      <c r="I54" s="16" t="s">
        <v>49</v>
      </c>
      <c r="J54" s="16" t="s">
        <v>51</v>
      </c>
      <c r="K54" s="16" t="s">
        <v>50</v>
      </c>
      <c r="L54" s="16" t="s">
        <v>50</v>
      </c>
      <c r="M54" s="16" t="s">
        <v>872</v>
      </c>
      <c r="N54" s="12" t="s">
        <v>242</v>
      </c>
      <c r="O54" s="17" t="s">
        <v>873</v>
      </c>
      <c r="P54" s="16" t="s">
        <v>877</v>
      </c>
      <c r="Q54" s="16" t="s">
        <v>875</v>
      </c>
      <c r="R54" s="12" t="s">
        <v>52</v>
      </c>
      <c r="S54" s="16" t="s">
        <v>55</v>
      </c>
      <c r="T54" s="15">
        <v>1</v>
      </c>
      <c r="U54" s="13" t="s">
        <v>55</v>
      </c>
      <c r="V54" s="13">
        <v>9</v>
      </c>
      <c r="W54" s="43">
        <v>1</v>
      </c>
      <c r="X54" s="13">
        <v>0</v>
      </c>
      <c r="Y54" s="12">
        <v>1</v>
      </c>
      <c r="Z54" s="12">
        <v>1</v>
      </c>
      <c r="AA54" s="12">
        <v>0</v>
      </c>
      <c r="AB54" s="12">
        <v>0</v>
      </c>
      <c r="AC54" s="12">
        <v>0</v>
      </c>
      <c r="AD54" s="12" t="s">
        <v>928</v>
      </c>
      <c r="AE54" s="16" t="s">
        <v>873</v>
      </c>
      <c r="AF54" s="16" t="s">
        <v>879</v>
      </c>
      <c r="AG54" s="16" t="s">
        <v>885</v>
      </c>
      <c r="AH54" s="13" t="s">
        <v>56</v>
      </c>
      <c r="AI54" s="14" t="s">
        <v>924</v>
      </c>
      <c r="AJ54" s="19" t="s">
        <v>57</v>
      </c>
    </row>
    <row r="55" spans="1:36" x14ac:dyDescent="0.2">
      <c r="A55" s="45" t="s">
        <v>487</v>
      </c>
      <c r="B55" s="25">
        <v>0</v>
      </c>
      <c r="C55" s="13">
        <v>0</v>
      </c>
      <c r="D55" s="15">
        <v>1</v>
      </c>
      <c r="E55" s="13">
        <v>1</v>
      </c>
      <c r="F55" s="16" t="s">
        <v>903</v>
      </c>
      <c r="G55" s="15">
        <v>71</v>
      </c>
      <c r="H55" s="16" t="s">
        <v>48</v>
      </c>
      <c r="I55" s="16" t="s">
        <v>49</v>
      </c>
      <c r="J55" s="16" t="s">
        <v>51</v>
      </c>
      <c r="K55" s="16" t="s">
        <v>50</v>
      </c>
      <c r="L55" s="16" t="s">
        <v>52</v>
      </c>
      <c r="M55" s="24" t="s">
        <v>872</v>
      </c>
      <c r="N55" s="12" t="s">
        <v>929</v>
      </c>
      <c r="O55" s="17" t="s">
        <v>873</v>
      </c>
      <c r="P55" s="16" t="s">
        <v>877</v>
      </c>
      <c r="Q55" s="16" t="s">
        <v>875</v>
      </c>
      <c r="R55" s="12" t="s">
        <v>55</v>
      </c>
      <c r="S55" s="24" t="s">
        <v>55</v>
      </c>
      <c r="T55" s="15">
        <v>1</v>
      </c>
      <c r="U55" s="13" t="s">
        <v>50</v>
      </c>
      <c r="V55" s="13">
        <v>2</v>
      </c>
      <c r="W55" s="13">
        <v>1</v>
      </c>
      <c r="X55" s="13">
        <v>0</v>
      </c>
      <c r="Y55" s="12">
        <v>1</v>
      </c>
      <c r="Z55" s="12">
        <v>1</v>
      </c>
      <c r="AA55" s="12">
        <v>1</v>
      </c>
      <c r="AB55" s="12">
        <v>0</v>
      </c>
      <c r="AC55" s="12">
        <v>1</v>
      </c>
      <c r="AD55" s="12" t="s">
        <v>930</v>
      </c>
      <c r="AE55" s="16" t="s">
        <v>873</v>
      </c>
      <c r="AF55" s="16" t="s">
        <v>879</v>
      </c>
      <c r="AG55" s="16" t="s">
        <v>885</v>
      </c>
      <c r="AH55" s="13" t="s">
        <v>488</v>
      </c>
      <c r="AI55" s="14" t="s">
        <v>927</v>
      </c>
      <c r="AJ55" s="19" t="s">
        <v>132</v>
      </c>
    </row>
    <row r="56" spans="1:36" x14ac:dyDescent="0.2">
      <c r="A56" s="45" t="s">
        <v>492</v>
      </c>
      <c r="B56" s="25">
        <v>0</v>
      </c>
      <c r="C56" s="13" t="s">
        <v>513</v>
      </c>
      <c r="D56" s="15">
        <v>1</v>
      </c>
      <c r="E56" s="13">
        <v>0</v>
      </c>
      <c r="F56" s="16" t="s">
        <v>100</v>
      </c>
      <c r="G56" s="15">
        <v>62</v>
      </c>
      <c r="H56" s="16" t="s">
        <v>71</v>
      </c>
      <c r="I56" s="16" t="s">
        <v>49</v>
      </c>
      <c r="J56" s="16" t="s">
        <v>51</v>
      </c>
      <c r="K56" s="16" t="s">
        <v>52</v>
      </c>
      <c r="L56" s="16" t="s">
        <v>50</v>
      </c>
      <c r="M56" s="16" t="s">
        <v>872</v>
      </c>
      <c r="N56" s="20" t="s">
        <v>493</v>
      </c>
      <c r="O56" s="17" t="s">
        <v>873</v>
      </c>
      <c r="P56" s="16" t="s">
        <v>877</v>
      </c>
      <c r="Q56" s="16" t="s">
        <v>885</v>
      </c>
      <c r="R56" s="12" t="s">
        <v>52</v>
      </c>
      <c r="S56" s="16" t="s">
        <v>55</v>
      </c>
      <c r="T56" s="15">
        <v>1</v>
      </c>
      <c r="U56" s="13" t="s">
        <v>50</v>
      </c>
      <c r="V56" s="13">
        <v>0</v>
      </c>
      <c r="W56" s="13">
        <v>0</v>
      </c>
      <c r="X56" s="13">
        <v>0</v>
      </c>
      <c r="Y56" s="12">
        <v>0</v>
      </c>
      <c r="Z56" s="12">
        <v>0</v>
      </c>
      <c r="AA56" s="12">
        <v>1</v>
      </c>
      <c r="AB56" s="12">
        <v>0</v>
      </c>
      <c r="AC56" s="12">
        <v>0</v>
      </c>
      <c r="AD56" s="12" t="s">
        <v>931</v>
      </c>
      <c r="AE56" s="16" t="s">
        <v>873</v>
      </c>
      <c r="AF56" s="16" t="s">
        <v>874</v>
      </c>
      <c r="AG56" s="16" t="s">
        <v>885</v>
      </c>
      <c r="AH56" s="13" t="s">
        <v>368</v>
      </c>
      <c r="AI56" s="14" t="s">
        <v>359</v>
      </c>
      <c r="AJ56" s="19" t="s">
        <v>132</v>
      </c>
    </row>
    <row r="57" spans="1:36" x14ac:dyDescent="0.2">
      <c r="A57" s="45" t="s">
        <v>245</v>
      </c>
      <c r="B57" s="25">
        <v>0</v>
      </c>
      <c r="C57" s="13" t="s">
        <v>513</v>
      </c>
      <c r="D57" s="15">
        <v>1</v>
      </c>
      <c r="E57" s="13">
        <v>0</v>
      </c>
      <c r="F57" s="16" t="s">
        <v>100</v>
      </c>
      <c r="G57" s="15">
        <v>35</v>
      </c>
      <c r="H57" s="16" t="s">
        <v>71</v>
      </c>
      <c r="I57" s="16" t="s">
        <v>49</v>
      </c>
      <c r="J57" s="16" t="s">
        <v>51</v>
      </c>
      <c r="K57" s="16" t="s">
        <v>52</v>
      </c>
      <c r="L57" s="16" t="s">
        <v>52</v>
      </c>
      <c r="M57" s="16" t="s">
        <v>872</v>
      </c>
      <c r="N57" s="12" t="s">
        <v>246</v>
      </c>
      <c r="O57" s="17" t="s">
        <v>873</v>
      </c>
      <c r="P57" s="16" t="s">
        <v>876</v>
      </c>
      <c r="Q57" s="16" t="s">
        <v>875</v>
      </c>
      <c r="R57" s="12" t="s">
        <v>52</v>
      </c>
      <c r="S57" s="24" t="s">
        <v>55</v>
      </c>
      <c r="T57" s="40">
        <v>0</v>
      </c>
      <c r="U57" s="13" t="s">
        <v>50</v>
      </c>
      <c r="V57" s="13">
        <v>1</v>
      </c>
      <c r="W57" s="13">
        <v>0</v>
      </c>
      <c r="X57" s="13">
        <v>0</v>
      </c>
      <c r="Y57" s="12">
        <v>1</v>
      </c>
      <c r="Z57" s="12">
        <v>1</v>
      </c>
      <c r="AA57" s="12">
        <v>0</v>
      </c>
      <c r="AB57" s="12">
        <v>0</v>
      </c>
      <c r="AC57" s="12">
        <v>0</v>
      </c>
      <c r="AD57" s="12" t="s">
        <v>932</v>
      </c>
      <c r="AE57" s="16" t="s">
        <v>873</v>
      </c>
      <c r="AF57" s="16" t="s">
        <v>876</v>
      </c>
      <c r="AG57" s="16" t="s">
        <v>885</v>
      </c>
      <c r="AH57" s="13" t="s">
        <v>247</v>
      </c>
      <c r="AI57" s="14">
        <v>0.6</v>
      </c>
      <c r="AJ57" s="19" t="s">
        <v>57</v>
      </c>
    </row>
    <row r="58" spans="1:36" x14ac:dyDescent="0.2">
      <c r="A58" s="45" t="s">
        <v>253</v>
      </c>
      <c r="B58" s="25">
        <v>1</v>
      </c>
      <c r="C58" s="13">
        <v>2</v>
      </c>
      <c r="D58" s="15">
        <v>1</v>
      </c>
      <c r="E58" s="13">
        <v>1</v>
      </c>
      <c r="F58" s="16" t="s">
        <v>903</v>
      </c>
      <c r="G58" s="15">
        <v>33</v>
      </c>
      <c r="H58" s="16" t="s">
        <v>71</v>
      </c>
      <c r="I58" s="16" t="s">
        <v>49</v>
      </c>
      <c r="J58" s="24" t="s">
        <v>51</v>
      </c>
      <c r="K58" s="16" t="s">
        <v>50</v>
      </c>
      <c r="L58" s="16" t="s">
        <v>52</v>
      </c>
      <c r="M58" s="16" t="s">
        <v>872</v>
      </c>
      <c r="N58" s="12" t="s">
        <v>254</v>
      </c>
      <c r="O58" s="17" t="s">
        <v>873</v>
      </c>
      <c r="P58" s="16" t="s">
        <v>877</v>
      </c>
      <c r="Q58" s="16" t="s">
        <v>875</v>
      </c>
      <c r="R58" s="12" t="s">
        <v>55</v>
      </c>
      <c r="S58" s="16" t="s">
        <v>55</v>
      </c>
      <c r="T58" s="15">
        <v>1</v>
      </c>
      <c r="U58" s="13" t="s">
        <v>52</v>
      </c>
      <c r="V58" s="13">
        <v>0</v>
      </c>
      <c r="W58" s="13">
        <v>1</v>
      </c>
      <c r="X58" s="13">
        <v>1</v>
      </c>
      <c r="Y58" s="39">
        <v>1</v>
      </c>
      <c r="Z58" s="12">
        <v>1</v>
      </c>
      <c r="AA58" s="12">
        <v>0</v>
      </c>
      <c r="AB58" s="12">
        <v>0</v>
      </c>
      <c r="AC58" s="12">
        <v>0</v>
      </c>
      <c r="AD58" s="12" t="s">
        <v>933</v>
      </c>
      <c r="AE58" s="16" t="s">
        <v>873</v>
      </c>
      <c r="AF58" s="16" t="s">
        <v>879</v>
      </c>
      <c r="AG58" s="16" t="s">
        <v>885</v>
      </c>
      <c r="AH58" s="13" t="s">
        <v>56</v>
      </c>
      <c r="AI58" s="14">
        <v>0.9</v>
      </c>
      <c r="AJ58" s="19" t="s">
        <v>57</v>
      </c>
    </row>
    <row r="59" spans="1:36" x14ac:dyDescent="0.2">
      <c r="A59" s="45" t="s">
        <v>264</v>
      </c>
      <c r="B59" s="25">
        <v>1</v>
      </c>
      <c r="C59" s="13">
        <v>2</v>
      </c>
      <c r="D59" s="15">
        <v>1</v>
      </c>
      <c r="E59" s="13">
        <v>1</v>
      </c>
      <c r="F59" s="16" t="s">
        <v>903</v>
      </c>
      <c r="G59" s="15">
        <v>55</v>
      </c>
      <c r="H59" s="16" t="s">
        <v>71</v>
      </c>
      <c r="I59" s="16" t="s">
        <v>49</v>
      </c>
      <c r="J59" s="16" t="s">
        <v>55</v>
      </c>
      <c r="K59" s="16" t="s">
        <v>50</v>
      </c>
      <c r="L59" s="24" t="s">
        <v>50</v>
      </c>
      <c r="M59" s="16" t="s">
        <v>872</v>
      </c>
      <c r="N59" s="20" t="s">
        <v>265</v>
      </c>
      <c r="O59" s="17" t="s">
        <v>873</v>
      </c>
      <c r="P59" s="16" t="s">
        <v>877</v>
      </c>
      <c r="Q59" s="16" t="s">
        <v>885</v>
      </c>
      <c r="R59" s="12" t="s">
        <v>55</v>
      </c>
      <c r="S59" s="16" t="s">
        <v>55</v>
      </c>
      <c r="T59" s="15">
        <v>1</v>
      </c>
      <c r="U59" s="13" t="s">
        <v>52</v>
      </c>
      <c r="V59" s="13">
        <v>0</v>
      </c>
      <c r="W59" s="13">
        <v>1</v>
      </c>
      <c r="X59" s="13">
        <v>1</v>
      </c>
      <c r="Y59" s="12">
        <v>1</v>
      </c>
      <c r="Z59" s="12">
        <v>1</v>
      </c>
      <c r="AA59" s="12">
        <v>1</v>
      </c>
      <c r="AB59" s="12">
        <v>1</v>
      </c>
      <c r="AC59" s="12">
        <v>0</v>
      </c>
      <c r="AD59" s="12" t="s">
        <v>889</v>
      </c>
      <c r="AE59" s="16" t="s">
        <v>873</v>
      </c>
      <c r="AF59" s="16" t="s">
        <v>879</v>
      </c>
      <c r="AG59" s="16" t="s">
        <v>875</v>
      </c>
      <c r="AH59" s="13" t="s">
        <v>56</v>
      </c>
      <c r="AI59" s="14">
        <v>0.9</v>
      </c>
      <c r="AJ59" s="19" t="s">
        <v>57</v>
      </c>
    </row>
    <row r="60" spans="1:36" x14ac:dyDescent="0.2">
      <c r="A60" s="45" t="s">
        <v>527</v>
      </c>
      <c r="B60" s="25">
        <v>1</v>
      </c>
      <c r="C60" s="13">
        <v>0</v>
      </c>
      <c r="D60" s="15">
        <v>1</v>
      </c>
      <c r="E60" s="13">
        <v>1</v>
      </c>
      <c r="F60" s="16" t="s">
        <v>903</v>
      </c>
      <c r="G60" s="15">
        <v>57</v>
      </c>
      <c r="H60" s="16" t="s">
        <v>71</v>
      </c>
      <c r="I60" s="16" t="s">
        <v>49</v>
      </c>
      <c r="J60" s="24" t="s">
        <v>55</v>
      </c>
      <c r="K60" s="24" t="s">
        <v>50</v>
      </c>
      <c r="L60" s="24" t="s">
        <v>50</v>
      </c>
      <c r="M60" s="16" t="s">
        <v>872</v>
      </c>
      <c r="N60" s="20" t="s">
        <v>934</v>
      </c>
      <c r="O60" s="17" t="s">
        <v>881</v>
      </c>
      <c r="P60" s="17" t="s">
        <v>880</v>
      </c>
      <c r="Q60" s="16" t="s">
        <v>885</v>
      </c>
      <c r="R60" s="12" t="s">
        <v>52</v>
      </c>
      <c r="S60" s="16" t="s">
        <v>55</v>
      </c>
      <c r="T60" s="15">
        <v>1</v>
      </c>
      <c r="U60" s="13" t="s">
        <v>52</v>
      </c>
      <c r="V60" s="13">
        <v>0</v>
      </c>
      <c r="W60" s="13">
        <v>1</v>
      </c>
      <c r="X60" s="13">
        <v>0</v>
      </c>
      <c r="Y60" s="12">
        <v>0</v>
      </c>
      <c r="Z60" s="12">
        <v>1</v>
      </c>
      <c r="AA60" s="12">
        <v>1</v>
      </c>
      <c r="AB60" s="12">
        <v>1</v>
      </c>
      <c r="AC60" s="12">
        <v>0</v>
      </c>
      <c r="AD60" s="12" t="s">
        <v>917</v>
      </c>
      <c r="AE60" s="16" t="s">
        <v>873</v>
      </c>
      <c r="AF60" s="16" t="s">
        <v>879</v>
      </c>
      <c r="AG60" s="16" t="s">
        <v>885</v>
      </c>
      <c r="AH60" s="38">
        <v>0.1</v>
      </c>
      <c r="AI60" s="14">
        <v>0.9</v>
      </c>
      <c r="AJ60" s="19" t="s">
        <v>57</v>
      </c>
    </row>
    <row r="61" spans="1:36" x14ac:dyDescent="0.2">
      <c r="A61" s="45" t="s">
        <v>272</v>
      </c>
      <c r="B61" s="25">
        <v>1</v>
      </c>
      <c r="C61" s="13" t="s">
        <v>513</v>
      </c>
      <c r="D61" s="15">
        <v>1</v>
      </c>
      <c r="E61" s="13">
        <v>0</v>
      </c>
      <c r="F61" s="16" t="s">
        <v>100</v>
      </c>
      <c r="G61" s="15">
        <v>59</v>
      </c>
      <c r="H61" s="16" t="s">
        <v>71</v>
      </c>
      <c r="I61" s="16" t="s">
        <v>49</v>
      </c>
      <c r="J61" s="16" t="s">
        <v>51</v>
      </c>
      <c r="K61" s="16" t="s">
        <v>50</v>
      </c>
      <c r="L61" s="16" t="s">
        <v>50</v>
      </c>
      <c r="M61" s="16" t="s">
        <v>872</v>
      </c>
      <c r="N61" s="12" t="s">
        <v>99</v>
      </c>
      <c r="O61" s="17" t="s">
        <v>873</v>
      </c>
      <c r="P61" s="16" t="s">
        <v>874</v>
      </c>
      <c r="Q61" s="16" t="s">
        <v>875</v>
      </c>
      <c r="R61" s="12" t="s">
        <v>55</v>
      </c>
      <c r="S61" s="16" t="s">
        <v>55</v>
      </c>
      <c r="T61" s="15">
        <v>0</v>
      </c>
      <c r="U61" s="13" t="s">
        <v>50</v>
      </c>
      <c r="V61" s="13">
        <v>1</v>
      </c>
      <c r="W61" s="13">
        <v>0</v>
      </c>
      <c r="X61" s="13">
        <v>0</v>
      </c>
      <c r="Y61" s="12">
        <v>0</v>
      </c>
      <c r="Z61" s="12">
        <v>1</v>
      </c>
      <c r="AA61" s="12">
        <v>0</v>
      </c>
      <c r="AB61" s="12">
        <v>0</v>
      </c>
      <c r="AC61" s="12"/>
      <c r="AD61" s="12" t="s">
        <v>900</v>
      </c>
      <c r="AE61" s="16" t="s">
        <v>873</v>
      </c>
      <c r="AF61" s="16" t="s">
        <v>874</v>
      </c>
      <c r="AG61" s="16" t="s">
        <v>885</v>
      </c>
      <c r="AH61" s="38">
        <v>0.5</v>
      </c>
      <c r="AI61" s="14">
        <v>0.5</v>
      </c>
      <c r="AJ61" s="19" t="s">
        <v>132</v>
      </c>
    </row>
    <row r="62" spans="1:36" x14ac:dyDescent="0.2">
      <c r="A62" s="45" t="s">
        <v>282</v>
      </c>
      <c r="B62" s="25">
        <v>0</v>
      </c>
      <c r="C62" s="13">
        <v>1</v>
      </c>
      <c r="D62" s="15">
        <v>1</v>
      </c>
      <c r="E62" s="13">
        <v>1</v>
      </c>
      <c r="F62" s="16" t="s">
        <v>903</v>
      </c>
      <c r="G62" s="15">
        <v>52</v>
      </c>
      <c r="H62" s="16" t="s">
        <v>71</v>
      </c>
      <c r="I62" s="16" t="s">
        <v>49</v>
      </c>
      <c r="J62" s="16" t="s">
        <v>51</v>
      </c>
      <c r="K62" s="16" t="s">
        <v>50</v>
      </c>
      <c r="L62" s="16" t="s">
        <v>50</v>
      </c>
      <c r="M62" s="16" t="s">
        <v>919</v>
      </c>
      <c r="N62" s="12" t="s">
        <v>99</v>
      </c>
      <c r="O62" s="17" t="s">
        <v>873</v>
      </c>
      <c r="P62" s="16" t="s">
        <v>874</v>
      </c>
      <c r="Q62" s="16" t="s">
        <v>875</v>
      </c>
      <c r="R62" s="12" t="s">
        <v>55</v>
      </c>
      <c r="S62" s="16" t="s">
        <v>55</v>
      </c>
      <c r="T62" s="15">
        <v>1</v>
      </c>
      <c r="U62" s="13" t="s">
        <v>52</v>
      </c>
      <c r="V62" s="13">
        <v>0</v>
      </c>
      <c r="W62" s="13">
        <v>0</v>
      </c>
      <c r="X62" s="13">
        <v>1</v>
      </c>
      <c r="Y62" s="12">
        <v>1</v>
      </c>
      <c r="Z62" s="12">
        <v>0</v>
      </c>
      <c r="AA62" s="12">
        <v>0</v>
      </c>
      <c r="AB62" s="12">
        <v>0</v>
      </c>
      <c r="AC62" s="12"/>
      <c r="AD62" s="12" t="s">
        <v>900</v>
      </c>
      <c r="AE62" s="16" t="s">
        <v>873</v>
      </c>
      <c r="AF62" s="16" t="s">
        <v>874</v>
      </c>
      <c r="AG62" s="16" t="s">
        <v>885</v>
      </c>
      <c r="AH62" s="13" t="s">
        <v>73</v>
      </c>
      <c r="AI62" s="14" t="s">
        <v>341</v>
      </c>
      <c r="AJ62" s="19" t="s">
        <v>57</v>
      </c>
    </row>
    <row r="63" spans="1:36" x14ac:dyDescent="0.2">
      <c r="A63" s="45" t="s">
        <v>289</v>
      </c>
      <c r="B63" s="25">
        <v>1</v>
      </c>
      <c r="C63" s="13" t="s">
        <v>513</v>
      </c>
      <c r="D63" s="15">
        <v>1</v>
      </c>
      <c r="E63" s="13">
        <v>0</v>
      </c>
      <c r="F63" s="16" t="s">
        <v>100</v>
      </c>
      <c r="G63" s="15">
        <v>73</v>
      </c>
      <c r="H63" s="16" t="s">
        <v>48</v>
      </c>
      <c r="I63" s="16" t="s">
        <v>49</v>
      </c>
      <c r="J63" s="16" t="s">
        <v>51</v>
      </c>
      <c r="K63" s="16" t="s">
        <v>52</v>
      </c>
      <c r="L63" s="16" t="s">
        <v>50</v>
      </c>
      <c r="M63" s="16" t="s">
        <v>872</v>
      </c>
      <c r="N63" s="12" t="s">
        <v>99</v>
      </c>
      <c r="O63" s="17" t="s">
        <v>873</v>
      </c>
      <c r="P63" s="16" t="s">
        <v>874</v>
      </c>
      <c r="Q63" s="16" t="s">
        <v>875</v>
      </c>
      <c r="R63" s="12" t="s">
        <v>55</v>
      </c>
      <c r="S63" s="24" t="s">
        <v>55</v>
      </c>
      <c r="T63" s="15">
        <v>0</v>
      </c>
      <c r="U63" s="13" t="s">
        <v>52</v>
      </c>
      <c r="V63" s="13">
        <v>1</v>
      </c>
      <c r="W63" s="13">
        <v>0</v>
      </c>
      <c r="X63" s="13">
        <v>0</v>
      </c>
      <c r="Y63" s="12">
        <v>0</v>
      </c>
      <c r="Z63" s="12">
        <v>0</v>
      </c>
      <c r="AA63" s="12">
        <v>0</v>
      </c>
      <c r="AB63" s="12">
        <v>0</v>
      </c>
      <c r="AC63" s="12">
        <v>1</v>
      </c>
      <c r="AD63" s="12" t="s">
        <v>898</v>
      </c>
      <c r="AE63" s="16" t="s">
        <v>881</v>
      </c>
      <c r="AF63" s="16" t="s">
        <v>874</v>
      </c>
      <c r="AG63" s="16" t="s">
        <v>875</v>
      </c>
      <c r="AH63" s="13" t="s">
        <v>73</v>
      </c>
      <c r="AI63" s="14" t="s">
        <v>341</v>
      </c>
      <c r="AJ63" s="19" t="s">
        <v>57</v>
      </c>
    </row>
    <row r="64" spans="1:36" x14ac:dyDescent="0.2">
      <c r="A64" s="45" t="s">
        <v>298</v>
      </c>
      <c r="B64" s="25">
        <v>1</v>
      </c>
      <c r="C64" s="13" t="s">
        <v>513</v>
      </c>
      <c r="D64" s="15">
        <v>1</v>
      </c>
      <c r="E64" s="13">
        <v>1</v>
      </c>
      <c r="F64" s="16" t="s">
        <v>903</v>
      </c>
      <c r="G64" s="15">
        <v>56</v>
      </c>
      <c r="H64" s="16" t="s">
        <v>71</v>
      </c>
      <c r="I64" s="16" t="s">
        <v>49</v>
      </c>
      <c r="J64" s="16" t="s">
        <v>51</v>
      </c>
      <c r="K64" s="16" t="s">
        <v>50</v>
      </c>
      <c r="L64" s="24" t="s">
        <v>50</v>
      </c>
      <c r="M64" s="16" t="s">
        <v>872</v>
      </c>
      <c r="N64" s="20" t="s">
        <v>87</v>
      </c>
      <c r="O64" s="17" t="s">
        <v>873</v>
      </c>
      <c r="P64" s="16" t="s">
        <v>877</v>
      </c>
      <c r="Q64" s="16" t="s">
        <v>875</v>
      </c>
      <c r="R64" s="12" t="s">
        <v>55</v>
      </c>
      <c r="S64" s="16" t="s">
        <v>52</v>
      </c>
      <c r="T64" s="15">
        <v>1</v>
      </c>
      <c r="U64" s="13" t="s">
        <v>52</v>
      </c>
      <c r="V64" s="13">
        <v>1</v>
      </c>
      <c r="W64" s="13">
        <v>0</v>
      </c>
      <c r="X64" s="13">
        <v>1</v>
      </c>
      <c r="Y64" s="12">
        <v>1</v>
      </c>
      <c r="Z64" s="12">
        <v>1</v>
      </c>
      <c r="AA64" s="12">
        <v>0</v>
      </c>
      <c r="AB64" s="12">
        <v>0</v>
      </c>
      <c r="AC64" s="12">
        <v>1</v>
      </c>
      <c r="AD64" s="12" t="s">
        <v>99</v>
      </c>
      <c r="AE64" s="16" t="s">
        <v>873</v>
      </c>
      <c r="AF64" s="16" t="s">
        <v>874</v>
      </c>
      <c r="AG64" s="16" t="s">
        <v>875</v>
      </c>
      <c r="AH64" s="13" t="s">
        <v>299</v>
      </c>
      <c r="AI64" s="14" t="s">
        <v>935</v>
      </c>
      <c r="AJ64" s="19" t="s">
        <v>57</v>
      </c>
    </row>
    <row r="65" spans="1:36" x14ac:dyDescent="0.2">
      <c r="A65" s="45" t="s">
        <v>528</v>
      </c>
      <c r="B65" s="25">
        <v>1</v>
      </c>
      <c r="C65" s="13" t="s">
        <v>513</v>
      </c>
      <c r="D65" s="15">
        <v>1</v>
      </c>
      <c r="E65" s="13">
        <v>1</v>
      </c>
      <c r="F65" s="16" t="s">
        <v>903</v>
      </c>
      <c r="G65" s="15">
        <v>68</v>
      </c>
      <c r="H65" s="16" t="s">
        <v>48</v>
      </c>
      <c r="I65" s="16" t="s">
        <v>49</v>
      </c>
      <c r="J65" s="16" t="s">
        <v>51</v>
      </c>
      <c r="K65" s="16" t="s">
        <v>50</v>
      </c>
      <c r="L65" s="16" t="s">
        <v>52</v>
      </c>
      <c r="M65" s="16" t="s">
        <v>872</v>
      </c>
      <c r="N65" s="12" t="s">
        <v>200</v>
      </c>
      <c r="O65" s="17" t="s">
        <v>873</v>
      </c>
      <c r="P65" s="16" t="s">
        <v>874</v>
      </c>
      <c r="Q65" s="16" t="s">
        <v>875</v>
      </c>
      <c r="R65" s="12" t="s">
        <v>50</v>
      </c>
      <c r="S65" s="24" t="s">
        <v>55</v>
      </c>
      <c r="T65" s="15">
        <v>0</v>
      </c>
      <c r="U65" s="13" t="s">
        <v>52</v>
      </c>
      <c r="V65" s="13">
        <v>1</v>
      </c>
      <c r="W65" s="43">
        <v>1</v>
      </c>
      <c r="X65" s="13">
        <v>0</v>
      </c>
      <c r="Y65" s="12">
        <v>0</v>
      </c>
      <c r="Z65" s="12">
        <v>1</v>
      </c>
      <c r="AA65" s="12">
        <v>1</v>
      </c>
      <c r="AB65" s="39">
        <v>0</v>
      </c>
      <c r="AC65" s="12">
        <v>1</v>
      </c>
      <c r="AD65" s="39" t="s">
        <v>936</v>
      </c>
      <c r="AE65" s="16" t="s">
        <v>873</v>
      </c>
      <c r="AF65" s="16" t="s">
        <v>876</v>
      </c>
      <c r="AG65" s="16" t="s">
        <v>885</v>
      </c>
      <c r="AH65" s="13" t="s">
        <v>56</v>
      </c>
      <c r="AI65" s="14">
        <v>0.9</v>
      </c>
      <c r="AJ65" s="19" t="s">
        <v>57</v>
      </c>
    </row>
    <row r="66" spans="1:36" x14ac:dyDescent="0.2">
      <c r="A66" s="45" t="s">
        <v>309</v>
      </c>
      <c r="B66" s="25">
        <v>1</v>
      </c>
      <c r="C66" s="13">
        <v>1</v>
      </c>
      <c r="D66" s="15">
        <v>1</v>
      </c>
      <c r="E66" s="13">
        <v>1</v>
      </c>
      <c r="F66" s="16" t="s">
        <v>903</v>
      </c>
      <c r="G66" s="15">
        <v>60</v>
      </c>
      <c r="H66" s="16" t="s">
        <v>71</v>
      </c>
      <c r="I66" s="16" t="s">
        <v>49</v>
      </c>
      <c r="J66" s="16" t="s">
        <v>51</v>
      </c>
      <c r="K66" s="24" t="s">
        <v>50</v>
      </c>
      <c r="L66" s="24" t="s">
        <v>50</v>
      </c>
      <c r="M66" s="16" t="s">
        <v>872</v>
      </c>
      <c r="N66" s="12" t="s">
        <v>87</v>
      </c>
      <c r="O66" s="17" t="s">
        <v>873</v>
      </c>
      <c r="P66" s="16" t="s">
        <v>877</v>
      </c>
      <c r="Q66" s="16" t="s">
        <v>875</v>
      </c>
      <c r="R66" s="12" t="s">
        <v>55</v>
      </c>
      <c r="S66" s="16" t="s">
        <v>55</v>
      </c>
      <c r="T66" s="15">
        <v>1</v>
      </c>
      <c r="U66" s="13" t="s">
        <v>50</v>
      </c>
      <c r="V66" s="13">
        <v>1</v>
      </c>
      <c r="W66" s="43">
        <v>1</v>
      </c>
      <c r="X66" s="43">
        <v>0</v>
      </c>
      <c r="Y66" s="12">
        <v>1</v>
      </c>
      <c r="Z66" s="12">
        <v>1</v>
      </c>
      <c r="AA66" s="39">
        <v>0</v>
      </c>
      <c r="AB66" s="12">
        <v>1</v>
      </c>
      <c r="AC66" s="12">
        <v>1</v>
      </c>
      <c r="AD66" s="12" t="s">
        <v>937</v>
      </c>
      <c r="AE66" s="16" t="s">
        <v>873</v>
      </c>
      <c r="AF66" s="16" t="s">
        <v>879</v>
      </c>
      <c r="AG66" s="16" t="s">
        <v>885</v>
      </c>
      <c r="AH66" s="38">
        <v>0.9</v>
      </c>
      <c r="AI66" s="14">
        <v>0.1</v>
      </c>
      <c r="AJ66" s="12" t="s">
        <v>310</v>
      </c>
    </row>
    <row r="67" spans="1:36" x14ac:dyDescent="0.2">
      <c r="A67" s="45" t="s">
        <v>317</v>
      </c>
      <c r="B67" s="25">
        <v>1</v>
      </c>
      <c r="C67" s="13" t="s">
        <v>513</v>
      </c>
      <c r="D67" s="15">
        <v>1</v>
      </c>
      <c r="E67" s="13">
        <v>0</v>
      </c>
      <c r="F67" s="16" t="s">
        <v>100</v>
      </c>
      <c r="G67" s="15">
        <v>65</v>
      </c>
      <c r="H67" s="16" t="s">
        <v>48</v>
      </c>
      <c r="I67" s="16" t="s">
        <v>49</v>
      </c>
      <c r="J67" s="16" t="s">
        <v>51</v>
      </c>
      <c r="K67" s="16" t="s">
        <v>52</v>
      </c>
      <c r="L67" s="16" t="s">
        <v>52</v>
      </c>
      <c r="M67" s="16" t="s">
        <v>872</v>
      </c>
      <c r="N67" s="12" t="s">
        <v>318</v>
      </c>
      <c r="O67" s="17" t="s">
        <v>873</v>
      </c>
      <c r="P67" s="16" t="s">
        <v>877</v>
      </c>
      <c r="Q67" s="16" t="s">
        <v>875</v>
      </c>
      <c r="R67" s="12" t="s">
        <v>52</v>
      </c>
      <c r="S67" s="16" t="s">
        <v>55</v>
      </c>
      <c r="T67" s="15">
        <v>0</v>
      </c>
      <c r="U67" s="13" t="s">
        <v>52</v>
      </c>
      <c r="V67" s="13">
        <v>0</v>
      </c>
      <c r="W67" s="13">
        <v>0</v>
      </c>
      <c r="X67" s="13">
        <v>0</v>
      </c>
      <c r="Y67" s="12">
        <v>0</v>
      </c>
      <c r="Z67" s="12">
        <v>0</v>
      </c>
      <c r="AA67" s="12">
        <v>0</v>
      </c>
      <c r="AB67" s="12">
        <v>0</v>
      </c>
      <c r="AC67" s="12">
        <v>1</v>
      </c>
      <c r="AD67" s="12" t="s">
        <v>902</v>
      </c>
      <c r="AE67" s="16" t="s">
        <v>873</v>
      </c>
      <c r="AF67" s="16" t="s">
        <v>874</v>
      </c>
      <c r="AG67" s="16" t="s">
        <v>885</v>
      </c>
      <c r="AH67" s="38">
        <v>0.1</v>
      </c>
      <c r="AI67" s="14">
        <v>0.9</v>
      </c>
      <c r="AJ67" s="19" t="s">
        <v>57</v>
      </c>
    </row>
    <row r="68" spans="1:36" x14ac:dyDescent="0.2">
      <c r="A68" s="45" t="s">
        <v>324</v>
      </c>
      <c r="B68" s="25">
        <v>1</v>
      </c>
      <c r="C68" s="13">
        <v>0</v>
      </c>
      <c r="D68" s="15">
        <v>1</v>
      </c>
      <c r="E68" s="13">
        <v>1</v>
      </c>
      <c r="F68" s="16" t="s">
        <v>903</v>
      </c>
      <c r="G68" s="15">
        <v>57</v>
      </c>
      <c r="H68" s="16" t="s">
        <v>71</v>
      </c>
      <c r="I68" s="16" t="s">
        <v>49</v>
      </c>
      <c r="J68" s="16" t="s">
        <v>51</v>
      </c>
      <c r="K68" s="16" t="s">
        <v>50</v>
      </c>
      <c r="L68" s="16" t="s">
        <v>52</v>
      </c>
      <c r="M68" s="16" t="s">
        <v>872</v>
      </c>
      <c r="N68" s="20" t="s">
        <v>325</v>
      </c>
      <c r="O68" s="17" t="s">
        <v>873</v>
      </c>
      <c r="P68" s="16" t="s">
        <v>877</v>
      </c>
      <c r="Q68" s="16" t="s">
        <v>55</v>
      </c>
      <c r="R68" s="12" t="s">
        <v>52</v>
      </c>
      <c r="S68" s="16" t="s">
        <v>52</v>
      </c>
      <c r="T68" s="15">
        <v>1</v>
      </c>
      <c r="U68" s="13" t="s">
        <v>52</v>
      </c>
      <c r="V68" s="13">
        <v>0</v>
      </c>
      <c r="W68" s="13">
        <v>1</v>
      </c>
      <c r="X68" s="13">
        <v>0</v>
      </c>
      <c r="Y68" s="12">
        <v>0</v>
      </c>
      <c r="Z68" s="12">
        <v>1</v>
      </c>
      <c r="AA68" s="12">
        <v>1</v>
      </c>
      <c r="AB68" s="12">
        <v>0</v>
      </c>
      <c r="AC68" s="12">
        <v>1</v>
      </c>
      <c r="AD68" s="12" t="s">
        <v>938</v>
      </c>
      <c r="AE68" s="16" t="s">
        <v>873</v>
      </c>
      <c r="AF68" s="16" t="s">
        <v>880</v>
      </c>
      <c r="AG68" s="16" t="s">
        <v>875</v>
      </c>
      <c r="AH68" s="38">
        <v>0.1</v>
      </c>
      <c r="AI68" s="14">
        <v>0.9</v>
      </c>
      <c r="AJ68" s="19" t="s">
        <v>57</v>
      </c>
    </row>
    <row r="69" spans="1:36" x14ac:dyDescent="0.2">
      <c r="A69" s="45" t="s">
        <v>335</v>
      </c>
      <c r="B69" s="25">
        <v>1</v>
      </c>
      <c r="C69" s="13" t="s">
        <v>513</v>
      </c>
      <c r="D69" s="15">
        <v>1</v>
      </c>
      <c r="E69" s="13">
        <v>0</v>
      </c>
      <c r="F69" s="16" t="s">
        <v>100</v>
      </c>
      <c r="G69" s="15">
        <v>49</v>
      </c>
      <c r="H69" s="16" t="s">
        <v>71</v>
      </c>
      <c r="I69" s="16" t="s">
        <v>49</v>
      </c>
      <c r="J69" s="16" t="s">
        <v>51</v>
      </c>
      <c r="K69" s="16" t="s">
        <v>50</v>
      </c>
      <c r="L69" s="16" t="s">
        <v>52</v>
      </c>
      <c r="M69" s="16" t="s">
        <v>872</v>
      </c>
      <c r="N69" s="20" t="s">
        <v>336</v>
      </c>
      <c r="O69" s="17" t="s">
        <v>881</v>
      </c>
      <c r="P69" s="16" t="s">
        <v>877</v>
      </c>
      <c r="Q69" s="16" t="s">
        <v>55</v>
      </c>
      <c r="R69" s="12" t="s">
        <v>55</v>
      </c>
      <c r="S69" s="16" t="s">
        <v>55</v>
      </c>
      <c r="T69" s="15">
        <v>0</v>
      </c>
      <c r="U69" s="13" t="s">
        <v>50</v>
      </c>
      <c r="V69" s="13">
        <v>2</v>
      </c>
      <c r="W69" s="13">
        <v>0</v>
      </c>
      <c r="X69" s="13">
        <v>0</v>
      </c>
      <c r="Y69" s="12">
        <v>0</v>
      </c>
      <c r="Z69" s="12">
        <v>0</v>
      </c>
      <c r="AA69" s="12">
        <v>0</v>
      </c>
      <c r="AB69" s="12">
        <v>0</v>
      </c>
      <c r="AC69" s="12">
        <v>1</v>
      </c>
      <c r="AD69" s="12" t="s">
        <v>382</v>
      </c>
      <c r="AE69" s="16" t="s">
        <v>881</v>
      </c>
      <c r="AF69" s="16" t="s">
        <v>883</v>
      </c>
      <c r="AG69" s="16" t="s">
        <v>875</v>
      </c>
      <c r="AH69" s="38">
        <v>0.2</v>
      </c>
      <c r="AI69" s="14">
        <v>0.8</v>
      </c>
      <c r="AJ69" s="19" t="s">
        <v>132</v>
      </c>
    </row>
    <row r="70" spans="1:36" x14ac:dyDescent="0.2">
      <c r="A70" s="45" t="s">
        <v>339</v>
      </c>
      <c r="B70" s="25">
        <v>0</v>
      </c>
      <c r="C70" s="13" t="s">
        <v>513</v>
      </c>
      <c r="D70" s="15">
        <v>1</v>
      </c>
      <c r="E70" s="13">
        <v>0</v>
      </c>
      <c r="F70" s="16" t="s">
        <v>100</v>
      </c>
      <c r="G70" s="15">
        <v>45</v>
      </c>
      <c r="H70" s="16" t="s">
        <v>71</v>
      </c>
      <c r="I70" s="16" t="s">
        <v>340</v>
      </c>
      <c r="J70" s="24" t="s">
        <v>51</v>
      </c>
      <c r="K70" s="16" t="s">
        <v>52</v>
      </c>
      <c r="L70" s="16" t="s">
        <v>52</v>
      </c>
      <c r="M70" s="16" t="s">
        <v>872</v>
      </c>
      <c r="N70" s="12" t="s">
        <v>99</v>
      </c>
      <c r="O70" s="17" t="s">
        <v>873</v>
      </c>
      <c r="P70" s="16" t="s">
        <v>874</v>
      </c>
      <c r="Q70" s="16" t="s">
        <v>875</v>
      </c>
      <c r="R70" s="12" t="s">
        <v>55</v>
      </c>
      <c r="S70" s="16" t="s">
        <v>55</v>
      </c>
      <c r="T70" s="15">
        <v>1</v>
      </c>
      <c r="U70" s="13" t="s">
        <v>50</v>
      </c>
      <c r="V70" s="13">
        <v>2</v>
      </c>
      <c r="W70" s="13">
        <v>0</v>
      </c>
      <c r="X70" s="13">
        <v>0</v>
      </c>
      <c r="Y70" s="12">
        <v>0</v>
      </c>
      <c r="Z70" s="12">
        <v>0</v>
      </c>
      <c r="AA70" s="12">
        <v>0</v>
      </c>
      <c r="AB70" s="12">
        <v>0</v>
      </c>
      <c r="AC70" s="12">
        <v>1</v>
      </c>
      <c r="AD70" s="12" t="s">
        <v>882</v>
      </c>
      <c r="AE70" s="16" t="s">
        <v>881</v>
      </c>
      <c r="AF70" s="16" t="s">
        <v>874</v>
      </c>
      <c r="AG70" s="16" t="s">
        <v>875</v>
      </c>
      <c r="AH70" s="13" t="s">
        <v>341</v>
      </c>
      <c r="AI70" s="14" t="s">
        <v>73</v>
      </c>
      <c r="AJ70" s="19" t="s">
        <v>132</v>
      </c>
    </row>
    <row r="71" spans="1:36" x14ac:dyDescent="0.2">
      <c r="A71" s="45" t="s">
        <v>531</v>
      </c>
      <c r="B71" s="25">
        <v>0</v>
      </c>
      <c r="C71" s="13">
        <v>2</v>
      </c>
      <c r="D71" s="15">
        <v>1</v>
      </c>
      <c r="E71" s="13">
        <v>1</v>
      </c>
      <c r="F71" s="16" t="s">
        <v>903</v>
      </c>
      <c r="G71" s="15">
        <v>66</v>
      </c>
      <c r="H71" s="16" t="s">
        <v>71</v>
      </c>
      <c r="I71" s="16" t="s">
        <v>49</v>
      </c>
      <c r="J71" s="16" t="s">
        <v>51</v>
      </c>
      <c r="K71" s="16" t="s">
        <v>50</v>
      </c>
      <c r="L71" s="16" t="s">
        <v>52</v>
      </c>
      <c r="M71" s="16" t="s">
        <v>872</v>
      </c>
      <c r="N71" s="12" t="s">
        <v>72</v>
      </c>
      <c r="O71" s="17" t="s">
        <v>873</v>
      </c>
      <c r="P71" s="16" t="s">
        <v>877</v>
      </c>
      <c r="Q71" s="16" t="s">
        <v>875</v>
      </c>
      <c r="R71" s="12" t="s">
        <v>55</v>
      </c>
      <c r="S71" s="16" t="s">
        <v>55</v>
      </c>
      <c r="T71" s="15">
        <v>1</v>
      </c>
      <c r="U71" s="13" t="s">
        <v>55</v>
      </c>
      <c r="V71" s="13">
        <v>0</v>
      </c>
      <c r="W71" s="13">
        <v>1</v>
      </c>
      <c r="X71" s="13">
        <v>1</v>
      </c>
      <c r="Y71" s="12">
        <v>1</v>
      </c>
      <c r="Z71" s="12">
        <v>0</v>
      </c>
      <c r="AA71" s="12">
        <v>1</v>
      </c>
      <c r="AB71" s="12">
        <v>0</v>
      </c>
      <c r="AC71" s="12">
        <v>0</v>
      </c>
      <c r="AD71" s="12" t="s">
        <v>72</v>
      </c>
      <c r="AE71" s="16" t="s">
        <v>873</v>
      </c>
      <c r="AF71" s="16" t="s">
        <v>890</v>
      </c>
      <c r="AG71" s="16" t="s">
        <v>875</v>
      </c>
      <c r="AH71" s="38">
        <v>0.1</v>
      </c>
      <c r="AI71" s="14">
        <v>0.9</v>
      </c>
      <c r="AJ71" s="19" t="s">
        <v>57</v>
      </c>
    </row>
    <row r="72" spans="1:36" x14ac:dyDescent="0.2">
      <c r="A72" s="45" t="s">
        <v>532</v>
      </c>
      <c r="B72" s="25">
        <v>0</v>
      </c>
      <c r="C72" s="13">
        <v>0</v>
      </c>
      <c r="D72" s="15">
        <v>1</v>
      </c>
      <c r="E72" s="13">
        <v>1</v>
      </c>
      <c r="F72" s="16" t="s">
        <v>903</v>
      </c>
      <c r="G72" s="15">
        <v>66</v>
      </c>
      <c r="H72" s="16" t="s">
        <v>71</v>
      </c>
      <c r="I72" s="16" t="s">
        <v>49</v>
      </c>
      <c r="J72" s="16" t="s">
        <v>51</v>
      </c>
      <c r="K72" s="16" t="s">
        <v>50</v>
      </c>
      <c r="L72" s="16" t="s">
        <v>52</v>
      </c>
      <c r="M72" s="16" t="s">
        <v>872</v>
      </c>
      <c r="N72" s="12" t="s">
        <v>87</v>
      </c>
      <c r="O72" s="17" t="s">
        <v>873</v>
      </c>
      <c r="P72" s="16" t="s">
        <v>877</v>
      </c>
      <c r="Q72" s="16" t="s">
        <v>875</v>
      </c>
      <c r="R72" s="12" t="s">
        <v>55</v>
      </c>
      <c r="S72" s="16" t="s">
        <v>55</v>
      </c>
      <c r="T72" s="15">
        <v>1</v>
      </c>
      <c r="U72" s="13" t="s">
        <v>55</v>
      </c>
      <c r="V72" s="13">
        <v>1</v>
      </c>
      <c r="W72" s="13">
        <v>1</v>
      </c>
      <c r="X72" s="13">
        <v>0</v>
      </c>
      <c r="Y72" s="12">
        <v>0</v>
      </c>
      <c r="Z72" s="12">
        <v>0</v>
      </c>
      <c r="AA72" s="12">
        <v>1</v>
      </c>
      <c r="AB72" s="12">
        <v>1</v>
      </c>
      <c r="AC72" s="12">
        <v>1</v>
      </c>
      <c r="AD72" s="12" t="s">
        <v>939</v>
      </c>
      <c r="AE72" s="16" t="s">
        <v>873</v>
      </c>
      <c r="AF72" s="16" t="s">
        <v>883</v>
      </c>
      <c r="AG72" s="16" t="s">
        <v>885</v>
      </c>
      <c r="AH72" s="38">
        <v>0.1</v>
      </c>
      <c r="AI72" s="14">
        <v>0.9</v>
      </c>
      <c r="AJ72" s="19" t="s">
        <v>57</v>
      </c>
    </row>
    <row r="73" spans="1:36" x14ac:dyDescent="0.2">
      <c r="A73" s="45" t="s">
        <v>345</v>
      </c>
      <c r="B73" s="25">
        <v>0</v>
      </c>
      <c r="C73" s="13">
        <v>0</v>
      </c>
      <c r="D73" s="15">
        <v>1</v>
      </c>
      <c r="E73" s="13">
        <v>1</v>
      </c>
      <c r="F73" s="16" t="s">
        <v>903</v>
      </c>
      <c r="G73" s="15">
        <v>66</v>
      </c>
      <c r="H73" s="16" t="s">
        <v>71</v>
      </c>
      <c r="I73" s="16" t="s">
        <v>49</v>
      </c>
      <c r="J73" s="16" t="s">
        <v>51</v>
      </c>
      <c r="K73" s="16" t="s">
        <v>52</v>
      </c>
      <c r="L73" s="16" t="s">
        <v>52</v>
      </c>
      <c r="M73" s="16" t="s">
        <v>905</v>
      </c>
      <c r="N73" s="20" t="s">
        <v>346</v>
      </c>
      <c r="O73" s="17" t="s">
        <v>873</v>
      </c>
      <c r="P73" s="16" t="s">
        <v>880</v>
      </c>
      <c r="Q73" s="16" t="s">
        <v>55</v>
      </c>
      <c r="R73" s="12" t="s">
        <v>52</v>
      </c>
      <c r="S73" s="16" t="s">
        <v>52</v>
      </c>
      <c r="T73" s="15">
        <v>0</v>
      </c>
      <c r="U73" s="13" t="s">
        <v>55</v>
      </c>
      <c r="V73" s="13">
        <v>9</v>
      </c>
      <c r="W73" s="13">
        <v>1</v>
      </c>
      <c r="X73" s="13">
        <v>1</v>
      </c>
      <c r="Y73" s="12">
        <v>1</v>
      </c>
      <c r="Z73" s="12">
        <v>1</v>
      </c>
      <c r="AA73" s="12">
        <v>1</v>
      </c>
      <c r="AB73" s="12">
        <v>1</v>
      </c>
      <c r="AC73" s="12">
        <v>1</v>
      </c>
      <c r="AD73" s="12" t="s">
        <v>940</v>
      </c>
      <c r="AE73" s="16" t="s">
        <v>873</v>
      </c>
      <c r="AF73" s="16" t="s">
        <v>880</v>
      </c>
      <c r="AG73" s="16" t="s">
        <v>875</v>
      </c>
      <c r="AH73" s="13" t="s">
        <v>56</v>
      </c>
      <c r="AI73" s="14">
        <v>0.6</v>
      </c>
      <c r="AJ73" s="19" t="s">
        <v>57</v>
      </c>
    </row>
    <row r="74" spans="1:36" x14ac:dyDescent="0.2">
      <c r="A74" s="45" t="s">
        <v>350</v>
      </c>
      <c r="B74" s="25">
        <v>0</v>
      </c>
      <c r="C74" s="13">
        <v>0</v>
      </c>
      <c r="D74" s="15">
        <v>1</v>
      </c>
      <c r="E74" s="13">
        <v>1</v>
      </c>
      <c r="F74" s="16" t="s">
        <v>903</v>
      </c>
      <c r="G74" s="15">
        <v>72</v>
      </c>
      <c r="H74" s="16" t="s">
        <v>48</v>
      </c>
      <c r="I74" s="16" t="s">
        <v>49</v>
      </c>
      <c r="J74" s="16" t="s">
        <v>51</v>
      </c>
      <c r="K74" s="16" t="s">
        <v>50</v>
      </c>
      <c r="L74" s="16" t="s">
        <v>52</v>
      </c>
      <c r="M74" s="16" t="s">
        <v>872</v>
      </c>
      <c r="N74" s="12" t="s">
        <v>72</v>
      </c>
      <c r="O74" s="17" t="s">
        <v>873</v>
      </c>
      <c r="P74" s="16" t="s">
        <v>877</v>
      </c>
      <c r="Q74" s="16" t="s">
        <v>875</v>
      </c>
      <c r="R74" s="12" t="s">
        <v>55</v>
      </c>
      <c r="S74" s="16" t="s">
        <v>55</v>
      </c>
      <c r="T74" s="15">
        <v>1</v>
      </c>
      <c r="U74" s="13" t="s">
        <v>55</v>
      </c>
      <c r="V74" s="13">
        <v>9</v>
      </c>
      <c r="W74" s="13">
        <v>1</v>
      </c>
      <c r="X74" s="13">
        <v>0</v>
      </c>
      <c r="Y74" s="12">
        <v>1</v>
      </c>
      <c r="Z74" s="12">
        <v>0</v>
      </c>
      <c r="AA74" s="12">
        <v>0</v>
      </c>
      <c r="AB74" s="12">
        <v>0</v>
      </c>
      <c r="AC74" s="12">
        <v>0</v>
      </c>
      <c r="AD74" s="12" t="s">
        <v>904</v>
      </c>
      <c r="AE74" s="16" t="s">
        <v>873</v>
      </c>
      <c r="AF74" s="16" t="s">
        <v>879</v>
      </c>
      <c r="AG74" s="16" t="s">
        <v>885</v>
      </c>
      <c r="AH74" s="13" t="s">
        <v>56</v>
      </c>
      <c r="AI74" s="14" t="s">
        <v>924</v>
      </c>
      <c r="AJ74" s="19" t="s">
        <v>57</v>
      </c>
    </row>
    <row r="75" spans="1:36" x14ac:dyDescent="0.2">
      <c r="A75" s="45" t="s">
        <v>534</v>
      </c>
      <c r="B75" s="25">
        <v>0</v>
      </c>
      <c r="C75" s="13">
        <v>0</v>
      </c>
      <c r="D75" s="15">
        <v>1</v>
      </c>
      <c r="E75" s="13">
        <v>1</v>
      </c>
      <c r="F75" s="16" t="s">
        <v>903</v>
      </c>
      <c r="G75" s="15">
        <v>58</v>
      </c>
      <c r="H75" s="16" t="s">
        <v>48</v>
      </c>
      <c r="I75" s="16" t="s">
        <v>49</v>
      </c>
      <c r="J75" s="16" t="s">
        <v>51</v>
      </c>
      <c r="K75" s="16" t="s">
        <v>50</v>
      </c>
      <c r="L75" s="16" t="s">
        <v>52</v>
      </c>
      <c r="M75" s="16" t="s">
        <v>872</v>
      </c>
      <c r="N75" s="12" t="s">
        <v>941</v>
      </c>
      <c r="O75" s="17" t="s">
        <v>873</v>
      </c>
      <c r="P75" s="16" t="s">
        <v>877</v>
      </c>
      <c r="Q75" s="16" t="s">
        <v>875</v>
      </c>
      <c r="R75" s="12" t="s">
        <v>55</v>
      </c>
      <c r="S75" s="16" t="s">
        <v>55</v>
      </c>
      <c r="T75" s="15">
        <v>0</v>
      </c>
      <c r="U75" s="13" t="s">
        <v>55</v>
      </c>
      <c r="V75" s="13">
        <v>9</v>
      </c>
      <c r="W75" s="13">
        <v>1</v>
      </c>
      <c r="X75" s="13">
        <v>0</v>
      </c>
      <c r="Y75" s="12">
        <v>0</v>
      </c>
      <c r="Z75" s="12">
        <v>0</v>
      </c>
      <c r="AA75" s="12">
        <v>0</v>
      </c>
      <c r="AB75" s="12">
        <v>0</v>
      </c>
      <c r="AC75" s="12">
        <v>1</v>
      </c>
      <c r="AD75" s="12" t="s">
        <v>904</v>
      </c>
      <c r="AE75" s="16" t="s">
        <v>873</v>
      </c>
      <c r="AF75" s="16" t="s">
        <v>879</v>
      </c>
      <c r="AG75" s="16" t="s">
        <v>885</v>
      </c>
      <c r="AH75" s="13" t="s">
        <v>56</v>
      </c>
      <c r="AI75" s="14" t="s">
        <v>924</v>
      </c>
      <c r="AJ75" s="19" t="s">
        <v>57</v>
      </c>
    </row>
    <row r="76" spans="1:36" x14ac:dyDescent="0.2">
      <c r="A76" s="45" t="s">
        <v>537</v>
      </c>
      <c r="B76" s="25">
        <v>0</v>
      </c>
      <c r="C76" s="13" t="s">
        <v>513</v>
      </c>
      <c r="D76" s="15">
        <v>1</v>
      </c>
      <c r="E76" s="13">
        <v>0</v>
      </c>
      <c r="F76" s="16" t="s">
        <v>100</v>
      </c>
      <c r="G76" s="15">
        <v>80</v>
      </c>
      <c r="H76" s="16" t="s">
        <v>71</v>
      </c>
      <c r="I76" s="16" t="s">
        <v>49</v>
      </c>
      <c r="J76" s="16" t="s">
        <v>51</v>
      </c>
      <c r="K76" s="16" t="s">
        <v>50</v>
      </c>
      <c r="L76" s="16" t="s">
        <v>50</v>
      </c>
      <c r="M76" s="16" t="s">
        <v>872</v>
      </c>
      <c r="N76" s="12" t="s">
        <v>87</v>
      </c>
      <c r="O76" s="17" t="s">
        <v>873</v>
      </c>
      <c r="P76" s="16" t="s">
        <v>877</v>
      </c>
      <c r="Q76" s="16" t="s">
        <v>875</v>
      </c>
      <c r="R76" s="12" t="s">
        <v>55</v>
      </c>
      <c r="S76" s="16" t="s">
        <v>55</v>
      </c>
      <c r="T76" s="15">
        <v>1</v>
      </c>
      <c r="U76" s="13" t="s">
        <v>55</v>
      </c>
      <c r="V76" s="13">
        <v>9</v>
      </c>
      <c r="W76" s="43">
        <v>0</v>
      </c>
      <c r="X76" s="43">
        <v>0</v>
      </c>
      <c r="Y76" s="39">
        <v>1</v>
      </c>
      <c r="Z76" s="39">
        <v>0</v>
      </c>
      <c r="AA76" s="39">
        <v>0</v>
      </c>
      <c r="AB76" s="39">
        <v>0</v>
      </c>
      <c r="AC76" s="12"/>
      <c r="AD76" s="16" t="s">
        <v>932</v>
      </c>
      <c r="AE76" s="16" t="s">
        <v>873</v>
      </c>
      <c r="AF76" s="16" t="s">
        <v>876</v>
      </c>
      <c r="AG76" s="16" t="s">
        <v>885</v>
      </c>
      <c r="AH76" s="13" t="s">
        <v>56</v>
      </c>
      <c r="AI76" s="14" t="s">
        <v>924</v>
      </c>
      <c r="AJ76" s="19" t="s">
        <v>57</v>
      </c>
    </row>
    <row r="77" spans="1:36" x14ac:dyDescent="0.2">
      <c r="A77" s="45" t="s">
        <v>538</v>
      </c>
      <c r="B77" s="25">
        <v>0</v>
      </c>
      <c r="C77" s="13">
        <v>1</v>
      </c>
      <c r="D77" s="15">
        <v>1</v>
      </c>
      <c r="E77" s="13">
        <v>1</v>
      </c>
      <c r="F77" s="16" t="s">
        <v>903</v>
      </c>
      <c r="G77" s="15">
        <v>63</v>
      </c>
      <c r="H77" s="16" t="s">
        <v>71</v>
      </c>
      <c r="I77" s="16" t="s">
        <v>49</v>
      </c>
      <c r="J77" s="16" t="s">
        <v>51</v>
      </c>
      <c r="K77" s="16" t="s">
        <v>52</v>
      </c>
      <c r="L77" s="16" t="s">
        <v>50</v>
      </c>
      <c r="M77" s="16" t="s">
        <v>872</v>
      </c>
      <c r="N77" s="12" t="s">
        <v>942</v>
      </c>
      <c r="O77" s="17" t="s">
        <v>873</v>
      </c>
      <c r="P77" s="16" t="s">
        <v>877</v>
      </c>
      <c r="Q77" s="16" t="s">
        <v>55</v>
      </c>
      <c r="R77" s="12" t="s">
        <v>55</v>
      </c>
      <c r="S77" s="16" t="s">
        <v>55</v>
      </c>
      <c r="T77" s="15">
        <v>0</v>
      </c>
      <c r="U77" s="13" t="s">
        <v>55</v>
      </c>
      <c r="V77" s="13">
        <v>9</v>
      </c>
      <c r="W77" s="13">
        <v>0</v>
      </c>
      <c r="X77" s="13">
        <v>1</v>
      </c>
      <c r="Y77" s="12">
        <v>1</v>
      </c>
      <c r="Z77" s="12">
        <v>1</v>
      </c>
      <c r="AA77" s="12">
        <v>0</v>
      </c>
      <c r="AB77" s="12">
        <v>0</v>
      </c>
      <c r="AC77" s="12">
        <v>0</v>
      </c>
      <c r="AD77" s="12" t="s">
        <v>943</v>
      </c>
      <c r="AE77" s="16" t="s">
        <v>873</v>
      </c>
      <c r="AF77" s="16" t="s">
        <v>874</v>
      </c>
      <c r="AG77" s="16" t="s">
        <v>885</v>
      </c>
      <c r="AH77" s="13" t="s">
        <v>56</v>
      </c>
      <c r="AI77" s="14">
        <v>0.9</v>
      </c>
      <c r="AJ77" s="19"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782AC-5ABB-8540-9201-90BD40C521FF}">
  <dimension ref="A1:H196"/>
  <sheetViews>
    <sheetView zoomScale="75" workbookViewId="0">
      <selection activeCell="H5" sqref="H5"/>
    </sheetView>
  </sheetViews>
  <sheetFormatPr baseColWidth="10" defaultRowHeight="16" x14ac:dyDescent="0.2"/>
  <cols>
    <col min="1" max="1" width="10.83203125" style="3"/>
    <col min="2" max="2" width="27.33203125" style="3" customWidth="1"/>
    <col min="3" max="5" width="10.83203125" style="3"/>
  </cols>
  <sheetData>
    <row r="1" spans="1:8" x14ac:dyDescent="0.2">
      <c r="A1" s="3" t="s">
        <v>0</v>
      </c>
      <c r="B1" s="3" t="s">
        <v>544</v>
      </c>
      <c r="C1" s="3" t="s">
        <v>832</v>
      </c>
      <c r="D1" s="3" t="s">
        <v>1</v>
      </c>
      <c r="E1" s="3" t="s">
        <v>833</v>
      </c>
    </row>
    <row r="2" spans="1:8" x14ac:dyDescent="0.2">
      <c r="A2" s="3" t="s">
        <v>386</v>
      </c>
      <c r="B2" s="3" t="s">
        <v>545</v>
      </c>
      <c r="C2" s="3" t="str">
        <f>SUBSTITUTE(A2, "-", "_")</f>
        <v>Pilot_217</v>
      </c>
      <c r="D2" s="3" t="str">
        <f t="shared" ref="D2:D33" si="0">_xlfn.TEXTAFTER(B2, " ")</f>
        <v>Screen</v>
      </c>
      <c r="E2" s="3" t="str">
        <f>LEFT(LEFT(B2, FIND(" ", B2)-1), 2) &amp; MID(LEFT(B2, FIND(" ", B2)-1), 5, LEN(LEFT(B2, FIND(" ", B2)-1))-4)</f>
        <v>HN01-15</v>
      </c>
    </row>
    <row r="3" spans="1:8" x14ac:dyDescent="0.2">
      <c r="A3" s="3" t="s">
        <v>466</v>
      </c>
      <c r="B3" s="3" t="s">
        <v>546</v>
      </c>
      <c r="C3" s="3" t="str">
        <f t="shared" ref="C3:C66" si="1">SUBSTITUTE(A3, "-", "_")</f>
        <v>Pilot_271</v>
      </c>
      <c r="D3" s="3" t="str">
        <f t="shared" si="0"/>
        <v>Adj Wk 1</v>
      </c>
      <c r="E3" s="3" t="str">
        <f t="shared" ref="E3:E66" si="2">LEFT(LEFT(B3, FIND(" ", B3)-1), 2) &amp; MID(LEFT(B3, FIND(" ", B3)-1), 5, LEN(LEFT(B3, FIND(" ", B3)-1))-4)</f>
        <v>HN0-02</v>
      </c>
    </row>
    <row r="4" spans="1:8" x14ac:dyDescent="0.2">
      <c r="A4" s="3" t="s">
        <v>405</v>
      </c>
      <c r="B4" s="3" t="s">
        <v>547</v>
      </c>
      <c r="C4" s="3" t="str">
        <f t="shared" si="1"/>
        <v>Pilot_230</v>
      </c>
      <c r="D4" s="3" t="str">
        <f t="shared" si="0"/>
        <v>Adj Wk 1</v>
      </c>
      <c r="E4" s="3" t="str">
        <f t="shared" si="2"/>
        <v>HN01-29</v>
      </c>
      <c r="H4" s="46" t="s">
        <v>1114</v>
      </c>
    </row>
    <row r="5" spans="1:8" x14ac:dyDescent="0.2">
      <c r="A5" s="3" t="s">
        <v>365</v>
      </c>
      <c r="B5" s="3" t="s">
        <v>548</v>
      </c>
      <c r="C5" s="3" t="str">
        <f t="shared" si="1"/>
        <v>Pilot_204</v>
      </c>
      <c r="D5" s="3" t="str">
        <f t="shared" si="0"/>
        <v>Adj Wk 1</v>
      </c>
      <c r="E5" s="3" t="str">
        <f t="shared" si="2"/>
        <v>HN01-06</v>
      </c>
    </row>
    <row r="6" spans="1:8" x14ac:dyDescent="0.2">
      <c r="A6" s="3" t="s">
        <v>389</v>
      </c>
      <c r="B6" s="3" t="s">
        <v>549</v>
      </c>
      <c r="C6" s="3" t="str">
        <f t="shared" si="1"/>
        <v>Pilot_219</v>
      </c>
      <c r="D6" s="3" t="str">
        <f t="shared" si="0"/>
        <v>Screen</v>
      </c>
      <c r="E6" s="3" t="str">
        <f t="shared" si="2"/>
        <v>HN01-17</v>
      </c>
    </row>
    <row r="7" spans="1:8" x14ac:dyDescent="0.2">
      <c r="A7" s="3" t="s">
        <v>499</v>
      </c>
      <c r="B7" s="3" t="s">
        <v>550</v>
      </c>
      <c r="C7" s="3" t="str">
        <f t="shared" si="1"/>
        <v>Pilot_294</v>
      </c>
      <c r="D7" s="3" t="str">
        <f t="shared" si="0"/>
        <v>Screen</v>
      </c>
      <c r="E7" s="3" t="str">
        <f t="shared" si="2"/>
        <v>HN01-36</v>
      </c>
    </row>
    <row r="8" spans="1:8" x14ac:dyDescent="0.2">
      <c r="A8" s="3" t="s">
        <v>366</v>
      </c>
      <c r="B8" s="3" t="s">
        <v>551</v>
      </c>
      <c r="C8" s="3" t="str">
        <f t="shared" si="1"/>
        <v>Pilot_205</v>
      </c>
      <c r="D8" s="3" t="str">
        <f t="shared" si="0"/>
        <v>Screen</v>
      </c>
      <c r="E8" s="3" t="str">
        <f t="shared" si="2"/>
        <v>HN01-10</v>
      </c>
    </row>
    <row r="9" spans="1:8" x14ac:dyDescent="0.2">
      <c r="A9" s="3" t="s">
        <v>430</v>
      </c>
      <c r="B9" s="3" t="s">
        <v>552</v>
      </c>
      <c r="C9" s="3" t="str">
        <f t="shared" si="1"/>
        <v>Pilot_247</v>
      </c>
      <c r="D9" s="3" t="str">
        <f t="shared" si="0"/>
        <v>Day 0</v>
      </c>
      <c r="E9" s="3" t="str">
        <f t="shared" si="2"/>
        <v>HN01-18</v>
      </c>
    </row>
    <row r="10" spans="1:8" x14ac:dyDescent="0.2">
      <c r="A10" s="3" t="s">
        <v>422</v>
      </c>
      <c r="B10" s="3" t="s">
        <v>553</v>
      </c>
      <c r="C10" s="3" t="str">
        <f t="shared" si="1"/>
        <v>Pilot_241</v>
      </c>
      <c r="D10" s="3" t="str">
        <f t="shared" si="0"/>
        <v>Day 0</v>
      </c>
      <c r="E10" s="3" t="str">
        <f t="shared" si="2"/>
        <v>HN01-13</v>
      </c>
    </row>
    <row r="11" spans="1:8" x14ac:dyDescent="0.2">
      <c r="A11" s="3" t="s">
        <v>477</v>
      </c>
      <c r="B11" s="3" t="s">
        <v>554</v>
      </c>
      <c r="C11" s="3" t="str">
        <f t="shared" si="1"/>
        <v>Pilot_279</v>
      </c>
      <c r="D11" s="3" t="str">
        <f t="shared" si="0"/>
        <v>Day 0</v>
      </c>
      <c r="E11" s="3" t="str">
        <f t="shared" si="2"/>
        <v>HN04-04</v>
      </c>
    </row>
    <row r="12" spans="1:8" x14ac:dyDescent="0.2">
      <c r="A12" s="3" t="s">
        <v>443</v>
      </c>
      <c r="B12" s="3" t="s">
        <v>555</v>
      </c>
      <c r="C12" s="3" t="str">
        <f t="shared" si="1"/>
        <v>Pilot_256</v>
      </c>
      <c r="D12" s="3" t="str">
        <f t="shared" si="0"/>
        <v>Day 0</v>
      </c>
      <c r="E12" s="3" t="str">
        <f t="shared" si="2"/>
        <v>HN01-23</v>
      </c>
    </row>
    <row r="13" spans="1:8" x14ac:dyDescent="0.2">
      <c r="A13" s="3" t="s">
        <v>423</v>
      </c>
      <c r="B13" s="3" t="s">
        <v>556</v>
      </c>
      <c r="C13" s="3" t="str">
        <f t="shared" si="1"/>
        <v>Pilot_242</v>
      </c>
      <c r="D13" s="3" t="str">
        <f t="shared" si="0"/>
        <v>Adj Wk 1</v>
      </c>
      <c r="E13" s="3" t="str">
        <f t="shared" si="2"/>
        <v>HN01-13</v>
      </c>
    </row>
    <row r="14" spans="1:8" x14ac:dyDescent="0.2">
      <c r="A14" s="3" t="s">
        <v>478</v>
      </c>
      <c r="B14" s="3" t="s">
        <v>557</v>
      </c>
      <c r="C14" s="3" t="str">
        <f t="shared" si="1"/>
        <v>Pilot_280</v>
      </c>
      <c r="D14" s="3" t="str">
        <f t="shared" si="0"/>
        <v>Screen</v>
      </c>
      <c r="E14" s="3" t="str">
        <f t="shared" si="2"/>
        <v>HN04-05</v>
      </c>
    </row>
    <row r="15" spans="1:8" x14ac:dyDescent="0.2">
      <c r="A15" s="3" t="s">
        <v>440</v>
      </c>
      <c r="B15" s="3" t="s">
        <v>844</v>
      </c>
      <c r="C15" s="3" t="str">
        <f t="shared" si="1"/>
        <v>Pilot_254</v>
      </c>
      <c r="D15" s="3" t="str">
        <f t="shared" si="0"/>
        <v>Adj Wk 1</v>
      </c>
      <c r="E15" s="3" t="str">
        <f t="shared" si="2"/>
        <v>HN01-22</v>
      </c>
    </row>
    <row r="16" spans="1:8" x14ac:dyDescent="0.2">
      <c r="A16" s="3" t="s">
        <v>371</v>
      </c>
      <c r="B16" s="3" t="s">
        <v>558</v>
      </c>
      <c r="C16" s="3" t="str">
        <f t="shared" si="1"/>
        <v>Pilot_208</v>
      </c>
      <c r="D16" s="3" t="str">
        <f t="shared" si="0"/>
        <v>Screen</v>
      </c>
      <c r="E16" s="3" t="str">
        <f t="shared" si="2"/>
        <v>HN01-11</v>
      </c>
    </row>
    <row r="17" spans="1:5" x14ac:dyDescent="0.2">
      <c r="A17" s="3" t="s">
        <v>397</v>
      </c>
      <c r="B17" s="3" t="s">
        <v>559</v>
      </c>
      <c r="C17" s="3" t="str">
        <f t="shared" si="1"/>
        <v>Pilot_224</v>
      </c>
      <c r="D17" s="3" t="str">
        <f t="shared" si="0"/>
        <v>Adj Wk 1</v>
      </c>
      <c r="E17" s="3" t="str">
        <f t="shared" si="2"/>
        <v>HN01-19</v>
      </c>
    </row>
    <row r="18" spans="1:5" x14ac:dyDescent="0.2">
      <c r="A18" s="3" t="s">
        <v>436</v>
      </c>
      <c r="B18" s="3" t="s">
        <v>560</v>
      </c>
      <c r="C18" s="3" t="str">
        <f t="shared" si="1"/>
        <v>Pilot_252</v>
      </c>
      <c r="D18" s="3" t="str">
        <f t="shared" si="0"/>
        <v>Screen</v>
      </c>
      <c r="E18" s="3" t="str">
        <f t="shared" si="2"/>
        <v>HN01-22</v>
      </c>
    </row>
    <row r="19" spans="1:5" x14ac:dyDescent="0.2">
      <c r="A19" s="3" t="s">
        <v>498</v>
      </c>
      <c r="B19" s="3" t="s">
        <v>561</v>
      </c>
      <c r="C19" s="3" t="str">
        <f t="shared" si="1"/>
        <v>Pilot_293</v>
      </c>
      <c r="D19" s="3" t="str">
        <f t="shared" si="0"/>
        <v>Day 0</v>
      </c>
      <c r="E19" s="3" t="str">
        <f t="shared" si="2"/>
        <v>HN01-31</v>
      </c>
    </row>
    <row r="20" spans="1:5" x14ac:dyDescent="0.2">
      <c r="A20" s="3" t="s">
        <v>452</v>
      </c>
      <c r="B20" s="3" t="s">
        <v>562</v>
      </c>
      <c r="C20" s="3" t="str">
        <f t="shared" si="1"/>
        <v>Pilot_262</v>
      </c>
      <c r="D20" s="3" t="str">
        <f t="shared" si="0"/>
        <v>Adj Wk 1</v>
      </c>
      <c r="E20" s="3" t="str">
        <f t="shared" si="2"/>
        <v>HN01-28</v>
      </c>
    </row>
    <row r="21" spans="1:5" x14ac:dyDescent="0.2">
      <c r="A21" s="3" t="s">
        <v>375</v>
      </c>
      <c r="B21" s="3" t="s">
        <v>563</v>
      </c>
      <c r="C21" s="3" t="str">
        <f t="shared" si="1"/>
        <v>Pilot_211</v>
      </c>
      <c r="D21" s="3" t="str">
        <f t="shared" si="0"/>
        <v>Screen</v>
      </c>
      <c r="E21" s="3" t="str">
        <f t="shared" si="2"/>
        <v>HN01-12</v>
      </c>
    </row>
    <row r="22" spans="1:5" x14ac:dyDescent="0.2">
      <c r="A22" s="3" t="s">
        <v>424</v>
      </c>
      <c r="B22" s="3" t="s">
        <v>564</v>
      </c>
      <c r="C22" s="3" t="str">
        <f t="shared" si="1"/>
        <v>Pilot_243</v>
      </c>
      <c r="D22" s="3" t="str">
        <f t="shared" si="0"/>
        <v>Screen</v>
      </c>
      <c r="E22" s="3" t="str">
        <f t="shared" si="2"/>
        <v>HN01-16</v>
      </c>
    </row>
    <row r="23" spans="1:5" x14ac:dyDescent="0.2">
      <c r="A23" s="3" t="s">
        <v>352</v>
      </c>
      <c r="B23" s="3" t="s">
        <v>565</v>
      </c>
      <c r="C23" s="3" t="str">
        <f t="shared" si="1"/>
        <v>Pilot_196</v>
      </c>
      <c r="D23" s="3" t="str">
        <f t="shared" si="0"/>
        <v>Screen</v>
      </c>
      <c r="E23" s="3" t="str">
        <f t="shared" si="2"/>
        <v>HN01-02</v>
      </c>
    </row>
    <row r="24" spans="1:5" x14ac:dyDescent="0.2">
      <c r="A24" s="3" t="s">
        <v>360</v>
      </c>
      <c r="B24" s="3" t="s">
        <v>566</v>
      </c>
      <c r="C24" s="3" t="str">
        <f t="shared" si="1"/>
        <v>Pilot_200</v>
      </c>
      <c r="D24" s="3" t="str">
        <f t="shared" si="0"/>
        <v>Day 0</v>
      </c>
      <c r="E24" s="3" t="str">
        <f t="shared" si="2"/>
        <v>HN01-04</v>
      </c>
    </row>
    <row r="25" spans="1:5" x14ac:dyDescent="0.2">
      <c r="A25" s="3" t="s">
        <v>378</v>
      </c>
      <c r="B25" s="3" t="s">
        <v>567</v>
      </c>
      <c r="C25" s="3" t="str">
        <f t="shared" si="1"/>
        <v>Pilot_212</v>
      </c>
      <c r="D25" s="3" t="str">
        <f t="shared" si="0"/>
        <v>Day 0</v>
      </c>
      <c r="E25" s="3" t="str">
        <f t="shared" si="2"/>
        <v>HN01-12</v>
      </c>
    </row>
    <row r="26" spans="1:5" x14ac:dyDescent="0.2">
      <c r="A26" s="3" t="s">
        <v>370</v>
      </c>
      <c r="B26" s="3" t="s">
        <v>568</v>
      </c>
      <c r="C26" s="3" t="str">
        <f t="shared" si="1"/>
        <v>Pilot_207</v>
      </c>
      <c r="D26" s="3" t="str">
        <f t="shared" si="0"/>
        <v>Adj Wk 1</v>
      </c>
      <c r="E26" s="3" t="str">
        <f t="shared" si="2"/>
        <v>HN01-10</v>
      </c>
    </row>
    <row r="27" spans="1:5" x14ac:dyDescent="0.2">
      <c r="A27" s="3" t="s">
        <v>461</v>
      </c>
      <c r="B27" s="3" t="s">
        <v>569</v>
      </c>
      <c r="C27" s="3" t="str">
        <f t="shared" si="1"/>
        <v>Pilot_267</v>
      </c>
      <c r="D27" s="3" t="str">
        <f t="shared" si="0"/>
        <v>Day 0</v>
      </c>
      <c r="E27" s="3" t="str">
        <f t="shared" si="2"/>
        <v>HN01-42</v>
      </c>
    </row>
    <row r="28" spans="1:5" x14ac:dyDescent="0.2">
      <c r="A28" s="3" t="s">
        <v>392</v>
      </c>
      <c r="B28" s="3" t="s">
        <v>570</v>
      </c>
      <c r="C28" s="3" t="str">
        <f t="shared" si="1"/>
        <v>Pilot_220</v>
      </c>
      <c r="D28" s="3" t="str">
        <f t="shared" si="0"/>
        <v>Day 0</v>
      </c>
      <c r="E28" s="3" t="str">
        <f t="shared" si="2"/>
        <v>HN01-17</v>
      </c>
    </row>
    <row r="29" spans="1:5" x14ac:dyDescent="0.2">
      <c r="A29" s="3" t="s">
        <v>480</v>
      </c>
      <c r="B29" s="3" t="s">
        <v>571</v>
      </c>
      <c r="C29" s="3" t="str">
        <f t="shared" si="1"/>
        <v>Pilot_281</v>
      </c>
      <c r="D29" s="3" t="str">
        <f t="shared" si="0"/>
        <v>Day 0</v>
      </c>
      <c r="E29" s="3" t="str">
        <f t="shared" si="2"/>
        <v>HN04-05</v>
      </c>
    </row>
    <row r="30" spans="1:5" x14ac:dyDescent="0.2">
      <c r="A30" s="3" t="s">
        <v>463</v>
      </c>
      <c r="B30" s="3" t="s">
        <v>572</v>
      </c>
      <c r="C30" s="3" t="str">
        <f t="shared" si="1"/>
        <v>Pilot_269</v>
      </c>
      <c r="D30" s="3" t="str">
        <f t="shared" si="0"/>
        <v>Screen</v>
      </c>
      <c r="E30" s="3" t="str">
        <f t="shared" si="2"/>
        <v>HN02-02</v>
      </c>
    </row>
    <row r="31" spans="1:5" x14ac:dyDescent="0.2">
      <c r="A31" s="3" t="s">
        <v>445</v>
      </c>
      <c r="B31" s="3" t="s">
        <v>573</v>
      </c>
      <c r="C31" s="3" t="str">
        <f t="shared" si="1"/>
        <v>Pilot_258</v>
      </c>
      <c r="D31" s="3" t="str">
        <f t="shared" si="0"/>
        <v>Screen</v>
      </c>
      <c r="E31" s="3" t="str">
        <f t="shared" si="2"/>
        <v>HN01-26</v>
      </c>
    </row>
    <row r="32" spans="1:5" x14ac:dyDescent="0.2">
      <c r="A32" s="3" t="s">
        <v>485</v>
      </c>
      <c r="B32" s="3" t="s">
        <v>574</v>
      </c>
      <c r="C32" s="3" t="str">
        <f t="shared" si="1"/>
        <v>Pilot_285</v>
      </c>
      <c r="D32" s="3" t="str">
        <f t="shared" si="0"/>
        <v>Adj Wk 1</v>
      </c>
      <c r="E32" s="3" t="str">
        <f t="shared" si="2"/>
        <v>HN04-07</v>
      </c>
    </row>
    <row r="33" spans="1:5" x14ac:dyDescent="0.2">
      <c r="A33" s="3" t="s">
        <v>406</v>
      </c>
      <c r="B33" s="3" t="s">
        <v>575</v>
      </c>
      <c r="C33" s="3" t="str">
        <f t="shared" si="1"/>
        <v>Pilot_231</v>
      </c>
      <c r="D33" s="3" t="str">
        <f t="shared" si="0"/>
        <v>Screen</v>
      </c>
      <c r="E33" s="3" t="str">
        <f t="shared" si="2"/>
        <v>HN02-03</v>
      </c>
    </row>
    <row r="34" spans="1:5" x14ac:dyDescent="0.2">
      <c r="A34" s="3" t="s">
        <v>491</v>
      </c>
      <c r="B34" s="3" t="s">
        <v>576</v>
      </c>
      <c r="C34" s="3" t="str">
        <f t="shared" si="1"/>
        <v>Pilot_289</v>
      </c>
      <c r="D34" s="3" t="str">
        <f t="shared" ref="D34:D65" si="3">_xlfn.TEXTAFTER(B34, " ")</f>
        <v>Screen</v>
      </c>
      <c r="E34" s="3" t="str">
        <f t="shared" si="2"/>
        <v>HN05-02</v>
      </c>
    </row>
    <row r="35" spans="1:5" x14ac:dyDescent="0.2">
      <c r="A35" s="3" t="s">
        <v>473</v>
      </c>
      <c r="B35" s="3" t="s">
        <v>577</v>
      </c>
      <c r="C35" s="3" t="str">
        <f t="shared" si="1"/>
        <v>Pilot_276</v>
      </c>
      <c r="D35" s="3" t="str">
        <f t="shared" si="3"/>
        <v>Day 0</v>
      </c>
      <c r="E35" s="3" t="str">
        <f t="shared" si="2"/>
        <v>HN04-02</v>
      </c>
    </row>
    <row r="36" spans="1:5" x14ac:dyDescent="0.2">
      <c r="A36" s="3" t="s">
        <v>432</v>
      </c>
      <c r="B36" s="3" t="s">
        <v>578</v>
      </c>
      <c r="C36" s="3" t="str">
        <f t="shared" si="1"/>
        <v>Pilot_249</v>
      </c>
      <c r="D36" s="3" t="str">
        <f t="shared" si="3"/>
        <v>Screen</v>
      </c>
      <c r="E36" s="3" t="str">
        <f t="shared" si="2"/>
        <v>HN01-21</v>
      </c>
    </row>
    <row r="37" spans="1:5" x14ac:dyDescent="0.2">
      <c r="A37" s="3" t="s">
        <v>435</v>
      </c>
      <c r="B37" s="3" t="s">
        <v>579</v>
      </c>
      <c r="C37" s="3" t="str">
        <f t="shared" si="1"/>
        <v>Pilot_251</v>
      </c>
      <c r="D37" s="3" t="str">
        <f t="shared" si="3"/>
        <v>Adj Wk 1</v>
      </c>
      <c r="E37" s="3" t="str">
        <f t="shared" si="2"/>
        <v>HN01-21</v>
      </c>
    </row>
    <row r="38" spans="1:5" x14ac:dyDescent="0.2">
      <c r="A38" s="3" t="s">
        <v>451</v>
      </c>
      <c r="B38" s="3" t="s">
        <v>580</v>
      </c>
      <c r="C38" s="3" t="str">
        <f t="shared" si="1"/>
        <v>Pilot_261</v>
      </c>
      <c r="D38" s="3" t="str">
        <f t="shared" si="3"/>
        <v>Day 0</v>
      </c>
      <c r="E38" s="3" t="str">
        <f t="shared" si="2"/>
        <v>HN01-28</v>
      </c>
    </row>
    <row r="39" spans="1:5" x14ac:dyDescent="0.2">
      <c r="A39" s="3" t="s">
        <v>490</v>
      </c>
      <c r="B39" s="3" t="s">
        <v>581</v>
      </c>
      <c r="C39" s="3" t="str">
        <f t="shared" si="1"/>
        <v>Pilot_288</v>
      </c>
      <c r="D39" s="3" t="str">
        <f t="shared" si="3"/>
        <v>Adj Wk 1</v>
      </c>
      <c r="E39" s="3" t="str">
        <f t="shared" si="2"/>
        <v>HN05-01</v>
      </c>
    </row>
    <row r="40" spans="1:5" x14ac:dyDescent="0.2">
      <c r="A40" s="3" t="s">
        <v>496</v>
      </c>
      <c r="B40" s="3" t="s">
        <v>582</v>
      </c>
      <c r="C40" s="3" t="str">
        <f t="shared" si="1"/>
        <v>Pilot_292</v>
      </c>
      <c r="D40" s="3" t="str">
        <f t="shared" si="3"/>
        <v>Screen</v>
      </c>
      <c r="E40" s="3" t="str">
        <f t="shared" si="2"/>
        <v>HN01-31</v>
      </c>
    </row>
    <row r="41" spans="1:5" x14ac:dyDescent="0.2">
      <c r="A41" s="3" t="s">
        <v>502</v>
      </c>
      <c r="B41" s="3" t="s">
        <v>583</v>
      </c>
      <c r="C41" s="3" t="str">
        <f t="shared" si="1"/>
        <v>Pilot_296</v>
      </c>
      <c r="D41" s="3" t="str">
        <f t="shared" si="3"/>
        <v>Adj Wk 1</v>
      </c>
      <c r="E41" s="3" t="str">
        <f t="shared" si="2"/>
        <v>HN01-36</v>
      </c>
    </row>
    <row r="42" spans="1:5" x14ac:dyDescent="0.2">
      <c r="A42" s="3" t="s">
        <v>388</v>
      </c>
      <c r="B42" s="3" t="s">
        <v>584</v>
      </c>
      <c r="C42" s="3" t="str">
        <f t="shared" si="1"/>
        <v>Pilot_218</v>
      </c>
      <c r="D42" s="3" t="str">
        <f t="shared" si="3"/>
        <v>Day 0</v>
      </c>
      <c r="E42" s="3" t="str">
        <f t="shared" si="2"/>
        <v>HN01-15</v>
      </c>
    </row>
    <row r="43" spans="1:5" x14ac:dyDescent="0.2">
      <c r="A43" s="3" t="s">
        <v>427</v>
      </c>
      <c r="B43" s="3" t="s">
        <v>585</v>
      </c>
      <c r="C43" s="3" t="str">
        <f t="shared" si="1"/>
        <v>Pilot_245</v>
      </c>
      <c r="D43" s="3" t="str">
        <f t="shared" si="3"/>
        <v>Adj Wk 1</v>
      </c>
      <c r="E43" s="3" t="str">
        <f t="shared" si="2"/>
        <v>HN01-16</v>
      </c>
    </row>
    <row r="44" spans="1:5" x14ac:dyDescent="0.2">
      <c r="A44" s="3" t="s">
        <v>431</v>
      </c>
      <c r="B44" s="3" t="s">
        <v>586</v>
      </c>
      <c r="C44" s="3" t="str">
        <f t="shared" si="1"/>
        <v>Pilot_248</v>
      </c>
      <c r="D44" s="3" t="str">
        <f t="shared" si="3"/>
        <v>Adj Wk 1</v>
      </c>
      <c r="E44" s="3" t="str">
        <f t="shared" si="2"/>
        <v>HN01-18</v>
      </c>
    </row>
    <row r="45" spans="1:5" x14ac:dyDescent="0.2">
      <c r="A45" s="3" t="s">
        <v>402</v>
      </c>
      <c r="B45" s="3" t="s">
        <v>587</v>
      </c>
      <c r="C45" s="3" t="str">
        <f t="shared" si="1"/>
        <v>Pilot_228</v>
      </c>
      <c r="D45" s="3" t="str">
        <f t="shared" si="3"/>
        <v>Screen</v>
      </c>
      <c r="E45" s="3" t="str">
        <f t="shared" si="2"/>
        <v>HN01-29</v>
      </c>
    </row>
    <row r="46" spans="1:5" x14ac:dyDescent="0.2">
      <c r="A46" s="3" t="s">
        <v>426</v>
      </c>
      <c r="B46" s="3" t="s">
        <v>588</v>
      </c>
      <c r="C46" s="3" t="str">
        <f t="shared" si="1"/>
        <v>Pilot_244</v>
      </c>
      <c r="D46" s="3" t="str">
        <f t="shared" si="3"/>
        <v>Day 0</v>
      </c>
      <c r="E46" s="3" t="str">
        <f t="shared" si="2"/>
        <v>HN01-16</v>
      </c>
    </row>
    <row r="47" spans="1:5" x14ac:dyDescent="0.2">
      <c r="A47" s="3" t="s">
        <v>411</v>
      </c>
      <c r="B47" s="3" t="s">
        <v>589</v>
      </c>
      <c r="C47" s="3" t="str">
        <f t="shared" si="1"/>
        <v>Pilot_234</v>
      </c>
      <c r="D47" s="3" t="str">
        <f t="shared" si="3"/>
        <v>Screen</v>
      </c>
      <c r="E47" s="3" t="str">
        <f t="shared" si="2"/>
        <v>HN01-01</v>
      </c>
    </row>
    <row r="48" spans="1:5" x14ac:dyDescent="0.2">
      <c r="A48" s="3" t="s">
        <v>396</v>
      </c>
      <c r="B48" s="3" t="s">
        <v>590</v>
      </c>
      <c r="C48" s="3" t="str">
        <f t="shared" si="1"/>
        <v>Pilot_223</v>
      </c>
      <c r="D48" s="3" t="str">
        <f t="shared" si="3"/>
        <v>Day 0</v>
      </c>
      <c r="E48" s="3" t="str">
        <f t="shared" si="2"/>
        <v>HN01-19</v>
      </c>
    </row>
    <row r="49" spans="1:5" x14ac:dyDescent="0.2">
      <c r="A49" s="3" t="s">
        <v>384</v>
      </c>
      <c r="B49" s="3" t="s">
        <v>591</v>
      </c>
      <c r="C49" s="3" t="str">
        <f t="shared" si="1"/>
        <v>Pilot_215</v>
      </c>
      <c r="D49" s="3" t="str">
        <f t="shared" si="3"/>
        <v>Day 0</v>
      </c>
      <c r="E49" s="3" t="str">
        <f t="shared" si="2"/>
        <v>HN01-14</v>
      </c>
    </row>
    <row r="50" spans="1:5" x14ac:dyDescent="0.2">
      <c r="A50" s="3" t="s">
        <v>415</v>
      </c>
      <c r="B50" s="3" t="s">
        <v>592</v>
      </c>
      <c r="C50" s="3" t="str">
        <f t="shared" si="1"/>
        <v>Pilot_236</v>
      </c>
      <c r="D50" s="3" t="str">
        <f t="shared" si="3"/>
        <v>Adj Wk 1</v>
      </c>
      <c r="E50" s="3" t="str">
        <f t="shared" si="2"/>
        <v>HN01-01</v>
      </c>
    </row>
    <row r="51" spans="1:5" x14ac:dyDescent="0.2">
      <c r="A51" s="3" t="s">
        <v>416</v>
      </c>
      <c r="B51" s="3" t="s">
        <v>593</v>
      </c>
      <c r="C51" s="3" t="str">
        <f t="shared" si="1"/>
        <v>Pilot_237</v>
      </c>
      <c r="D51" s="3" t="str">
        <f t="shared" si="3"/>
        <v>Screen</v>
      </c>
      <c r="E51" s="3" t="str">
        <f t="shared" si="2"/>
        <v>HN01-07</v>
      </c>
    </row>
    <row r="52" spans="1:5" x14ac:dyDescent="0.2">
      <c r="A52" s="3" t="s">
        <v>441</v>
      </c>
      <c r="B52" s="3" t="s">
        <v>594</v>
      </c>
      <c r="C52" s="3" t="str">
        <f t="shared" si="1"/>
        <v>Pilot_255</v>
      </c>
      <c r="D52" s="3" t="str">
        <f t="shared" si="3"/>
        <v>Screen</v>
      </c>
      <c r="E52" s="3" t="str">
        <f t="shared" si="2"/>
        <v>HN01-23</v>
      </c>
    </row>
    <row r="53" spans="1:5" x14ac:dyDescent="0.2">
      <c r="A53" s="3" t="s">
        <v>469</v>
      </c>
      <c r="B53" s="3" t="s">
        <v>595</v>
      </c>
      <c r="C53" s="3" t="str">
        <f t="shared" si="1"/>
        <v>Pilot_273</v>
      </c>
      <c r="D53" s="3" t="str">
        <f t="shared" si="3"/>
        <v>Day 0</v>
      </c>
      <c r="E53" s="3" t="str">
        <f t="shared" si="2"/>
        <v>HN02-05</v>
      </c>
    </row>
    <row r="54" spans="1:5" x14ac:dyDescent="0.2">
      <c r="A54" s="3" t="s">
        <v>481</v>
      </c>
      <c r="B54" s="3" t="s">
        <v>596</v>
      </c>
      <c r="C54" s="3" t="str">
        <f t="shared" si="1"/>
        <v>Pilot_282</v>
      </c>
      <c r="D54" s="3" t="str">
        <f t="shared" si="3"/>
        <v>Adj Wk 1</v>
      </c>
      <c r="E54" s="3" t="str">
        <f t="shared" si="2"/>
        <v>HN04-05</v>
      </c>
    </row>
    <row r="55" spans="1:5" x14ac:dyDescent="0.2">
      <c r="A55" s="3" t="s">
        <v>494</v>
      </c>
      <c r="B55" s="3" t="s">
        <v>597</v>
      </c>
      <c r="C55" s="3" t="str">
        <f t="shared" si="1"/>
        <v>Pilot_290</v>
      </c>
      <c r="D55" s="3" t="str">
        <f t="shared" si="3"/>
        <v>Day 0</v>
      </c>
      <c r="E55" s="3" t="str">
        <f t="shared" si="2"/>
        <v>HN05-02</v>
      </c>
    </row>
    <row r="56" spans="1:5" x14ac:dyDescent="0.2">
      <c r="A56" s="3" t="s">
        <v>394</v>
      </c>
      <c r="B56" s="3" t="s">
        <v>598</v>
      </c>
      <c r="C56" s="3" t="str">
        <f t="shared" si="1"/>
        <v>Pilot_222</v>
      </c>
      <c r="D56" s="3" t="str">
        <f t="shared" si="3"/>
        <v>Screen</v>
      </c>
      <c r="E56" s="3" t="str">
        <f t="shared" si="2"/>
        <v>HN01-19</v>
      </c>
    </row>
    <row r="57" spans="1:5" x14ac:dyDescent="0.2">
      <c r="A57" s="3" t="s">
        <v>414</v>
      </c>
      <c r="B57" s="3" t="s">
        <v>599</v>
      </c>
      <c r="C57" s="3" t="str">
        <f t="shared" si="1"/>
        <v>Pilot_235</v>
      </c>
      <c r="D57" s="3" t="str">
        <f t="shared" si="3"/>
        <v>Day 0</v>
      </c>
      <c r="E57" s="3" t="str">
        <f t="shared" si="2"/>
        <v>HN01-01</v>
      </c>
    </row>
    <row r="58" spans="1:5" x14ac:dyDescent="0.2">
      <c r="A58" s="3" t="s">
        <v>374</v>
      </c>
      <c r="B58" s="3" t="s">
        <v>600</v>
      </c>
      <c r="C58" s="3" t="str">
        <f t="shared" si="1"/>
        <v>Pilot_210</v>
      </c>
      <c r="D58" s="3" t="str">
        <f t="shared" si="3"/>
        <v>Adj Wk 1</v>
      </c>
      <c r="E58" s="3" t="str">
        <f t="shared" si="2"/>
        <v>HN01-11</v>
      </c>
    </row>
    <row r="59" spans="1:5" x14ac:dyDescent="0.2">
      <c r="A59" s="3" t="s">
        <v>385</v>
      </c>
      <c r="B59" s="3" t="s">
        <v>601</v>
      </c>
      <c r="C59" s="3" t="str">
        <f t="shared" si="1"/>
        <v>Pilot_216</v>
      </c>
      <c r="D59" s="3" t="str">
        <f t="shared" si="3"/>
        <v>Adj Wk 1</v>
      </c>
      <c r="E59" s="3" t="str">
        <f t="shared" si="2"/>
        <v>HN01-14</v>
      </c>
    </row>
    <row r="60" spans="1:5" x14ac:dyDescent="0.2">
      <c r="A60" s="3" t="s">
        <v>505</v>
      </c>
      <c r="B60" s="3" t="s">
        <v>602</v>
      </c>
      <c r="C60" s="3" t="str">
        <f t="shared" si="1"/>
        <v>Pilot_298</v>
      </c>
      <c r="D60" s="3" t="str">
        <f t="shared" si="3"/>
        <v>Day 0</v>
      </c>
      <c r="E60" s="3" t="str">
        <f t="shared" si="2"/>
        <v>HN01-39</v>
      </c>
    </row>
    <row r="61" spans="1:5" x14ac:dyDescent="0.2">
      <c r="A61" s="3" t="s">
        <v>439</v>
      </c>
      <c r="B61" s="3" t="s">
        <v>603</v>
      </c>
      <c r="C61" s="3" t="str">
        <f t="shared" si="1"/>
        <v>Pilot_253</v>
      </c>
      <c r="D61" s="3" t="str">
        <f t="shared" si="3"/>
        <v>Day 0</v>
      </c>
      <c r="E61" s="3" t="str">
        <f t="shared" si="2"/>
        <v>HN01-22</v>
      </c>
    </row>
    <row r="62" spans="1:5" x14ac:dyDescent="0.2">
      <c r="A62" s="3" t="s">
        <v>448</v>
      </c>
      <c r="B62" s="3" t="s">
        <v>604</v>
      </c>
      <c r="C62" s="3" t="str">
        <f t="shared" si="1"/>
        <v>Pilot_259</v>
      </c>
      <c r="D62" s="3" t="str">
        <f t="shared" si="3"/>
        <v>Day 0</v>
      </c>
      <c r="E62" s="3" t="str">
        <f t="shared" si="2"/>
        <v>HN01-26</v>
      </c>
    </row>
    <row r="63" spans="1:5" x14ac:dyDescent="0.2">
      <c r="A63" s="3" t="s">
        <v>495</v>
      </c>
      <c r="B63" s="3" t="s">
        <v>605</v>
      </c>
      <c r="C63" s="3" t="str">
        <f t="shared" si="1"/>
        <v>Pilot_291</v>
      </c>
      <c r="D63" s="3" t="str">
        <f t="shared" si="3"/>
        <v>Adj Wk 1</v>
      </c>
      <c r="E63" s="3" t="str">
        <f t="shared" si="2"/>
        <v>HN05-02</v>
      </c>
    </row>
    <row r="64" spans="1:5" x14ac:dyDescent="0.2">
      <c r="A64" s="3" t="s">
        <v>482</v>
      </c>
      <c r="B64" s="3" t="s">
        <v>606</v>
      </c>
      <c r="C64" s="3" t="str">
        <f t="shared" si="1"/>
        <v>Pilot_283</v>
      </c>
      <c r="D64" s="3" t="str">
        <f t="shared" si="3"/>
        <v>Screen</v>
      </c>
      <c r="E64" s="3" t="str">
        <f t="shared" si="2"/>
        <v>HN04-07</v>
      </c>
    </row>
    <row r="65" spans="1:5" x14ac:dyDescent="0.2">
      <c r="A65" s="3" t="s">
        <v>489</v>
      </c>
      <c r="B65" s="3" t="s">
        <v>607</v>
      </c>
      <c r="C65" s="3" t="str">
        <f t="shared" si="1"/>
        <v>Pilot_287</v>
      </c>
      <c r="D65" s="3" t="str">
        <f t="shared" si="3"/>
        <v>Day 0</v>
      </c>
      <c r="E65" s="3" t="str">
        <f t="shared" si="2"/>
        <v>HN05-01</v>
      </c>
    </row>
    <row r="66" spans="1:5" x14ac:dyDescent="0.2">
      <c r="A66" s="3" t="s">
        <v>401</v>
      </c>
      <c r="B66" s="3" t="s">
        <v>608</v>
      </c>
      <c r="C66" s="3" t="str">
        <f t="shared" si="1"/>
        <v>Pilot_227</v>
      </c>
      <c r="D66" s="3" t="str">
        <f t="shared" ref="D66:D97" si="4">_xlfn.TEXTAFTER(B66, " ")</f>
        <v>Adj Wk 1</v>
      </c>
      <c r="E66" s="3" t="str">
        <f t="shared" si="2"/>
        <v>HN01-24</v>
      </c>
    </row>
    <row r="67" spans="1:5" x14ac:dyDescent="0.2">
      <c r="A67" s="3" t="s">
        <v>428</v>
      </c>
      <c r="B67" s="3" t="s">
        <v>609</v>
      </c>
      <c r="C67" s="3" t="str">
        <f t="shared" ref="C67:C130" si="5">SUBSTITUTE(A67, "-", "_")</f>
        <v>Pilot_246</v>
      </c>
      <c r="D67" s="3" t="str">
        <f t="shared" si="4"/>
        <v>Screen</v>
      </c>
      <c r="E67" s="3" t="str">
        <f t="shared" ref="E67:E130" si="6">LEFT(LEFT(B67, FIND(" ", B67)-1), 2) &amp; MID(LEFT(B67, FIND(" ", B67)-1), 5, LEN(LEFT(B67, FIND(" ", B67)-1))-4)</f>
        <v>HN01-18</v>
      </c>
    </row>
    <row r="68" spans="1:5" x14ac:dyDescent="0.2">
      <c r="A68" s="3" t="s">
        <v>458</v>
      </c>
      <c r="B68" s="3" t="s">
        <v>610</v>
      </c>
      <c r="C68" s="3" t="str">
        <f t="shared" si="5"/>
        <v>Pilot_266</v>
      </c>
      <c r="D68" s="3" t="str">
        <f t="shared" si="4"/>
        <v>Screen</v>
      </c>
      <c r="E68" s="3" t="str">
        <f t="shared" si="6"/>
        <v>HN01-42</v>
      </c>
    </row>
    <row r="69" spans="1:5" x14ac:dyDescent="0.2">
      <c r="A69" s="3" t="s">
        <v>364</v>
      </c>
      <c r="B69" s="3" t="s">
        <v>611</v>
      </c>
      <c r="C69" s="3" t="str">
        <f t="shared" si="5"/>
        <v>Pilot_203</v>
      </c>
      <c r="D69" s="3" t="str">
        <f t="shared" si="4"/>
        <v>Day 0</v>
      </c>
      <c r="E69" s="3" t="str">
        <f t="shared" si="6"/>
        <v>HN01-06</v>
      </c>
    </row>
    <row r="70" spans="1:5" x14ac:dyDescent="0.2">
      <c r="A70" s="3" t="s">
        <v>456</v>
      </c>
      <c r="B70" s="3" t="s">
        <v>612</v>
      </c>
      <c r="C70" s="3" t="str">
        <f t="shared" si="5"/>
        <v>Pilot_264</v>
      </c>
      <c r="D70" s="3" t="str">
        <f t="shared" si="4"/>
        <v>Day 0</v>
      </c>
      <c r="E70" s="3" t="str">
        <f t="shared" si="6"/>
        <v>HN01-41</v>
      </c>
    </row>
    <row r="71" spans="1:5" x14ac:dyDescent="0.2">
      <c r="A71" s="3" t="s">
        <v>453</v>
      </c>
      <c r="B71" s="3" t="s">
        <v>613</v>
      </c>
      <c r="C71" s="3" t="str">
        <f t="shared" si="5"/>
        <v>Pilot_263</v>
      </c>
      <c r="D71" s="3" t="str">
        <f t="shared" si="4"/>
        <v>Screen</v>
      </c>
      <c r="E71" s="3" t="str">
        <f t="shared" si="6"/>
        <v>HN01-41</v>
      </c>
    </row>
    <row r="72" spans="1:5" x14ac:dyDescent="0.2">
      <c r="A72" s="3" t="s">
        <v>420</v>
      </c>
      <c r="B72" s="3" t="s">
        <v>614</v>
      </c>
      <c r="C72" s="3" t="str">
        <f t="shared" si="5"/>
        <v>Pilot_240</v>
      </c>
      <c r="D72" s="3" t="str">
        <f t="shared" si="4"/>
        <v>Screen</v>
      </c>
      <c r="E72" s="3" t="str">
        <f t="shared" si="6"/>
        <v>HN01-13</v>
      </c>
    </row>
    <row r="73" spans="1:5" x14ac:dyDescent="0.2">
      <c r="A73" s="3" t="s">
        <v>355</v>
      </c>
      <c r="B73" s="3" t="s">
        <v>615</v>
      </c>
      <c r="C73" s="3" t="str">
        <f t="shared" si="5"/>
        <v>Pilot_197</v>
      </c>
      <c r="D73" s="3" t="str">
        <f t="shared" si="4"/>
        <v>Day 0</v>
      </c>
      <c r="E73" s="3" t="str">
        <f t="shared" si="6"/>
        <v>HN01-02</v>
      </c>
    </row>
    <row r="74" spans="1:5" x14ac:dyDescent="0.2">
      <c r="A74" s="3" t="s">
        <v>418</v>
      </c>
      <c r="B74" s="3" t="s">
        <v>616</v>
      </c>
      <c r="C74" s="3" t="str">
        <f t="shared" si="5"/>
        <v>Pilot_238</v>
      </c>
      <c r="D74" s="3" t="str">
        <f t="shared" si="4"/>
        <v>Day 0</v>
      </c>
      <c r="E74" s="3" t="str">
        <f t="shared" si="6"/>
        <v>HN01-07</v>
      </c>
    </row>
    <row r="75" spans="1:5" x14ac:dyDescent="0.2">
      <c r="A75" s="3" t="s">
        <v>467</v>
      </c>
      <c r="B75" s="3" t="s">
        <v>617</v>
      </c>
      <c r="C75" s="3" t="str">
        <f t="shared" si="5"/>
        <v>Pilot_272</v>
      </c>
      <c r="D75" s="3" t="str">
        <f t="shared" si="4"/>
        <v>Screen</v>
      </c>
      <c r="E75" s="3" t="str">
        <f t="shared" si="6"/>
        <v>HN02-05</v>
      </c>
    </row>
    <row r="76" spans="1:5" x14ac:dyDescent="0.2">
      <c r="A76" s="3" t="s">
        <v>409</v>
      </c>
      <c r="B76" s="3" t="s">
        <v>618</v>
      </c>
      <c r="C76" s="3" t="str">
        <f t="shared" si="5"/>
        <v>Pilot_232</v>
      </c>
      <c r="D76" s="3" t="str">
        <f t="shared" si="4"/>
        <v>Day 0</v>
      </c>
      <c r="E76" s="3" t="str">
        <f t="shared" si="6"/>
        <v>HN02-03</v>
      </c>
    </row>
    <row r="77" spans="1:5" x14ac:dyDescent="0.2">
      <c r="A77" s="3" t="s">
        <v>357</v>
      </c>
      <c r="B77" s="3" t="s">
        <v>619</v>
      </c>
      <c r="C77" s="3" t="str">
        <f t="shared" si="5"/>
        <v>Pilot_199</v>
      </c>
      <c r="D77" s="3" t="str">
        <f t="shared" si="4"/>
        <v>Screen</v>
      </c>
      <c r="E77" s="3" t="str">
        <f t="shared" si="6"/>
        <v>HN01-04</v>
      </c>
    </row>
    <row r="78" spans="1:5" x14ac:dyDescent="0.2">
      <c r="A78" s="3" t="s">
        <v>398</v>
      </c>
      <c r="B78" s="3" t="s">
        <v>620</v>
      </c>
      <c r="C78" s="3" t="str">
        <f t="shared" si="5"/>
        <v>Pilot_225</v>
      </c>
      <c r="D78" s="3" t="str">
        <f t="shared" si="4"/>
        <v>Screen</v>
      </c>
      <c r="E78" s="3" t="str">
        <f t="shared" si="6"/>
        <v>HN01-24</v>
      </c>
    </row>
    <row r="79" spans="1:5" x14ac:dyDescent="0.2">
      <c r="A79" s="3" t="s">
        <v>434</v>
      </c>
      <c r="B79" s="3" t="s">
        <v>621</v>
      </c>
      <c r="C79" s="3" t="str">
        <f t="shared" si="5"/>
        <v>Pilot_250</v>
      </c>
      <c r="D79" s="3" t="str">
        <f t="shared" si="4"/>
        <v>Day 0</v>
      </c>
      <c r="E79" s="3" t="str">
        <f t="shared" si="6"/>
        <v>HN01-21</v>
      </c>
    </row>
    <row r="80" spans="1:5" x14ac:dyDescent="0.2">
      <c r="A80" s="3" t="s">
        <v>393</v>
      </c>
      <c r="B80" s="3" t="s">
        <v>622</v>
      </c>
      <c r="C80" s="3" t="str">
        <f t="shared" si="5"/>
        <v>Pilot_221</v>
      </c>
      <c r="D80" s="3" t="str">
        <f t="shared" si="4"/>
        <v>Adj Wk 1</v>
      </c>
      <c r="E80" s="3" t="str">
        <f t="shared" si="6"/>
        <v>HN01-17</v>
      </c>
    </row>
    <row r="81" spans="1:5" x14ac:dyDescent="0.2">
      <c r="A81" s="3" t="s">
        <v>404</v>
      </c>
      <c r="B81" s="3" t="s">
        <v>623</v>
      </c>
      <c r="C81" s="3" t="str">
        <f t="shared" si="5"/>
        <v>Pilot_229</v>
      </c>
      <c r="D81" s="3" t="str">
        <f t="shared" si="4"/>
        <v>Day 0</v>
      </c>
      <c r="E81" s="3" t="str">
        <f t="shared" si="6"/>
        <v>HN01-29</v>
      </c>
    </row>
    <row r="82" spans="1:5" x14ac:dyDescent="0.2">
      <c r="A82" s="3" t="s">
        <v>449</v>
      </c>
      <c r="B82" s="3" t="s">
        <v>624</v>
      </c>
      <c r="C82" s="3" t="str">
        <f t="shared" si="5"/>
        <v>Pilot_260</v>
      </c>
      <c r="D82" s="3" t="str">
        <f t="shared" si="4"/>
        <v>Screen</v>
      </c>
      <c r="E82" s="3" t="str">
        <f t="shared" si="6"/>
        <v>HN01-28</v>
      </c>
    </row>
    <row r="83" spans="1:5" x14ac:dyDescent="0.2">
      <c r="A83" s="3" t="s">
        <v>362</v>
      </c>
      <c r="B83" s="3" t="s">
        <v>625</v>
      </c>
      <c r="C83" s="3" t="str">
        <f t="shared" si="5"/>
        <v>Pilot_202</v>
      </c>
      <c r="D83" s="3" t="str">
        <f t="shared" si="4"/>
        <v>Screen</v>
      </c>
      <c r="E83" s="3" t="str">
        <f t="shared" si="6"/>
        <v>HN01-06</v>
      </c>
    </row>
    <row r="84" spans="1:5" x14ac:dyDescent="0.2">
      <c r="A84" s="3" t="s">
        <v>462</v>
      </c>
      <c r="B84" s="3" t="s">
        <v>626</v>
      </c>
      <c r="C84" s="3" t="str">
        <f t="shared" si="5"/>
        <v>Pilot_268</v>
      </c>
      <c r="D84" s="3" t="str">
        <f t="shared" si="4"/>
        <v>Adj Wk 1</v>
      </c>
      <c r="E84" s="3" t="str">
        <f t="shared" si="6"/>
        <v>HN01-42</v>
      </c>
    </row>
    <row r="85" spans="1:5" x14ac:dyDescent="0.2">
      <c r="A85" s="3" t="s">
        <v>379</v>
      </c>
      <c r="B85" s="3" t="s">
        <v>627</v>
      </c>
      <c r="C85" s="3" t="str">
        <f t="shared" si="5"/>
        <v>Pilot_213</v>
      </c>
      <c r="D85" s="3" t="str">
        <f t="shared" si="4"/>
        <v>Adj Wk 1</v>
      </c>
      <c r="E85" s="3" t="str">
        <f t="shared" si="6"/>
        <v>HN01-12</v>
      </c>
    </row>
    <row r="86" spans="1:5" x14ac:dyDescent="0.2">
      <c r="A86" s="3" t="s">
        <v>503</v>
      </c>
      <c r="B86" s="3" t="s">
        <v>628</v>
      </c>
      <c r="C86" s="3" t="str">
        <f t="shared" si="5"/>
        <v>Pilot_297</v>
      </c>
      <c r="D86" s="3" t="str">
        <f t="shared" si="4"/>
        <v>Screen</v>
      </c>
      <c r="E86" s="3" t="str">
        <f t="shared" si="6"/>
        <v>HN01-39</v>
      </c>
    </row>
    <row r="87" spans="1:5" x14ac:dyDescent="0.2">
      <c r="A87" s="3" t="s">
        <v>410</v>
      </c>
      <c r="B87" s="3" t="s">
        <v>629</v>
      </c>
      <c r="C87" s="3" t="str">
        <f t="shared" si="5"/>
        <v>Pilot_233</v>
      </c>
      <c r="D87" s="3" t="str">
        <f t="shared" si="4"/>
        <v>Adj Wk 1</v>
      </c>
      <c r="E87" s="3" t="str">
        <f t="shared" si="6"/>
        <v>HN02-03</v>
      </c>
    </row>
    <row r="88" spans="1:5" x14ac:dyDescent="0.2">
      <c r="A88" s="3" t="s">
        <v>356</v>
      </c>
      <c r="B88" s="3" t="s">
        <v>630</v>
      </c>
      <c r="C88" s="3" t="str">
        <f t="shared" si="5"/>
        <v>Pilot_198</v>
      </c>
      <c r="D88" s="3" t="str">
        <f t="shared" si="4"/>
        <v>Adj Wk 1</v>
      </c>
      <c r="E88" s="3" t="str">
        <f t="shared" si="6"/>
        <v>HN01-02</v>
      </c>
    </row>
    <row r="89" spans="1:5" x14ac:dyDescent="0.2">
      <c r="A89" s="3" t="s">
        <v>501</v>
      </c>
      <c r="B89" s="3" t="s">
        <v>631</v>
      </c>
      <c r="C89" s="3" t="str">
        <f t="shared" si="5"/>
        <v>Pilot_295</v>
      </c>
      <c r="D89" s="3" t="str">
        <f t="shared" si="4"/>
        <v>Day 0</v>
      </c>
      <c r="E89" s="3" t="str">
        <f t="shared" si="6"/>
        <v>HN01-36</v>
      </c>
    </row>
    <row r="90" spans="1:5" x14ac:dyDescent="0.2">
      <c r="A90" s="3" t="s">
        <v>444</v>
      </c>
      <c r="B90" s="3" t="s">
        <v>632</v>
      </c>
      <c r="C90" s="3" t="str">
        <f t="shared" si="5"/>
        <v>Pilot_257</v>
      </c>
      <c r="D90" s="3" t="str">
        <f t="shared" si="4"/>
        <v>Adj Wk 1</v>
      </c>
      <c r="E90" s="3" t="str">
        <f t="shared" si="6"/>
        <v>HN01-23</v>
      </c>
    </row>
    <row r="91" spans="1:5" x14ac:dyDescent="0.2">
      <c r="A91" s="3" t="s">
        <v>419</v>
      </c>
      <c r="B91" s="3" t="s">
        <v>633</v>
      </c>
      <c r="C91" s="3" t="str">
        <f t="shared" si="5"/>
        <v>Pilot_239</v>
      </c>
      <c r="D91" s="3" t="str">
        <f t="shared" si="4"/>
        <v>Adj Wk 1</v>
      </c>
      <c r="E91" s="3" t="str">
        <f t="shared" si="6"/>
        <v>HN01-07</v>
      </c>
    </row>
    <row r="92" spans="1:5" x14ac:dyDescent="0.2">
      <c r="A92" s="3" t="s">
        <v>470</v>
      </c>
      <c r="B92" s="3" t="s">
        <v>634</v>
      </c>
      <c r="C92" s="3" t="str">
        <f t="shared" si="5"/>
        <v>Pilot_274</v>
      </c>
      <c r="D92" s="3" t="str">
        <f t="shared" si="4"/>
        <v>Adj Wk 1</v>
      </c>
      <c r="E92" s="3" t="str">
        <f t="shared" si="6"/>
        <v>HN02-05</v>
      </c>
    </row>
    <row r="93" spans="1:5" x14ac:dyDescent="0.2">
      <c r="A93" s="3" t="s">
        <v>369</v>
      </c>
      <c r="B93" s="3" t="s">
        <v>635</v>
      </c>
      <c r="C93" s="3" t="str">
        <f t="shared" si="5"/>
        <v>Pilot_206</v>
      </c>
      <c r="D93" s="3" t="str">
        <f t="shared" si="4"/>
        <v>Day 0</v>
      </c>
      <c r="E93" s="3" t="str">
        <f t="shared" si="6"/>
        <v>HN01-10</v>
      </c>
    </row>
    <row r="94" spans="1:5" x14ac:dyDescent="0.2">
      <c r="A94" s="3" t="s">
        <v>465</v>
      </c>
      <c r="B94" s="3" t="s">
        <v>636</v>
      </c>
      <c r="C94" s="3" t="str">
        <f t="shared" si="5"/>
        <v>Pilot_270</v>
      </c>
      <c r="D94" s="3" t="str">
        <f t="shared" si="4"/>
        <v>Day 0</v>
      </c>
      <c r="E94" s="3" t="str">
        <f t="shared" si="6"/>
        <v>HN0-02</v>
      </c>
    </row>
    <row r="95" spans="1:5" x14ac:dyDescent="0.2">
      <c r="A95" s="3" t="s">
        <v>400</v>
      </c>
      <c r="B95" s="3" t="s">
        <v>637</v>
      </c>
      <c r="C95" s="3" t="str">
        <f t="shared" si="5"/>
        <v>Pilot_226</v>
      </c>
      <c r="D95" s="3" t="str">
        <f t="shared" si="4"/>
        <v>Day 0</v>
      </c>
      <c r="E95" s="3" t="str">
        <f t="shared" si="6"/>
        <v>HN01-24</v>
      </c>
    </row>
    <row r="96" spans="1:5" x14ac:dyDescent="0.2">
      <c r="A96" s="3" t="s">
        <v>486</v>
      </c>
      <c r="B96" s="3" t="s">
        <v>638</v>
      </c>
      <c r="C96" s="3" t="str">
        <f t="shared" si="5"/>
        <v>Pilot_286</v>
      </c>
      <c r="D96" s="3" t="str">
        <f t="shared" si="4"/>
        <v>Screen</v>
      </c>
      <c r="E96" s="3" t="str">
        <f t="shared" si="6"/>
        <v>HN05-01</v>
      </c>
    </row>
    <row r="97" spans="1:5" x14ac:dyDescent="0.2">
      <c r="A97" s="3" t="s">
        <v>457</v>
      </c>
      <c r="B97" s="3" t="s">
        <v>639</v>
      </c>
      <c r="C97" s="3" t="str">
        <f t="shared" si="5"/>
        <v>Pilot_265</v>
      </c>
      <c r="D97" s="3" t="str">
        <f t="shared" si="4"/>
        <v>Adj Wk 1</v>
      </c>
      <c r="E97" s="3" t="str">
        <f t="shared" si="6"/>
        <v>HN01-41</v>
      </c>
    </row>
    <row r="98" spans="1:5" x14ac:dyDescent="0.2">
      <c r="A98" s="3" t="s">
        <v>373</v>
      </c>
      <c r="B98" s="3" t="s">
        <v>640</v>
      </c>
      <c r="C98" s="3" t="str">
        <f t="shared" si="5"/>
        <v>Pilot_209</v>
      </c>
      <c r="D98" s="3" t="str">
        <f t="shared" ref="D98:D129" si="7">_xlfn.TEXTAFTER(B98, " ")</f>
        <v>Day 0</v>
      </c>
      <c r="E98" s="3" t="str">
        <f t="shared" si="6"/>
        <v>HN01-11</v>
      </c>
    </row>
    <row r="99" spans="1:5" x14ac:dyDescent="0.2">
      <c r="A99" s="3" t="s">
        <v>475</v>
      </c>
      <c r="B99" s="3" t="s">
        <v>641</v>
      </c>
      <c r="C99" s="3" t="str">
        <f t="shared" si="5"/>
        <v>Pilot_278</v>
      </c>
      <c r="D99" s="3" t="str">
        <f t="shared" si="7"/>
        <v>Screen</v>
      </c>
      <c r="E99" s="3" t="str">
        <f t="shared" si="6"/>
        <v>HN04-04</v>
      </c>
    </row>
    <row r="100" spans="1:5" x14ac:dyDescent="0.2">
      <c r="A100" s="3" t="s">
        <v>474</v>
      </c>
      <c r="B100" s="3" t="s">
        <v>642</v>
      </c>
      <c r="C100" s="3" t="str">
        <f t="shared" si="5"/>
        <v>Pilot_277</v>
      </c>
      <c r="D100" s="3" t="str">
        <f t="shared" si="7"/>
        <v>Adj Wk 1</v>
      </c>
      <c r="E100" s="3" t="str">
        <f t="shared" si="6"/>
        <v>HN04-02</v>
      </c>
    </row>
    <row r="101" spans="1:5" x14ac:dyDescent="0.2">
      <c r="A101" s="3" t="s">
        <v>484</v>
      </c>
      <c r="B101" s="3" t="s">
        <v>643</v>
      </c>
      <c r="C101" s="3" t="str">
        <f t="shared" si="5"/>
        <v>Pilot_284</v>
      </c>
      <c r="D101" s="3" t="str">
        <f t="shared" si="7"/>
        <v>Day 0</v>
      </c>
      <c r="E101" s="3" t="str">
        <f t="shared" si="6"/>
        <v>HN04-07</v>
      </c>
    </row>
    <row r="102" spans="1:5" x14ac:dyDescent="0.2">
      <c r="A102" s="3" t="s">
        <v>471</v>
      </c>
      <c r="B102" s="3" t="s">
        <v>644</v>
      </c>
      <c r="C102" s="3" t="str">
        <f t="shared" si="5"/>
        <v>Pilot_275</v>
      </c>
      <c r="D102" s="3" t="str">
        <f t="shared" si="7"/>
        <v>Screen</v>
      </c>
      <c r="E102" s="3" t="str">
        <f t="shared" si="6"/>
        <v>HN04-02</v>
      </c>
    </row>
    <row r="103" spans="1:5" x14ac:dyDescent="0.2">
      <c r="A103" s="3" t="s">
        <v>361</v>
      </c>
      <c r="B103" s="3" t="s">
        <v>645</v>
      </c>
      <c r="C103" s="3" t="str">
        <f t="shared" si="5"/>
        <v>Pilot_201</v>
      </c>
      <c r="D103" s="3" t="str">
        <f t="shared" si="7"/>
        <v>Adj Wk 1</v>
      </c>
      <c r="E103" s="3" t="str">
        <f t="shared" si="6"/>
        <v>HN01-04</v>
      </c>
    </row>
    <row r="104" spans="1:5" x14ac:dyDescent="0.2">
      <c r="A104" s="3" t="s">
        <v>380</v>
      </c>
      <c r="B104" s="3" t="s">
        <v>646</v>
      </c>
      <c r="C104" s="3" t="str">
        <f t="shared" si="5"/>
        <v>Pilot_214</v>
      </c>
      <c r="D104" s="3" t="str">
        <f t="shared" si="7"/>
        <v>Screen</v>
      </c>
      <c r="E104" s="3" t="str">
        <f t="shared" si="6"/>
        <v>HN01-14</v>
      </c>
    </row>
    <row r="105" spans="1:5" x14ac:dyDescent="0.2">
      <c r="A105" s="49" t="s">
        <v>648</v>
      </c>
      <c r="B105" s="49" t="s">
        <v>649</v>
      </c>
      <c r="C105" s="49" t="str">
        <f t="shared" si="5"/>
        <v>Pilot2_1</v>
      </c>
      <c r="D105" s="49" t="str">
        <f t="shared" si="7"/>
        <v>Screen</v>
      </c>
      <c r="E105" s="49" t="str">
        <f t="shared" si="6"/>
        <v>HN01-27</v>
      </c>
    </row>
    <row r="106" spans="1:5" x14ac:dyDescent="0.2">
      <c r="A106" s="49" t="s">
        <v>650</v>
      </c>
      <c r="B106" s="49" t="s">
        <v>651</v>
      </c>
      <c r="C106" s="49" t="str">
        <f t="shared" si="5"/>
        <v>Pilot2_2</v>
      </c>
      <c r="D106" s="49" t="str">
        <f t="shared" si="7"/>
        <v>Day 0</v>
      </c>
      <c r="E106" s="49" t="str">
        <f t="shared" si="6"/>
        <v>HN01-27</v>
      </c>
    </row>
    <row r="107" spans="1:5" x14ac:dyDescent="0.2">
      <c r="A107" s="3" t="s">
        <v>652</v>
      </c>
      <c r="B107" s="3" t="s">
        <v>653</v>
      </c>
      <c r="C107" s="3" t="str">
        <f t="shared" si="5"/>
        <v>Pilot2_3</v>
      </c>
      <c r="D107" s="3" t="str">
        <f t="shared" si="7"/>
        <v>Screen</v>
      </c>
      <c r="E107" s="3" t="str">
        <f t="shared" si="6"/>
        <v>HN01-37</v>
      </c>
    </row>
    <row r="108" spans="1:5" x14ac:dyDescent="0.2">
      <c r="A108" s="3" t="s">
        <v>654</v>
      </c>
      <c r="B108" s="3" t="s">
        <v>655</v>
      </c>
      <c r="C108" s="3" t="str">
        <f t="shared" si="5"/>
        <v>Pilot2_4</v>
      </c>
      <c r="D108" s="3" t="str">
        <f t="shared" si="7"/>
        <v>Day 0</v>
      </c>
      <c r="E108" s="3" t="str">
        <f t="shared" si="6"/>
        <v>HN01-37</v>
      </c>
    </row>
    <row r="109" spans="1:5" x14ac:dyDescent="0.2">
      <c r="A109" s="3" t="s">
        <v>656</v>
      </c>
      <c r="B109" s="3" t="s">
        <v>657</v>
      </c>
      <c r="C109" s="3" t="str">
        <f t="shared" si="5"/>
        <v>Pilot2_5</v>
      </c>
      <c r="D109" s="3" t="str">
        <f t="shared" si="7"/>
        <v>Adj Wk 1</v>
      </c>
      <c r="E109" s="3" t="str">
        <f t="shared" si="6"/>
        <v>HN01-37</v>
      </c>
    </row>
    <row r="110" spans="1:5" x14ac:dyDescent="0.2">
      <c r="A110" s="3" t="s">
        <v>658</v>
      </c>
      <c r="B110" s="3" t="s">
        <v>659</v>
      </c>
      <c r="C110" s="3" t="str">
        <f t="shared" si="5"/>
        <v>Pilot2_6</v>
      </c>
      <c r="D110" s="3" t="str">
        <f t="shared" si="7"/>
        <v>Screen</v>
      </c>
      <c r="E110" s="3" t="str">
        <f t="shared" si="6"/>
        <v>HN01-49</v>
      </c>
    </row>
    <row r="111" spans="1:5" x14ac:dyDescent="0.2">
      <c r="A111" s="3" t="s">
        <v>660</v>
      </c>
      <c r="B111" s="3" t="s">
        <v>661</v>
      </c>
      <c r="C111" s="3" t="str">
        <f t="shared" si="5"/>
        <v>Pilot2_7</v>
      </c>
      <c r="D111" s="3" t="str">
        <f t="shared" si="7"/>
        <v>Day 0</v>
      </c>
      <c r="E111" s="3" t="str">
        <f t="shared" si="6"/>
        <v>HN01-49</v>
      </c>
    </row>
    <row r="112" spans="1:5" x14ac:dyDescent="0.2">
      <c r="A112" s="3" t="s">
        <v>662</v>
      </c>
      <c r="B112" s="3" t="s">
        <v>663</v>
      </c>
      <c r="C112" s="3" t="str">
        <f t="shared" si="5"/>
        <v>Pilot2_8</v>
      </c>
      <c r="D112" s="3" t="str">
        <f t="shared" si="7"/>
        <v>Adj Wk 1</v>
      </c>
      <c r="E112" s="3" t="str">
        <f t="shared" si="6"/>
        <v>HN01-49</v>
      </c>
    </row>
    <row r="113" spans="1:5" x14ac:dyDescent="0.2">
      <c r="A113" s="3" t="s">
        <v>664</v>
      </c>
      <c r="B113" s="3" t="s">
        <v>665</v>
      </c>
      <c r="C113" s="3" t="str">
        <f t="shared" si="5"/>
        <v>Pilot2_9</v>
      </c>
      <c r="D113" s="3" t="str">
        <f t="shared" si="7"/>
        <v>Screen</v>
      </c>
      <c r="E113" s="3" t="str">
        <f t="shared" si="6"/>
        <v>HN01-50</v>
      </c>
    </row>
    <row r="114" spans="1:5" x14ac:dyDescent="0.2">
      <c r="A114" s="3" t="s">
        <v>666</v>
      </c>
      <c r="B114" s="3" t="s">
        <v>667</v>
      </c>
      <c r="C114" s="3" t="str">
        <f t="shared" si="5"/>
        <v>Pilot2_10</v>
      </c>
      <c r="D114" s="3" t="str">
        <f t="shared" si="7"/>
        <v>Day 0</v>
      </c>
      <c r="E114" s="3" t="str">
        <f t="shared" si="6"/>
        <v>HN01-50</v>
      </c>
    </row>
    <row r="115" spans="1:5" x14ac:dyDescent="0.2">
      <c r="A115" s="3" t="s">
        <v>668</v>
      </c>
      <c r="B115" s="3" t="s">
        <v>669</v>
      </c>
      <c r="C115" s="3" t="str">
        <f t="shared" si="5"/>
        <v>Pilot2_11</v>
      </c>
      <c r="D115" s="3" t="str">
        <f t="shared" si="7"/>
        <v>Adj Wk 1</v>
      </c>
      <c r="E115" s="3" t="str">
        <f t="shared" si="6"/>
        <v>HN01-50</v>
      </c>
    </row>
    <row r="116" spans="1:5" x14ac:dyDescent="0.2">
      <c r="A116" s="3" t="s">
        <v>670</v>
      </c>
      <c r="B116" s="3" t="s">
        <v>671</v>
      </c>
      <c r="C116" s="3" t="str">
        <f t="shared" si="5"/>
        <v>Pilot2_12</v>
      </c>
      <c r="D116" s="3" t="str">
        <f t="shared" si="7"/>
        <v>Screen</v>
      </c>
      <c r="E116" s="3" t="str">
        <f t="shared" si="6"/>
        <v>HN01-51</v>
      </c>
    </row>
    <row r="117" spans="1:5" x14ac:dyDescent="0.2">
      <c r="A117" s="3" t="s">
        <v>672</v>
      </c>
      <c r="B117" s="3" t="s">
        <v>673</v>
      </c>
      <c r="C117" s="3" t="str">
        <f t="shared" si="5"/>
        <v>Pilot2_13</v>
      </c>
      <c r="D117" s="3" t="str">
        <f t="shared" si="7"/>
        <v>Day 0</v>
      </c>
      <c r="E117" s="3" t="str">
        <f t="shared" si="6"/>
        <v>HN01-51</v>
      </c>
    </row>
    <row r="118" spans="1:5" x14ac:dyDescent="0.2">
      <c r="A118" s="3" t="s">
        <v>674</v>
      </c>
      <c r="B118" s="3" t="s">
        <v>675</v>
      </c>
      <c r="C118" s="3" t="str">
        <f t="shared" si="5"/>
        <v>Pilot2_14</v>
      </c>
      <c r="D118" s="3" t="str">
        <f t="shared" si="7"/>
        <v>Screen</v>
      </c>
      <c r="E118" s="3" t="str">
        <f t="shared" si="6"/>
        <v>HN02-01</v>
      </c>
    </row>
    <row r="119" spans="1:5" x14ac:dyDescent="0.2">
      <c r="A119" s="3" t="s">
        <v>676</v>
      </c>
      <c r="B119" s="3" t="s">
        <v>677</v>
      </c>
      <c r="C119" s="3" t="str">
        <f t="shared" si="5"/>
        <v>Pilot2_15</v>
      </c>
      <c r="D119" s="3" t="str">
        <f t="shared" si="7"/>
        <v>Day 0</v>
      </c>
      <c r="E119" s="3" t="str">
        <f t="shared" si="6"/>
        <v>HN02-01</v>
      </c>
    </row>
    <row r="120" spans="1:5" x14ac:dyDescent="0.2">
      <c r="A120" s="3" t="s">
        <v>678</v>
      </c>
      <c r="B120" s="3" t="s">
        <v>679</v>
      </c>
      <c r="C120" s="3" t="str">
        <f t="shared" si="5"/>
        <v>Pilot2_16</v>
      </c>
      <c r="D120" s="3" t="str">
        <f t="shared" si="7"/>
        <v>Screen</v>
      </c>
      <c r="E120" s="3" t="str">
        <f t="shared" si="6"/>
        <v>HN02-06</v>
      </c>
    </row>
    <row r="121" spans="1:5" x14ac:dyDescent="0.2">
      <c r="A121" s="3" t="s">
        <v>680</v>
      </c>
      <c r="B121" s="3" t="s">
        <v>681</v>
      </c>
      <c r="C121" s="3" t="str">
        <f t="shared" si="5"/>
        <v>Pilot2_17</v>
      </c>
      <c r="D121" s="3" t="str">
        <f t="shared" si="7"/>
        <v>Day 0</v>
      </c>
      <c r="E121" s="3" t="str">
        <f t="shared" si="6"/>
        <v>HN02-06</v>
      </c>
    </row>
    <row r="122" spans="1:5" x14ac:dyDescent="0.2">
      <c r="A122" s="3" t="s">
        <v>682</v>
      </c>
      <c r="B122" s="3" t="s">
        <v>683</v>
      </c>
      <c r="C122" s="3" t="str">
        <f t="shared" si="5"/>
        <v>Pilot2_18</v>
      </c>
      <c r="D122" s="3" t="str">
        <f t="shared" si="7"/>
        <v>Adj Wk 1</v>
      </c>
      <c r="E122" s="3" t="str">
        <f t="shared" si="6"/>
        <v>HN02-06</v>
      </c>
    </row>
    <row r="123" spans="1:5" x14ac:dyDescent="0.2">
      <c r="A123" s="3" t="s">
        <v>684</v>
      </c>
      <c r="B123" s="3" t="s">
        <v>685</v>
      </c>
      <c r="C123" s="3" t="str">
        <f t="shared" si="5"/>
        <v>Pilot2_19</v>
      </c>
      <c r="D123" s="3" t="str">
        <f t="shared" si="7"/>
        <v>Screen</v>
      </c>
      <c r="E123" s="3" t="str">
        <f t="shared" si="6"/>
        <v>HN02-07</v>
      </c>
    </row>
    <row r="124" spans="1:5" x14ac:dyDescent="0.2">
      <c r="A124" s="3" t="s">
        <v>686</v>
      </c>
      <c r="B124" s="3" t="s">
        <v>687</v>
      </c>
      <c r="C124" s="3" t="str">
        <f t="shared" si="5"/>
        <v>Pilot2_20</v>
      </c>
      <c r="D124" s="3" t="str">
        <f t="shared" si="7"/>
        <v>Day 0</v>
      </c>
      <c r="E124" s="3" t="str">
        <f t="shared" si="6"/>
        <v>HN02-07</v>
      </c>
    </row>
    <row r="125" spans="1:5" x14ac:dyDescent="0.2">
      <c r="A125" s="3" t="s">
        <v>688</v>
      </c>
      <c r="B125" s="3" t="s">
        <v>689</v>
      </c>
      <c r="C125" s="3" t="str">
        <f t="shared" si="5"/>
        <v>Pilot2_21</v>
      </c>
      <c r="D125" s="3" t="str">
        <f t="shared" si="7"/>
        <v>Adj Wk 1</v>
      </c>
      <c r="E125" s="3" t="str">
        <f t="shared" si="6"/>
        <v>HN02-07</v>
      </c>
    </row>
    <row r="126" spans="1:5" x14ac:dyDescent="0.2">
      <c r="A126" s="3" t="s">
        <v>690</v>
      </c>
      <c r="B126" s="3" t="s">
        <v>691</v>
      </c>
      <c r="C126" s="3" t="str">
        <f t="shared" si="5"/>
        <v>Pilot2_22</v>
      </c>
      <c r="D126" s="3" t="str">
        <f t="shared" si="7"/>
        <v>Screen</v>
      </c>
      <c r="E126" s="3" t="str">
        <f t="shared" si="6"/>
        <v>HN03-01</v>
      </c>
    </row>
    <row r="127" spans="1:5" x14ac:dyDescent="0.2">
      <c r="A127" s="3" t="s">
        <v>692</v>
      </c>
      <c r="B127" s="3" t="s">
        <v>693</v>
      </c>
      <c r="C127" s="3" t="str">
        <f t="shared" si="5"/>
        <v>Pilot2_23</v>
      </c>
      <c r="D127" s="3" t="str">
        <f t="shared" si="7"/>
        <v>Day 0</v>
      </c>
      <c r="E127" s="3" t="str">
        <f t="shared" si="6"/>
        <v>HN03-01</v>
      </c>
    </row>
    <row r="128" spans="1:5" x14ac:dyDescent="0.2">
      <c r="A128" s="3" t="s">
        <v>694</v>
      </c>
      <c r="B128" s="3" t="s">
        <v>695</v>
      </c>
      <c r="C128" s="3" t="str">
        <f t="shared" si="5"/>
        <v>Pilot2_24</v>
      </c>
      <c r="D128" s="3" t="str">
        <f t="shared" si="7"/>
        <v>Adj Wk 1</v>
      </c>
      <c r="E128" s="3" t="str">
        <f t="shared" si="6"/>
        <v>HN03-01</v>
      </c>
    </row>
    <row r="129" spans="1:5" x14ac:dyDescent="0.2">
      <c r="A129" s="3" t="s">
        <v>696</v>
      </c>
      <c r="B129" s="3" t="s">
        <v>697</v>
      </c>
      <c r="C129" s="3" t="str">
        <f t="shared" si="5"/>
        <v>Pilot2_25</v>
      </c>
      <c r="D129" s="3" t="str">
        <f t="shared" si="7"/>
        <v>Screen</v>
      </c>
      <c r="E129" s="3" t="str">
        <f t="shared" si="6"/>
        <v>HN03-03</v>
      </c>
    </row>
    <row r="130" spans="1:5" x14ac:dyDescent="0.2">
      <c r="A130" s="3" t="s">
        <v>698</v>
      </c>
      <c r="B130" s="3" t="s">
        <v>699</v>
      </c>
      <c r="C130" s="3" t="str">
        <f t="shared" si="5"/>
        <v>Pilot2_26</v>
      </c>
      <c r="D130" s="3" t="str">
        <f t="shared" ref="D130:D161" si="8">_xlfn.TEXTAFTER(B130, " ")</f>
        <v>Day 0</v>
      </c>
      <c r="E130" s="3" t="str">
        <f t="shared" si="6"/>
        <v>HN03-03</v>
      </c>
    </row>
    <row r="131" spans="1:5" x14ac:dyDescent="0.2">
      <c r="A131" s="3" t="s">
        <v>700</v>
      </c>
      <c r="B131" s="3" t="s">
        <v>701</v>
      </c>
      <c r="C131" s="3" t="str">
        <f t="shared" ref="C131:C162" si="9">SUBSTITUTE(A131, "-", "_")</f>
        <v>Pilot2_27</v>
      </c>
      <c r="D131" s="3" t="str">
        <f t="shared" si="8"/>
        <v>Adj Wk 1</v>
      </c>
      <c r="E131" s="3" t="str">
        <f t="shared" ref="E131:E194" si="10">LEFT(LEFT(B131, FIND(" ", B131)-1), 2) &amp; MID(LEFT(B131, FIND(" ", B131)-1), 5, LEN(LEFT(B131, FIND(" ", B131)-1))-4)</f>
        <v>HN03-03</v>
      </c>
    </row>
    <row r="132" spans="1:5" x14ac:dyDescent="0.2">
      <c r="A132" s="3" t="s">
        <v>702</v>
      </c>
      <c r="B132" s="3" t="s">
        <v>703</v>
      </c>
      <c r="C132" s="3" t="str">
        <f t="shared" si="9"/>
        <v>Pilot2_28</v>
      </c>
      <c r="D132" s="3" t="str">
        <f t="shared" si="8"/>
        <v>Screen</v>
      </c>
      <c r="E132" s="3" t="str">
        <f t="shared" si="10"/>
        <v>HN03-04</v>
      </c>
    </row>
    <row r="133" spans="1:5" x14ac:dyDescent="0.2">
      <c r="A133" s="3" t="s">
        <v>704</v>
      </c>
      <c r="B133" s="3" t="s">
        <v>705</v>
      </c>
      <c r="C133" s="3" t="str">
        <f t="shared" si="9"/>
        <v>Pilot2_29</v>
      </c>
      <c r="D133" s="3" t="str">
        <f t="shared" si="8"/>
        <v>Adj Wk 1</v>
      </c>
      <c r="E133" s="3" t="str">
        <f t="shared" si="10"/>
        <v>HN03-04</v>
      </c>
    </row>
    <row r="134" spans="1:5" x14ac:dyDescent="0.2">
      <c r="A134" s="3" t="s">
        <v>706</v>
      </c>
      <c r="B134" s="3" t="s">
        <v>707</v>
      </c>
      <c r="C134" s="3" t="str">
        <f t="shared" si="9"/>
        <v>Pilot2_30</v>
      </c>
      <c r="D134" s="3" t="str">
        <f t="shared" si="8"/>
        <v>Screen</v>
      </c>
      <c r="E134" s="3" t="str">
        <f t="shared" si="10"/>
        <v>HN04-01</v>
      </c>
    </row>
    <row r="135" spans="1:5" x14ac:dyDescent="0.2">
      <c r="A135" s="3" t="s">
        <v>708</v>
      </c>
      <c r="B135" s="3" t="s">
        <v>709</v>
      </c>
      <c r="C135" s="3" t="str">
        <f t="shared" si="9"/>
        <v>Pilot2_31</v>
      </c>
      <c r="D135" s="3" t="str">
        <f t="shared" si="8"/>
        <v>Adj Wk 1</v>
      </c>
      <c r="E135" s="3" t="str">
        <f t="shared" si="10"/>
        <v>HN04-01</v>
      </c>
    </row>
    <row r="136" spans="1:5" x14ac:dyDescent="0.2">
      <c r="A136" s="49" t="s">
        <v>710</v>
      </c>
      <c r="B136" s="49" t="s">
        <v>711</v>
      </c>
      <c r="C136" s="49" t="str">
        <f t="shared" si="9"/>
        <v>Pilot2_32</v>
      </c>
      <c r="D136" s="49" t="str">
        <f t="shared" si="8"/>
        <v>Screen</v>
      </c>
      <c r="E136" s="49" t="str">
        <f t="shared" si="10"/>
        <v>HN04-06</v>
      </c>
    </row>
    <row r="137" spans="1:5" x14ac:dyDescent="0.2">
      <c r="A137" s="49" t="s">
        <v>712</v>
      </c>
      <c r="B137" s="49" t="s">
        <v>713</v>
      </c>
      <c r="C137" s="49" t="str">
        <f t="shared" si="9"/>
        <v>Pilot2_33</v>
      </c>
      <c r="D137" s="49" t="str">
        <f t="shared" si="8"/>
        <v>Day 0</v>
      </c>
      <c r="E137" s="49" t="str">
        <f t="shared" si="10"/>
        <v>HN04-06</v>
      </c>
    </row>
    <row r="138" spans="1:5" x14ac:dyDescent="0.2">
      <c r="A138" s="3" t="s">
        <v>714</v>
      </c>
      <c r="B138" s="3" t="s">
        <v>715</v>
      </c>
      <c r="C138" s="3" t="str">
        <f t="shared" si="9"/>
        <v>Pilot2_34</v>
      </c>
      <c r="D138" s="3" t="str">
        <f t="shared" si="8"/>
        <v>Screen</v>
      </c>
      <c r="E138" s="3" t="str">
        <f t="shared" si="10"/>
        <v>HN04-08</v>
      </c>
    </row>
    <row r="139" spans="1:5" x14ac:dyDescent="0.2">
      <c r="A139" s="3" t="s">
        <v>716</v>
      </c>
      <c r="B139" s="3" t="s">
        <v>717</v>
      </c>
      <c r="C139" s="3" t="str">
        <f t="shared" si="9"/>
        <v>Pilot2_35</v>
      </c>
      <c r="D139" s="3" t="str">
        <f t="shared" si="8"/>
        <v>Adj Wk 1</v>
      </c>
      <c r="E139" s="3" t="str">
        <f t="shared" si="10"/>
        <v>HN04-08</v>
      </c>
    </row>
    <row r="140" spans="1:5" x14ac:dyDescent="0.2">
      <c r="A140" s="3" t="s">
        <v>718</v>
      </c>
      <c r="B140" s="3" t="s">
        <v>719</v>
      </c>
      <c r="C140" s="3" t="str">
        <f t="shared" si="9"/>
        <v>Pilot2_36</v>
      </c>
      <c r="D140" s="3" t="str">
        <f t="shared" si="8"/>
        <v>Screen</v>
      </c>
      <c r="E140" s="3" t="str">
        <f t="shared" si="10"/>
        <v>HN04-09</v>
      </c>
    </row>
    <row r="141" spans="1:5" x14ac:dyDescent="0.2">
      <c r="A141" s="3" t="s">
        <v>720</v>
      </c>
      <c r="B141" s="3" t="s">
        <v>721</v>
      </c>
      <c r="C141" s="3" t="str">
        <f t="shared" si="9"/>
        <v>Pilot2_37</v>
      </c>
      <c r="D141" s="3" t="str">
        <f t="shared" si="8"/>
        <v>Day 0</v>
      </c>
      <c r="E141" s="3" t="str">
        <f t="shared" si="10"/>
        <v>HN04-09</v>
      </c>
    </row>
    <row r="142" spans="1:5" x14ac:dyDescent="0.2">
      <c r="A142" s="3" t="s">
        <v>722</v>
      </c>
      <c r="B142" s="3" t="s">
        <v>723</v>
      </c>
      <c r="C142" s="3" t="str">
        <f t="shared" si="9"/>
        <v>Pilot2_38</v>
      </c>
      <c r="D142" s="3" t="str">
        <f t="shared" si="8"/>
        <v>Adj Wk 1</v>
      </c>
      <c r="E142" s="3" t="str">
        <f t="shared" si="10"/>
        <v>HN04-09</v>
      </c>
    </row>
    <row r="143" spans="1:5" x14ac:dyDescent="0.2">
      <c r="A143" s="3" t="s">
        <v>724</v>
      </c>
      <c r="B143" s="3" t="s">
        <v>725</v>
      </c>
      <c r="C143" s="3" t="str">
        <f t="shared" si="9"/>
        <v>Pilot2_39</v>
      </c>
      <c r="D143" s="3" t="str">
        <f t="shared" si="8"/>
        <v>Screen</v>
      </c>
      <c r="E143" s="3" t="str">
        <f t="shared" si="10"/>
        <v>HN04-10</v>
      </c>
    </row>
    <row r="144" spans="1:5" x14ac:dyDescent="0.2">
      <c r="A144" s="3" t="s">
        <v>726</v>
      </c>
      <c r="B144" s="3" t="s">
        <v>727</v>
      </c>
      <c r="C144" s="3" t="str">
        <f t="shared" si="9"/>
        <v>Pilot2_40</v>
      </c>
      <c r="D144" s="3" t="str">
        <f t="shared" si="8"/>
        <v>Day 0</v>
      </c>
      <c r="E144" s="3" t="str">
        <f t="shared" si="10"/>
        <v>HN04-10</v>
      </c>
    </row>
    <row r="145" spans="1:5" x14ac:dyDescent="0.2">
      <c r="A145" s="3" t="s">
        <v>728</v>
      </c>
      <c r="B145" s="3" t="s">
        <v>729</v>
      </c>
      <c r="C145" s="3" t="str">
        <f t="shared" si="9"/>
        <v>Pilot2_41</v>
      </c>
      <c r="D145" s="3" t="str">
        <f t="shared" si="8"/>
        <v>Adj Wk 1</v>
      </c>
      <c r="E145" s="3" t="str">
        <f t="shared" si="10"/>
        <v>HN04-10</v>
      </c>
    </row>
    <row r="146" spans="1:5" x14ac:dyDescent="0.2">
      <c r="A146" s="3" t="s">
        <v>730</v>
      </c>
      <c r="B146" s="3" t="s">
        <v>731</v>
      </c>
      <c r="C146" s="3" t="str">
        <f t="shared" si="9"/>
        <v>Pilot2_42</v>
      </c>
      <c r="D146" s="3" t="str">
        <f t="shared" si="8"/>
        <v>Screen</v>
      </c>
      <c r="E146" s="3" t="str">
        <f t="shared" si="10"/>
        <v>HN04-11</v>
      </c>
    </row>
    <row r="147" spans="1:5" x14ac:dyDescent="0.2">
      <c r="A147" s="3" t="s">
        <v>732</v>
      </c>
      <c r="B147" s="3" t="s">
        <v>733</v>
      </c>
      <c r="C147" s="3" t="str">
        <f t="shared" si="9"/>
        <v>Pilot2_43</v>
      </c>
      <c r="D147" s="3" t="str">
        <f t="shared" si="8"/>
        <v>Day 0</v>
      </c>
      <c r="E147" s="3" t="str">
        <f t="shared" si="10"/>
        <v>HN04-11</v>
      </c>
    </row>
    <row r="148" spans="1:5" x14ac:dyDescent="0.2">
      <c r="A148" s="3" t="s">
        <v>734</v>
      </c>
      <c r="B148" s="3" t="s">
        <v>735</v>
      </c>
      <c r="C148" s="3" t="str">
        <f t="shared" si="9"/>
        <v>Pilot2_44</v>
      </c>
      <c r="D148" s="3" t="str">
        <f t="shared" si="8"/>
        <v>Adj Wk 1</v>
      </c>
      <c r="E148" s="3" t="str">
        <f t="shared" si="10"/>
        <v>HN04-11</v>
      </c>
    </row>
    <row r="149" spans="1:5" x14ac:dyDescent="0.2">
      <c r="A149" s="3" t="s">
        <v>736</v>
      </c>
      <c r="B149" s="3" t="s">
        <v>737</v>
      </c>
      <c r="C149" s="3" t="str">
        <f t="shared" si="9"/>
        <v>Pilot2_45</v>
      </c>
      <c r="D149" s="3" t="str">
        <f t="shared" si="8"/>
        <v>Screen</v>
      </c>
      <c r="E149" s="3" t="str">
        <f t="shared" si="10"/>
        <v>HN04-14</v>
      </c>
    </row>
    <row r="150" spans="1:5" x14ac:dyDescent="0.2">
      <c r="A150" s="3" t="s">
        <v>738</v>
      </c>
      <c r="B150" s="3" t="s">
        <v>739</v>
      </c>
      <c r="C150" s="3" t="str">
        <f t="shared" si="9"/>
        <v>Pilot2_46</v>
      </c>
      <c r="D150" s="3" t="str">
        <f t="shared" si="8"/>
        <v>Adj Wk 1</v>
      </c>
      <c r="E150" s="3" t="str">
        <f t="shared" si="10"/>
        <v>HN04-14</v>
      </c>
    </row>
    <row r="151" spans="1:5" x14ac:dyDescent="0.2">
      <c r="A151" s="3" t="s">
        <v>740</v>
      </c>
      <c r="B151" s="3" t="s">
        <v>741</v>
      </c>
      <c r="C151" s="3" t="str">
        <f t="shared" si="9"/>
        <v>Pilot2_47</v>
      </c>
      <c r="D151" s="3" t="str">
        <f t="shared" si="8"/>
        <v>Screen</v>
      </c>
      <c r="E151" s="3" t="str">
        <f t="shared" si="10"/>
        <v>HN04-16</v>
      </c>
    </row>
    <row r="152" spans="1:5" x14ac:dyDescent="0.2">
      <c r="A152" s="3" t="s">
        <v>742</v>
      </c>
      <c r="B152" s="3" t="s">
        <v>743</v>
      </c>
      <c r="C152" s="3" t="str">
        <f t="shared" si="9"/>
        <v>Pilot2_48</v>
      </c>
      <c r="D152" s="3" t="str">
        <f t="shared" si="8"/>
        <v>Day 0</v>
      </c>
      <c r="E152" s="3" t="str">
        <f t="shared" si="10"/>
        <v>HN04-16</v>
      </c>
    </row>
    <row r="153" spans="1:5" x14ac:dyDescent="0.2">
      <c r="A153" s="3" t="s">
        <v>744</v>
      </c>
      <c r="B153" s="3" t="s">
        <v>745</v>
      </c>
      <c r="C153" s="3" t="str">
        <f t="shared" si="9"/>
        <v>Pilot2_49</v>
      </c>
      <c r="D153" s="3" t="str">
        <f t="shared" si="8"/>
        <v>Screen</v>
      </c>
      <c r="E153" s="3" t="str">
        <f t="shared" si="10"/>
        <v>HN05-03</v>
      </c>
    </row>
    <row r="154" spans="1:5" x14ac:dyDescent="0.2">
      <c r="A154" s="3" t="s">
        <v>746</v>
      </c>
      <c r="B154" s="3" t="s">
        <v>747</v>
      </c>
      <c r="C154" s="3" t="str">
        <f t="shared" si="9"/>
        <v>Pilot2_50</v>
      </c>
      <c r="D154" s="3" t="str">
        <f t="shared" si="8"/>
        <v>Day 0</v>
      </c>
      <c r="E154" s="3" t="str">
        <f t="shared" si="10"/>
        <v>HN05-03</v>
      </c>
    </row>
    <row r="155" spans="1:5" x14ac:dyDescent="0.2">
      <c r="A155" s="3" t="s">
        <v>748</v>
      </c>
      <c r="B155" s="3" t="s">
        <v>749</v>
      </c>
      <c r="C155" s="3" t="str">
        <f t="shared" si="9"/>
        <v>Pilot2_51</v>
      </c>
      <c r="D155" s="3" t="str">
        <f t="shared" si="8"/>
        <v>Screen</v>
      </c>
      <c r="E155" s="3" t="str">
        <f t="shared" si="10"/>
        <v>HN05-05</v>
      </c>
    </row>
    <row r="156" spans="1:5" x14ac:dyDescent="0.2">
      <c r="A156" s="3" t="s">
        <v>750</v>
      </c>
      <c r="B156" s="3" t="s">
        <v>751</v>
      </c>
      <c r="C156" s="3" t="str">
        <f t="shared" si="9"/>
        <v>Pilot2_52</v>
      </c>
      <c r="D156" s="3" t="str">
        <f t="shared" si="8"/>
        <v>Day 0</v>
      </c>
      <c r="E156" s="3" t="str">
        <f t="shared" si="10"/>
        <v>HN05-05</v>
      </c>
    </row>
    <row r="157" spans="1:5" x14ac:dyDescent="0.2">
      <c r="A157" s="3" t="s">
        <v>752</v>
      </c>
      <c r="B157" s="3" t="s">
        <v>753</v>
      </c>
      <c r="C157" s="3" t="str">
        <f t="shared" si="9"/>
        <v>Pilot2_53</v>
      </c>
      <c r="D157" s="3" t="str">
        <f t="shared" si="8"/>
        <v>Adj Wk 1</v>
      </c>
      <c r="E157" s="3" t="str">
        <f t="shared" si="10"/>
        <v>HN05-05</v>
      </c>
    </row>
    <row r="158" spans="1:5" x14ac:dyDescent="0.2">
      <c r="A158" s="3" t="s">
        <v>754</v>
      </c>
      <c r="B158" s="3" t="s">
        <v>755</v>
      </c>
      <c r="C158" s="3" t="str">
        <f t="shared" si="9"/>
        <v>Pilot2_54</v>
      </c>
      <c r="D158" s="3" t="str">
        <f t="shared" si="8"/>
        <v>Screen</v>
      </c>
      <c r="E158" s="3" t="str">
        <f t="shared" si="10"/>
        <v>HN05-06</v>
      </c>
    </row>
    <row r="159" spans="1:5" x14ac:dyDescent="0.2">
      <c r="A159" s="3" t="s">
        <v>756</v>
      </c>
      <c r="B159" s="3" t="s">
        <v>757</v>
      </c>
      <c r="C159" s="3" t="str">
        <f t="shared" si="9"/>
        <v>Pilot2_55</v>
      </c>
      <c r="D159" s="3" t="str">
        <f t="shared" si="8"/>
        <v>Day 0</v>
      </c>
      <c r="E159" s="3" t="str">
        <f t="shared" si="10"/>
        <v>HN05-06</v>
      </c>
    </row>
    <row r="160" spans="1:5" x14ac:dyDescent="0.2">
      <c r="A160" s="3" t="s">
        <v>758</v>
      </c>
      <c r="B160" s="3" t="s">
        <v>759</v>
      </c>
      <c r="C160" s="3" t="str">
        <f t="shared" si="9"/>
        <v>Pilot2_56</v>
      </c>
      <c r="D160" s="3" t="str">
        <f t="shared" si="8"/>
        <v>Adj Wk 1</v>
      </c>
      <c r="E160" s="3" t="str">
        <f t="shared" si="10"/>
        <v>HN05-06</v>
      </c>
    </row>
    <row r="161" spans="1:5" x14ac:dyDescent="0.2">
      <c r="A161" s="3" t="s">
        <v>760</v>
      </c>
      <c r="B161" s="3" t="s">
        <v>761</v>
      </c>
      <c r="C161" s="3" t="str">
        <f t="shared" si="9"/>
        <v>Pilot2_57</v>
      </c>
      <c r="D161" s="3" t="str">
        <f t="shared" si="8"/>
        <v>Screen</v>
      </c>
      <c r="E161" s="3" t="str">
        <f t="shared" si="10"/>
        <v>HN05-09</v>
      </c>
    </row>
    <row r="162" spans="1:5" x14ac:dyDescent="0.2">
      <c r="A162" s="3" t="s">
        <v>762</v>
      </c>
      <c r="B162" s="3" t="s">
        <v>763</v>
      </c>
      <c r="C162" s="3" t="str">
        <f t="shared" si="9"/>
        <v>Pilot2_58</v>
      </c>
      <c r="D162" s="3" t="str">
        <f t="shared" ref="D162:D196" si="11">_xlfn.TEXTAFTER(B162, " ")</f>
        <v>Day 0</v>
      </c>
      <c r="E162" s="3" t="str">
        <f t="shared" si="10"/>
        <v>HN05-09</v>
      </c>
    </row>
    <row r="163" spans="1:5" x14ac:dyDescent="0.2">
      <c r="A163" s="3" t="s">
        <v>764</v>
      </c>
      <c r="B163" s="3" t="s">
        <v>765</v>
      </c>
      <c r="C163" s="3" t="str">
        <f t="shared" ref="C163:C194" si="12">SUBSTITUTE(A163, "-", "_")</f>
        <v>Pilot2_59</v>
      </c>
      <c r="D163" s="3" t="str">
        <f t="shared" si="11"/>
        <v>Adj Wk 1</v>
      </c>
      <c r="E163" s="3" t="str">
        <f t="shared" si="10"/>
        <v>HN05-09</v>
      </c>
    </row>
    <row r="164" spans="1:5" x14ac:dyDescent="0.2">
      <c r="A164" s="3" t="s">
        <v>766</v>
      </c>
      <c r="B164" s="3" t="s">
        <v>767</v>
      </c>
      <c r="C164" s="3" t="str">
        <f t="shared" si="12"/>
        <v>Pilot2_60</v>
      </c>
      <c r="D164" s="3" t="str">
        <f t="shared" si="11"/>
        <v>Screen</v>
      </c>
      <c r="E164" s="3" t="str">
        <f t="shared" si="10"/>
        <v>HN05-11</v>
      </c>
    </row>
    <row r="165" spans="1:5" x14ac:dyDescent="0.2">
      <c r="A165" s="3" t="s">
        <v>768</v>
      </c>
      <c r="B165" s="3" t="s">
        <v>769</v>
      </c>
      <c r="C165" s="3" t="str">
        <f t="shared" si="12"/>
        <v>Pilot2_61</v>
      </c>
      <c r="D165" s="3" t="str">
        <f t="shared" si="11"/>
        <v>Day 0</v>
      </c>
      <c r="E165" s="3" t="str">
        <f t="shared" si="10"/>
        <v>HN05-11</v>
      </c>
    </row>
    <row r="166" spans="1:5" x14ac:dyDescent="0.2">
      <c r="A166" s="3" t="s">
        <v>770</v>
      </c>
      <c r="B166" s="3" t="s">
        <v>771</v>
      </c>
      <c r="C166" s="3" t="str">
        <f t="shared" si="12"/>
        <v>Pilot2_62</v>
      </c>
      <c r="D166" s="3" t="str">
        <f t="shared" si="11"/>
        <v>Adj Wk 1</v>
      </c>
      <c r="E166" s="3" t="str">
        <f t="shared" si="10"/>
        <v>HN05-11</v>
      </c>
    </row>
    <row r="167" spans="1:5" x14ac:dyDescent="0.2">
      <c r="A167" s="3" t="s">
        <v>772</v>
      </c>
      <c r="B167" s="3" t="s">
        <v>773</v>
      </c>
      <c r="C167" s="3" t="str">
        <f t="shared" si="12"/>
        <v>Pilot2_63</v>
      </c>
      <c r="D167" s="3" t="str">
        <f t="shared" si="11"/>
        <v>Screen</v>
      </c>
      <c r="E167" s="3" t="str">
        <f t="shared" si="10"/>
        <v>HN06-01</v>
      </c>
    </row>
    <row r="168" spans="1:5" x14ac:dyDescent="0.2">
      <c r="A168" s="3" t="s">
        <v>774</v>
      </c>
      <c r="B168" s="3" t="s">
        <v>775</v>
      </c>
      <c r="C168" s="3" t="str">
        <f t="shared" si="12"/>
        <v>Pilot2_64</v>
      </c>
      <c r="D168" s="3" t="str">
        <f t="shared" si="11"/>
        <v>Adj Wk 1</v>
      </c>
      <c r="E168" s="3" t="str">
        <f t="shared" si="10"/>
        <v>HN06-01</v>
      </c>
    </row>
    <row r="169" spans="1:5" x14ac:dyDescent="0.2">
      <c r="A169" s="3" t="s">
        <v>776</v>
      </c>
      <c r="B169" s="3" t="s">
        <v>777</v>
      </c>
      <c r="C169" s="3" t="str">
        <f t="shared" si="12"/>
        <v>Pilot2_65</v>
      </c>
      <c r="D169" s="3" t="str">
        <f t="shared" si="11"/>
        <v>Screen</v>
      </c>
      <c r="E169" s="3" t="str">
        <f t="shared" si="10"/>
        <v>HN06-02</v>
      </c>
    </row>
    <row r="170" spans="1:5" x14ac:dyDescent="0.2">
      <c r="A170" s="3" t="s">
        <v>778</v>
      </c>
      <c r="B170" s="3" t="s">
        <v>779</v>
      </c>
      <c r="C170" s="3" t="str">
        <f t="shared" si="12"/>
        <v>Pilot2_66</v>
      </c>
      <c r="D170" s="3" t="str">
        <f t="shared" si="11"/>
        <v>Day 0</v>
      </c>
      <c r="E170" s="3" t="str">
        <f t="shared" si="10"/>
        <v>HN06-02</v>
      </c>
    </row>
    <row r="171" spans="1:5" x14ac:dyDescent="0.2">
      <c r="A171" s="3" t="s">
        <v>780</v>
      </c>
      <c r="B171" s="3" t="s">
        <v>781</v>
      </c>
      <c r="C171" s="3" t="str">
        <f t="shared" si="12"/>
        <v>Pilot2_67</v>
      </c>
      <c r="D171" s="3" t="str">
        <f t="shared" si="11"/>
        <v>Adj Wk 1</v>
      </c>
      <c r="E171" s="3" t="str">
        <f t="shared" si="10"/>
        <v>HN06-02</v>
      </c>
    </row>
    <row r="172" spans="1:5" x14ac:dyDescent="0.2">
      <c r="A172" s="3" t="s">
        <v>782</v>
      </c>
      <c r="B172" s="3" t="s">
        <v>783</v>
      </c>
      <c r="C172" s="3" t="str">
        <f t="shared" si="12"/>
        <v>Pilot2_68</v>
      </c>
      <c r="D172" s="3" t="str">
        <f t="shared" si="11"/>
        <v>Screen</v>
      </c>
      <c r="E172" s="3" t="str">
        <f t="shared" si="10"/>
        <v>HN06-04</v>
      </c>
    </row>
    <row r="173" spans="1:5" x14ac:dyDescent="0.2">
      <c r="A173" s="3" t="s">
        <v>784</v>
      </c>
      <c r="B173" s="3" t="s">
        <v>785</v>
      </c>
      <c r="C173" s="3" t="str">
        <f t="shared" si="12"/>
        <v>Pilot2_69</v>
      </c>
      <c r="D173" s="3" t="str">
        <f t="shared" si="11"/>
        <v>Day 0</v>
      </c>
      <c r="E173" s="3" t="str">
        <f t="shared" si="10"/>
        <v>HN06-04</v>
      </c>
    </row>
    <row r="174" spans="1:5" x14ac:dyDescent="0.2">
      <c r="A174" s="3" t="s">
        <v>786</v>
      </c>
      <c r="B174" s="3" t="s">
        <v>787</v>
      </c>
      <c r="C174" s="3" t="str">
        <f t="shared" si="12"/>
        <v>Pilot2_70</v>
      </c>
      <c r="D174" s="3" t="str">
        <f t="shared" si="11"/>
        <v>Adj Wk 1</v>
      </c>
      <c r="E174" s="3" t="str">
        <f t="shared" si="10"/>
        <v>HN06-04</v>
      </c>
    </row>
    <row r="175" spans="1:5" x14ac:dyDescent="0.2">
      <c r="A175" s="3" t="s">
        <v>788</v>
      </c>
      <c r="B175" s="3" t="s">
        <v>789</v>
      </c>
      <c r="C175" s="3" t="str">
        <f t="shared" si="12"/>
        <v>Pilot2_71</v>
      </c>
      <c r="D175" s="3" t="str">
        <f t="shared" si="11"/>
        <v>Screen</v>
      </c>
      <c r="E175" s="3" t="str">
        <f t="shared" si="10"/>
        <v>HN06-05</v>
      </c>
    </row>
    <row r="176" spans="1:5" x14ac:dyDescent="0.2">
      <c r="A176" s="3" t="s">
        <v>790</v>
      </c>
      <c r="B176" s="3" t="s">
        <v>791</v>
      </c>
      <c r="C176" s="3" t="str">
        <f t="shared" si="12"/>
        <v>Pilot2_72</v>
      </c>
      <c r="D176" s="3" t="str">
        <f t="shared" si="11"/>
        <v>Day 0</v>
      </c>
      <c r="E176" s="3" t="str">
        <f t="shared" si="10"/>
        <v>HN06-05</v>
      </c>
    </row>
    <row r="177" spans="1:5" x14ac:dyDescent="0.2">
      <c r="A177" s="49" t="s">
        <v>792</v>
      </c>
      <c r="B177" s="49" t="s">
        <v>793</v>
      </c>
      <c r="C177" s="49" t="str">
        <f t="shared" si="12"/>
        <v>Pilot2_73</v>
      </c>
      <c r="D177" s="49" t="str">
        <f t="shared" si="11"/>
        <v>Screen</v>
      </c>
      <c r="E177" s="49" t="str">
        <f t="shared" si="10"/>
        <v>HN06-06</v>
      </c>
    </row>
    <row r="178" spans="1:5" x14ac:dyDescent="0.2">
      <c r="A178" s="49" t="s">
        <v>794</v>
      </c>
      <c r="B178" s="49" t="s">
        <v>795</v>
      </c>
      <c r="C178" s="49" t="str">
        <f t="shared" si="12"/>
        <v>Pilot2_74</v>
      </c>
      <c r="D178" s="49" t="str">
        <f t="shared" si="11"/>
        <v>Day 0</v>
      </c>
      <c r="E178" s="49" t="str">
        <f t="shared" si="10"/>
        <v>HN06-06</v>
      </c>
    </row>
    <row r="179" spans="1:5" x14ac:dyDescent="0.2">
      <c r="A179" s="3" t="s">
        <v>796</v>
      </c>
      <c r="B179" s="3" t="s">
        <v>797</v>
      </c>
      <c r="C179" s="3" t="str">
        <f t="shared" si="12"/>
        <v>Pilot2_75</v>
      </c>
      <c r="D179" s="3" t="str">
        <f t="shared" si="11"/>
        <v>Screen</v>
      </c>
      <c r="E179" s="3" t="str">
        <f t="shared" si="10"/>
        <v>HN06-08</v>
      </c>
    </row>
    <row r="180" spans="1:5" x14ac:dyDescent="0.2">
      <c r="A180" s="3" t="s">
        <v>798</v>
      </c>
      <c r="B180" s="3" t="s">
        <v>799</v>
      </c>
      <c r="C180" s="3" t="str">
        <f t="shared" si="12"/>
        <v>Pilot2_76</v>
      </c>
      <c r="D180" s="3" t="str">
        <f t="shared" si="11"/>
        <v>Day 0</v>
      </c>
      <c r="E180" s="3" t="str">
        <f t="shared" si="10"/>
        <v>HN06-08</v>
      </c>
    </row>
    <row r="181" spans="1:5" x14ac:dyDescent="0.2">
      <c r="A181" s="3" t="s">
        <v>800</v>
      </c>
      <c r="B181" s="3" t="s">
        <v>801</v>
      </c>
      <c r="C181" s="3" t="str">
        <f t="shared" si="12"/>
        <v>Pilot2_77</v>
      </c>
      <c r="D181" s="3" t="str">
        <f t="shared" si="11"/>
        <v>Adj Wk 1</v>
      </c>
      <c r="E181" s="3" t="str">
        <f t="shared" si="10"/>
        <v>HN06-08</v>
      </c>
    </row>
    <row r="182" spans="1:5" x14ac:dyDescent="0.2">
      <c r="A182" s="3" t="s">
        <v>802</v>
      </c>
      <c r="B182" s="3" t="s">
        <v>803</v>
      </c>
      <c r="C182" s="3" t="str">
        <f t="shared" si="12"/>
        <v>Pilot2_78</v>
      </c>
      <c r="D182" s="3" t="str">
        <f t="shared" si="11"/>
        <v>Screen</v>
      </c>
      <c r="E182" s="3" t="str">
        <f t="shared" si="10"/>
        <v>HN06-09</v>
      </c>
    </row>
    <row r="183" spans="1:5" x14ac:dyDescent="0.2">
      <c r="A183" s="3" t="s">
        <v>804</v>
      </c>
      <c r="B183" s="3" t="s">
        <v>805</v>
      </c>
      <c r="C183" s="3" t="str">
        <f t="shared" si="12"/>
        <v>Pilot2_79</v>
      </c>
      <c r="D183" s="3" t="str">
        <f t="shared" si="11"/>
        <v>Day 0</v>
      </c>
      <c r="E183" s="3" t="str">
        <f t="shared" si="10"/>
        <v>HN06-09</v>
      </c>
    </row>
    <row r="184" spans="1:5" x14ac:dyDescent="0.2">
      <c r="A184" s="3" t="s">
        <v>806</v>
      </c>
      <c r="B184" s="3" t="s">
        <v>807</v>
      </c>
      <c r="C184" s="3" t="str">
        <f t="shared" si="12"/>
        <v>Pilot2_80</v>
      </c>
      <c r="D184" s="3" t="str">
        <f t="shared" si="11"/>
        <v>Screen</v>
      </c>
      <c r="E184" s="3" t="str">
        <f t="shared" si="10"/>
        <v>HN06-13</v>
      </c>
    </row>
    <row r="185" spans="1:5" x14ac:dyDescent="0.2">
      <c r="A185" s="3" t="s">
        <v>808</v>
      </c>
      <c r="B185" s="3" t="s">
        <v>809</v>
      </c>
      <c r="C185" s="3" t="str">
        <f t="shared" si="12"/>
        <v>Pilot2_81</v>
      </c>
      <c r="D185" s="3" t="str">
        <f t="shared" si="11"/>
        <v>Day 0</v>
      </c>
      <c r="E185" s="3" t="str">
        <f t="shared" si="10"/>
        <v>HN06-13</v>
      </c>
    </row>
    <row r="186" spans="1:5" x14ac:dyDescent="0.2">
      <c r="A186" s="3" t="s">
        <v>810</v>
      </c>
      <c r="B186" s="3" t="s">
        <v>811</v>
      </c>
      <c r="C186" s="3" t="str">
        <f t="shared" si="12"/>
        <v>Pilot2_82</v>
      </c>
      <c r="D186" s="3" t="str">
        <f t="shared" si="11"/>
        <v>Screen</v>
      </c>
      <c r="E186" s="3" t="str">
        <f t="shared" si="10"/>
        <v>HN06-14</v>
      </c>
    </row>
    <row r="187" spans="1:5" x14ac:dyDescent="0.2">
      <c r="A187" s="3" t="s">
        <v>812</v>
      </c>
      <c r="B187" s="3" t="s">
        <v>813</v>
      </c>
      <c r="C187" s="3" t="str">
        <f t="shared" si="12"/>
        <v>Pilot2_83</v>
      </c>
      <c r="D187" s="3" t="str">
        <f t="shared" si="11"/>
        <v>Day 0</v>
      </c>
      <c r="E187" s="3" t="str">
        <f t="shared" si="10"/>
        <v>HN06-14</v>
      </c>
    </row>
    <row r="188" spans="1:5" x14ac:dyDescent="0.2">
      <c r="A188" s="49" t="s">
        <v>814</v>
      </c>
      <c r="B188" s="49" t="s">
        <v>815</v>
      </c>
      <c r="C188" s="49" t="str">
        <f t="shared" si="12"/>
        <v>Pilot2_84</v>
      </c>
      <c r="D188" s="49" t="str">
        <f t="shared" si="11"/>
        <v>Screen</v>
      </c>
      <c r="E188" s="49" t="str">
        <f t="shared" si="10"/>
        <v>HN06-15</v>
      </c>
    </row>
    <row r="189" spans="1:5" x14ac:dyDescent="0.2">
      <c r="A189" s="49" t="s">
        <v>816</v>
      </c>
      <c r="B189" s="49" t="s">
        <v>817</v>
      </c>
      <c r="C189" s="49" t="str">
        <f t="shared" si="12"/>
        <v>Pilot2_85</v>
      </c>
      <c r="D189" s="49" t="str">
        <f t="shared" si="11"/>
        <v>Day 0</v>
      </c>
      <c r="E189" s="49" t="str">
        <f t="shared" si="10"/>
        <v>HN06-15</v>
      </c>
    </row>
    <row r="190" spans="1:5" x14ac:dyDescent="0.2">
      <c r="A190" s="3" t="s">
        <v>818</v>
      </c>
      <c r="B190" s="3" t="s">
        <v>819</v>
      </c>
      <c r="C190" s="3" t="str">
        <f t="shared" si="12"/>
        <v>Pilot2_86</v>
      </c>
      <c r="D190" s="3" t="str">
        <f t="shared" si="11"/>
        <v>Screen</v>
      </c>
      <c r="E190" s="3" t="str">
        <f t="shared" si="10"/>
        <v>HN06-18</v>
      </c>
    </row>
    <row r="191" spans="1:5" x14ac:dyDescent="0.2">
      <c r="A191" s="3" t="s">
        <v>820</v>
      </c>
      <c r="B191" s="3" t="s">
        <v>821</v>
      </c>
      <c r="C191" s="3" t="str">
        <f t="shared" si="12"/>
        <v>Pilot2_87</v>
      </c>
      <c r="D191" s="3" t="str">
        <f t="shared" si="11"/>
        <v>Day 0</v>
      </c>
      <c r="E191" s="3" t="str">
        <f t="shared" si="10"/>
        <v>HN06-18</v>
      </c>
    </row>
    <row r="192" spans="1:5" x14ac:dyDescent="0.2">
      <c r="A192" s="3" t="s">
        <v>822</v>
      </c>
      <c r="B192" s="3" t="s">
        <v>823</v>
      </c>
      <c r="C192" s="3" t="str">
        <f t="shared" si="12"/>
        <v>Pilot2_88</v>
      </c>
      <c r="D192" s="3" t="str">
        <f t="shared" si="11"/>
        <v>Adj Wk 1</v>
      </c>
      <c r="E192" s="3" t="str">
        <f t="shared" si="10"/>
        <v>HN06-18</v>
      </c>
    </row>
    <row r="193" spans="1:5" x14ac:dyDescent="0.2">
      <c r="A193" s="3" t="s">
        <v>824</v>
      </c>
      <c r="B193" s="3" t="s">
        <v>825</v>
      </c>
      <c r="C193" s="3" t="str">
        <f t="shared" si="12"/>
        <v>Pilot2_89</v>
      </c>
      <c r="D193" s="3" t="str">
        <f t="shared" si="11"/>
        <v>Screen</v>
      </c>
      <c r="E193" s="3" t="str">
        <f t="shared" si="10"/>
        <v>HN06-19</v>
      </c>
    </row>
    <row r="194" spans="1:5" x14ac:dyDescent="0.2">
      <c r="A194" s="3" t="s">
        <v>826</v>
      </c>
      <c r="B194" s="3" t="s">
        <v>827</v>
      </c>
      <c r="C194" s="3" t="str">
        <f t="shared" si="12"/>
        <v>Pilot2_90</v>
      </c>
      <c r="D194" s="3" t="str">
        <f t="shared" si="11"/>
        <v>Day 0</v>
      </c>
      <c r="E194" s="3" t="str">
        <f t="shared" si="10"/>
        <v>HN06-19</v>
      </c>
    </row>
    <row r="195" spans="1:5" x14ac:dyDescent="0.2">
      <c r="A195" s="49" t="s">
        <v>828</v>
      </c>
      <c r="B195" s="49" t="s">
        <v>829</v>
      </c>
      <c r="C195" s="49" t="str">
        <f t="shared" ref="C195:C196" si="13">SUBSTITUTE(A195, "-", "_")</f>
        <v>Pilot2_91</v>
      </c>
      <c r="D195" s="49" t="str">
        <f t="shared" si="11"/>
        <v>Screen</v>
      </c>
      <c r="E195" s="49" t="str">
        <f t="shared" ref="E195:E196" si="14">LEFT(LEFT(B195, FIND(" ", B195)-1), 2) &amp; MID(LEFT(B195, FIND(" ", B195)-1), 5, LEN(LEFT(B195, FIND(" ", B195)-1))-4)</f>
        <v>HN06-20</v>
      </c>
    </row>
    <row r="196" spans="1:5" x14ac:dyDescent="0.2">
      <c r="A196" s="49" t="s">
        <v>830</v>
      </c>
      <c r="B196" s="49" t="s">
        <v>831</v>
      </c>
      <c r="C196" s="49" t="str">
        <f t="shared" si="13"/>
        <v>Pilot2_92</v>
      </c>
      <c r="D196" s="49" t="str">
        <f t="shared" si="11"/>
        <v>Day 0</v>
      </c>
      <c r="E196" s="49" t="str">
        <f t="shared" si="14"/>
        <v>HN06-20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309B-2350-E941-BF76-97804536FBAA}">
  <dimension ref="A1:Q93"/>
  <sheetViews>
    <sheetView workbookViewId="0">
      <selection activeCell="K79" sqref="K79"/>
    </sheetView>
  </sheetViews>
  <sheetFormatPr baseColWidth="10" defaultRowHeight="16" x14ac:dyDescent="0.2"/>
  <sheetData>
    <row r="1" spans="1:17" x14ac:dyDescent="0.2">
      <c r="A1" t="s">
        <v>510</v>
      </c>
      <c r="B1" t="s">
        <v>6</v>
      </c>
      <c r="C1" t="s">
        <v>7</v>
      </c>
      <c r="D1" t="s">
        <v>8</v>
      </c>
      <c r="E1" t="s">
        <v>9</v>
      </c>
      <c r="F1" t="s">
        <v>10</v>
      </c>
      <c r="G1" t="s">
        <v>11</v>
      </c>
      <c r="H1" t="s">
        <v>12</v>
      </c>
      <c r="I1" t="s">
        <v>511</v>
      </c>
      <c r="J1" t="s">
        <v>512</v>
      </c>
      <c r="K1" t="s">
        <v>13</v>
      </c>
      <c r="L1" t="s">
        <v>14</v>
      </c>
      <c r="M1" t="s">
        <v>15</v>
      </c>
      <c r="N1" t="s">
        <v>539</v>
      </c>
      <c r="O1" t="s">
        <v>540</v>
      </c>
      <c r="P1" t="s">
        <v>541</v>
      </c>
      <c r="Q1" t="s">
        <v>542</v>
      </c>
    </row>
    <row r="2" spans="1:17" x14ac:dyDescent="0.2">
      <c r="A2" t="s">
        <v>412</v>
      </c>
      <c r="B2" s="1">
        <v>42374</v>
      </c>
      <c r="C2" s="1">
        <v>42396</v>
      </c>
      <c r="D2" s="1">
        <v>42409</v>
      </c>
      <c r="E2" s="1">
        <v>42422</v>
      </c>
      <c r="F2" s="1">
        <v>42465</v>
      </c>
      <c r="G2" s="1">
        <v>42503</v>
      </c>
      <c r="H2" s="1">
        <v>42458</v>
      </c>
      <c r="I2" s="1">
        <v>42543</v>
      </c>
      <c r="J2" t="s">
        <v>513</v>
      </c>
      <c r="K2" s="1">
        <v>43247</v>
      </c>
      <c r="L2" s="1">
        <v>42641</v>
      </c>
      <c r="M2" s="1">
        <v>43248</v>
      </c>
      <c r="N2">
        <v>1</v>
      </c>
      <c r="O2">
        <v>1</v>
      </c>
      <c r="P2">
        <v>1</v>
      </c>
      <c r="Q2">
        <v>0</v>
      </c>
    </row>
    <row r="3" spans="1:17" x14ac:dyDescent="0.2">
      <c r="A3" t="s">
        <v>353</v>
      </c>
      <c r="B3" s="1">
        <v>42460</v>
      </c>
      <c r="C3" s="1">
        <v>42485</v>
      </c>
      <c r="D3" s="1">
        <v>42486</v>
      </c>
      <c r="E3" s="1">
        <v>42493</v>
      </c>
      <c r="F3" s="1">
        <v>42537</v>
      </c>
      <c r="G3" s="1">
        <v>42580</v>
      </c>
      <c r="H3" s="1">
        <v>42530</v>
      </c>
      <c r="I3" s="1">
        <v>42634</v>
      </c>
      <c r="J3" t="s">
        <v>513</v>
      </c>
      <c r="K3" s="1">
        <v>44722</v>
      </c>
      <c r="L3" s="1">
        <v>43950</v>
      </c>
      <c r="N3">
        <v>1</v>
      </c>
      <c r="O3">
        <v>0</v>
      </c>
      <c r="P3">
        <v>2</v>
      </c>
      <c r="Q3">
        <v>1</v>
      </c>
    </row>
    <row r="4" spans="1:17" x14ac:dyDescent="0.2">
      <c r="A4" t="s">
        <v>358</v>
      </c>
      <c r="B4" s="1">
        <v>42579</v>
      </c>
      <c r="C4" s="1">
        <v>42586</v>
      </c>
      <c r="D4" s="1">
        <v>42598</v>
      </c>
      <c r="E4" s="1">
        <v>42608</v>
      </c>
      <c r="F4" s="1">
        <v>42660</v>
      </c>
      <c r="G4" s="1">
        <v>42717</v>
      </c>
      <c r="H4" s="1">
        <v>42654</v>
      </c>
      <c r="I4" s="1">
        <v>42759</v>
      </c>
      <c r="J4" t="s">
        <v>513</v>
      </c>
      <c r="K4" s="1">
        <v>44761</v>
      </c>
      <c r="N4">
        <v>0</v>
      </c>
      <c r="O4">
        <v>0</v>
      </c>
      <c r="P4">
        <v>1</v>
      </c>
      <c r="Q4">
        <v>1</v>
      </c>
    </row>
    <row r="5" spans="1:17" x14ac:dyDescent="0.2">
      <c r="A5" t="s">
        <v>514</v>
      </c>
      <c r="B5" s="1">
        <v>42640</v>
      </c>
      <c r="C5" s="1">
        <v>42655</v>
      </c>
      <c r="D5" s="1">
        <v>42660</v>
      </c>
      <c r="E5" s="1">
        <v>42667</v>
      </c>
      <c r="F5" t="s">
        <v>513</v>
      </c>
      <c r="G5" t="s">
        <v>513</v>
      </c>
      <c r="H5" t="s">
        <v>513</v>
      </c>
      <c r="I5" s="1">
        <v>42677</v>
      </c>
      <c r="J5" t="s">
        <v>513</v>
      </c>
      <c r="K5" s="1">
        <v>42667</v>
      </c>
      <c r="N5">
        <v>0</v>
      </c>
      <c r="O5">
        <v>0</v>
      </c>
      <c r="P5">
        <v>0</v>
      </c>
      <c r="Q5">
        <v>0</v>
      </c>
    </row>
    <row r="6" spans="1:17" x14ac:dyDescent="0.2">
      <c r="A6" t="s">
        <v>363</v>
      </c>
      <c r="B6" s="1">
        <v>42644</v>
      </c>
      <c r="C6" s="1">
        <v>42667</v>
      </c>
      <c r="D6" s="1">
        <v>42670</v>
      </c>
      <c r="E6" s="1">
        <v>42678</v>
      </c>
      <c r="F6" s="1">
        <v>42725</v>
      </c>
      <c r="G6" s="1">
        <v>42774</v>
      </c>
      <c r="H6" s="1">
        <v>42725</v>
      </c>
      <c r="I6" s="1">
        <v>42831</v>
      </c>
      <c r="J6" t="s">
        <v>513</v>
      </c>
      <c r="K6" s="1">
        <v>44684</v>
      </c>
      <c r="N6">
        <v>0</v>
      </c>
      <c r="O6">
        <v>0</v>
      </c>
      <c r="P6">
        <v>1</v>
      </c>
      <c r="Q6">
        <v>1</v>
      </c>
    </row>
    <row r="7" spans="1:17" x14ac:dyDescent="0.2">
      <c r="A7" t="s">
        <v>417</v>
      </c>
      <c r="B7" s="1">
        <v>42709</v>
      </c>
      <c r="C7" s="1">
        <v>42719</v>
      </c>
      <c r="D7" s="1">
        <v>42724</v>
      </c>
      <c r="E7" s="1">
        <v>42745</v>
      </c>
      <c r="F7" s="1">
        <v>42793</v>
      </c>
      <c r="G7" s="1">
        <v>42832</v>
      </c>
      <c r="H7" s="1">
        <v>42787</v>
      </c>
      <c r="I7" s="1">
        <v>42892</v>
      </c>
      <c r="J7" t="s">
        <v>513</v>
      </c>
      <c r="K7" s="1">
        <v>42963</v>
      </c>
      <c r="L7" s="1">
        <v>42926</v>
      </c>
      <c r="M7" s="1">
        <v>42964</v>
      </c>
      <c r="N7">
        <v>1</v>
      </c>
      <c r="O7">
        <v>1</v>
      </c>
      <c r="P7">
        <v>1</v>
      </c>
      <c r="Q7">
        <v>0</v>
      </c>
    </row>
    <row r="8" spans="1:17" x14ac:dyDescent="0.2">
      <c r="A8" t="s">
        <v>515</v>
      </c>
      <c r="B8" s="1">
        <v>42737</v>
      </c>
      <c r="C8" s="1">
        <v>42754</v>
      </c>
      <c r="D8" s="1">
        <v>42755</v>
      </c>
      <c r="E8" s="1">
        <v>42762</v>
      </c>
      <c r="F8" s="1">
        <v>42808</v>
      </c>
      <c r="G8" s="1">
        <v>42850</v>
      </c>
      <c r="H8" t="s">
        <v>513</v>
      </c>
      <c r="I8" s="1">
        <v>42801</v>
      </c>
      <c r="J8" s="1">
        <v>42801</v>
      </c>
      <c r="K8" s="1">
        <v>42762</v>
      </c>
      <c r="N8">
        <v>0</v>
      </c>
      <c r="O8">
        <v>0</v>
      </c>
      <c r="P8">
        <v>0</v>
      </c>
      <c r="Q8">
        <v>0</v>
      </c>
    </row>
    <row r="9" spans="1:17" x14ac:dyDescent="0.2">
      <c r="A9" t="s">
        <v>367</v>
      </c>
      <c r="B9" s="1">
        <v>42874</v>
      </c>
      <c r="C9" s="1">
        <v>42885</v>
      </c>
      <c r="D9" s="1">
        <v>42891</v>
      </c>
      <c r="E9" s="1">
        <v>42898</v>
      </c>
      <c r="F9" s="1">
        <v>42947</v>
      </c>
      <c r="G9" s="1">
        <v>42987</v>
      </c>
      <c r="H9" s="1">
        <v>42934</v>
      </c>
      <c r="I9" s="1">
        <v>43039</v>
      </c>
      <c r="J9" t="s">
        <v>513</v>
      </c>
      <c r="K9" s="1">
        <v>44680</v>
      </c>
      <c r="L9" s="1">
        <v>43537</v>
      </c>
      <c r="M9" s="1">
        <v>44681</v>
      </c>
      <c r="N9">
        <v>1</v>
      </c>
      <c r="O9">
        <v>1</v>
      </c>
      <c r="P9">
        <v>1</v>
      </c>
      <c r="Q9">
        <v>1</v>
      </c>
    </row>
    <row r="10" spans="1:17" x14ac:dyDescent="0.2">
      <c r="A10" t="s">
        <v>372</v>
      </c>
      <c r="B10" s="1">
        <v>42639</v>
      </c>
      <c r="C10" s="1">
        <v>42948</v>
      </c>
      <c r="D10" s="1">
        <v>42950</v>
      </c>
      <c r="E10" s="1">
        <v>42958</v>
      </c>
      <c r="F10" s="1">
        <v>42991</v>
      </c>
      <c r="G10" s="1">
        <v>43032</v>
      </c>
      <c r="H10" s="1">
        <v>42984</v>
      </c>
      <c r="I10" s="1">
        <v>43089</v>
      </c>
      <c r="J10" t="s">
        <v>513</v>
      </c>
      <c r="K10" s="1">
        <v>44879</v>
      </c>
      <c r="N10">
        <v>0</v>
      </c>
      <c r="O10">
        <v>0</v>
      </c>
      <c r="P10">
        <v>1</v>
      </c>
      <c r="Q10">
        <v>1</v>
      </c>
    </row>
    <row r="11" spans="1:17" x14ac:dyDescent="0.2">
      <c r="A11" t="s">
        <v>376</v>
      </c>
      <c r="B11" s="1">
        <v>42949</v>
      </c>
      <c r="C11" s="1">
        <v>42964</v>
      </c>
      <c r="D11" s="1">
        <v>42971</v>
      </c>
      <c r="E11" s="1">
        <v>42979</v>
      </c>
      <c r="F11" s="1">
        <v>43019</v>
      </c>
      <c r="G11" s="1">
        <v>43061</v>
      </c>
      <c r="H11" s="1">
        <v>43012</v>
      </c>
      <c r="I11" s="1">
        <v>43118</v>
      </c>
      <c r="J11" t="s">
        <v>513</v>
      </c>
      <c r="K11" s="1">
        <v>44557</v>
      </c>
      <c r="L11" s="1">
        <v>43880</v>
      </c>
      <c r="M11" s="1">
        <v>44558</v>
      </c>
      <c r="N11">
        <v>1</v>
      </c>
      <c r="O11">
        <v>1</v>
      </c>
      <c r="P11">
        <v>2</v>
      </c>
      <c r="Q11">
        <v>1</v>
      </c>
    </row>
    <row r="12" spans="1:17" x14ac:dyDescent="0.2">
      <c r="A12" t="s">
        <v>421</v>
      </c>
      <c r="B12" s="1">
        <v>42955</v>
      </c>
      <c r="C12" s="1">
        <v>42977</v>
      </c>
      <c r="D12" s="1">
        <v>42984</v>
      </c>
      <c r="E12" s="1">
        <v>42993</v>
      </c>
      <c r="F12" s="1">
        <v>43046</v>
      </c>
      <c r="G12" s="1">
        <v>43089</v>
      </c>
      <c r="H12" s="1">
        <v>43039</v>
      </c>
      <c r="I12" s="1">
        <v>43144</v>
      </c>
      <c r="J12" t="s">
        <v>513</v>
      </c>
      <c r="K12" s="1">
        <v>43355</v>
      </c>
      <c r="L12" s="1">
        <v>43216</v>
      </c>
      <c r="M12" s="1">
        <v>43356</v>
      </c>
      <c r="N12">
        <v>1</v>
      </c>
      <c r="O12">
        <v>1</v>
      </c>
      <c r="P12">
        <v>1</v>
      </c>
      <c r="Q12">
        <v>0</v>
      </c>
    </row>
    <row r="13" spans="1:17" x14ac:dyDescent="0.2">
      <c r="A13" t="s">
        <v>381</v>
      </c>
      <c r="B13" s="1">
        <v>42978</v>
      </c>
      <c r="C13" s="1">
        <v>43007</v>
      </c>
      <c r="D13" s="1">
        <v>43011</v>
      </c>
      <c r="E13" s="1">
        <v>43024</v>
      </c>
      <c r="F13" s="1">
        <v>43059</v>
      </c>
      <c r="G13" s="1">
        <v>43104</v>
      </c>
      <c r="H13" s="1">
        <v>43052</v>
      </c>
      <c r="I13" s="1">
        <v>43158</v>
      </c>
      <c r="J13" t="s">
        <v>513</v>
      </c>
      <c r="K13" s="1">
        <v>45182</v>
      </c>
      <c r="N13">
        <v>0</v>
      </c>
      <c r="O13">
        <v>0</v>
      </c>
      <c r="P13">
        <v>2</v>
      </c>
      <c r="Q13">
        <v>1</v>
      </c>
    </row>
    <row r="14" spans="1:17" x14ac:dyDescent="0.2">
      <c r="A14" t="s">
        <v>387</v>
      </c>
      <c r="B14" s="1">
        <v>43060</v>
      </c>
      <c r="C14" s="1">
        <v>43081</v>
      </c>
      <c r="D14" s="1">
        <v>43088</v>
      </c>
      <c r="E14" s="1">
        <v>43109</v>
      </c>
      <c r="F14" s="1">
        <v>43160</v>
      </c>
      <c r="G14" s="1">
        <v>43200</v>
      </c>
      <c r="H14" t="s">
        <v>513</v>
      </c>
      <c r="I14" s="1">
        <v>43109</v>
      </c>
      <c r="J14" t="s">
        <v>513</v>
      </c>
      <c r="K14" s="1">
        <v>45582</v>
      </c>
      <c r="N14">
        <v>0</v>
      </c>
      <c r="O14">
        <v>0</v>
      </c>
      <c r="P14">
        <v>1</v>
      </c>
      <c r="Q14">
        <v>1</v>
      </c>
    </row>
    <row r="15" spans="1:17" x14ac:dyDescent="0.2">
      <c r="A15" t="s">
        <v>425</v>
      </c>
      <c r="B15" s="1">
        <v>43077</v>
      </c>
      <c r="C15" s="1">
        <v>43081</v>
      </c>
      <c r="D15" s="1">
        <v>43087</v>
      </c>
      <c r="E15" s="1">
        <v>43108</v>
      </c>
      <c r="F15" s="1">
        <v>43173</v>
      </c>
      <c r="G15" s="1">
        <v>43214</v>
      </c>
      <c r="H15" s="1">
        <v>43166</v>
      </c>
      <c r="I15" s="1">
        <v>43272</v>
      </c>
      <c r="J15" t="s">
        <v>513</v>
      </c>
      <c r="K15" s="1">
        <v>43410</v>
      </c>
      <c r="L15" s="1">
        <v>43308</v>
      </c>
      <c r="M15" s="1">
        <v>43411</v>
      </c>
      <c r="N15">
        <v>1</v>
      </c>
      <c r="O15">
        <v>1</v>
      </c>
      <c r="P15">
        <v>1</v>
      </c>
      <c r="Q15">
        <v>0</v>
      </c>
    </row>
    <row r="16" spans="1:17" x14ac:dyDescent="0.2">
      <c r="A16" t="s">
        <v>390</v>
      </c>
      <c r="B16" s="1">
        <v>43060</v>
      </c>
      <c r="C16" s="1">
        <v>43083</v>
      </c>
      <c r="D16" s="1">
        <v>43091</v>
      </c>
      <c r="E16" s="1">
        <v>43112</v>
      </c>
      <c r="F16" s="1">
        <v>43165</v>
      </c>
      <c r="G16" s="1">
        <v>43206</v>
      </c>
      <c r="H16" s="1">
        <v>43158</v>
      </c>
      <c r="I16" s="1">
        <v>43262</v>
      </c>
      <c r="J16" t="s">
        <v>513</v>
      </c>
      <c r="K16" s="1">
        <v>43951</v>
      </c>
      <c r="N16">
        <v>0</v>
      </c>
      <c r="O16">
        <v>0</v>
      </c>
      <c r="P16">
        <v>2</v>
      </c>
      <c r="Q16">
        <v>1</v>
      </c>
    </row>
    <row r="17" spans="1:17" x14ac:dyDescent="0.2">
      <c r="A17" t="s">
        <v>429</v>
      </c>
      <c r="B17" s="1">
        <v>43081</v>
      </c>
      <c r="C17" s="1">
        <v>43090</v>
      </c>
      <c r="D17" s="1">
        <v>43109</v>
      </c>
      <c r="E17" s="1">
        <v>43130</v>
      </c>
      <c r="F17" s="1">
        <v>43186</v>
      </c>
      <c r="G17" s="1">
        <v>43237</v>
      </c>
      <c r="H17" s="1">
        <v>43179</v>
      </c>
      <c r="I17" s="1">
        <v>43237</v>
      </c>
      <c r="J17" s="1">
        <v>43228</v>
      </c>
      <c r="K17" s="1">
        <v>44848</v>
      </c>
      <c r="N17">
        <v>0</v>
      </c>
      <c r="O17">
        <v>0</v>
      </c>
      <c r="P17">
        <v>1</v>
      </c>
      <c r="Q17">
        <v>0</v>
      </c>
    </row>
    <row r="18" spans="1:17" x14ac:dyDescent="0.2">
      <c r="A18" t="s">
        <v>395</v>
      </c>
      <c r="B18" s="1">
        <v>43102</v>
      </c>
      <c r="C18" s="1">
        <v>43118</v>
      </c>
      <c r="D18" s="1">
        <v>43116</v>
      </c>
      <c r="E18" s="1">
        <v>43136</v>
      </c>
      <c r="F18" s="1">
        <v>43185</v>
      </c>
      <c r="G18" s="1">
        <v>43224</v>
      </c>
      <c r="H18" s="1">
        <v>43179</v>
      </c>
      <c r="I18" s="1">
        <v>43284</v>
      </c>
      <c r="J18" t="s">
        <v>513</v>
      </c>
      <c r="K18" s="1">
        <v>44646</v>
      </c>
      <c r="M18" s="1">
        <v>44647</v>
      </c>
      <c r="N18">
        <v>1</v>
      </c>
      <c r="O18">
        <v>1</v>
      </c>
      <c r="P18">
        <v>2</v>
      </c>
      <c r="Q18">
        <v>1</v>
      </c>
    </row>
    <row r="19" spans="1:17" x14ac:dyDescent="0.2">
      <c r="A19" t="s">
        <v>433</v>
      </c>
      <c r="B19" s="1">
        <v>43117</v>
      </c>
      <c r="C19" s="1">
        <v>43150</v>
      </c>
      <c r="D19" s="1">
        <v>43150</v>
      </c>
      <c r="E19" s="1">
        <v>43168</v>
      </c>
      <c r="F19" s="1">
        <v>43208</v>
      </c>
      <c r="G19" s="1">
        <v>43250</v>
      </c>
      <c r="H19" s="1">
        <v>43201</v>
      </c>
      <c r="I19" s="1">
        <v>43306</v>
      </c>
      <c r="J19" t="s">
        <v>513</v>
      </c>
      <c r="K19" s="1">
        <v>44373</v>
      </c>
      <c r="M19" s="1">
        <v>44374</v>
      </c>
      <c r="N19">
        <v>1</v>
      </c>
      <c r="O19">
        <v>1</v>
      </c>
      <c r="P19">
        <v>0</v>
      </c>
      <c r="Q19">
        <v>0</v>
      </c>
    </row>
    <row r="20" spans="1:17" x14ac:dyDescent="0.2">
      <c r="A20" t="s">
        <v>437</v>
      </c>
      <c r="B20" s="1">
        <v>43160</v>
      </c>
      <c r="C20" s="1">
        <v>43172</v>
      </c>
      <c r="D20" s="1">
        <v>43173</v>
      </c>
      <c r="E20" s="1">
        <v>43182</v>
      </c>
      <c r="F20" s="1">
        <v>43235</v>
      </c>
      <c r="G20" s="1">
        <v>43277</v>
      </c>
      <c r="H20" s="1">
        <v>43227</v>
      </c>
      <c r="I20" s="1">
        <v>43332</v>
      </c>
      <c r="J20" t="s">
        <v>513</v>
      </c>
      <c r="K20" s="1">
        <v>45190</v>
      </c>
      <c r="N20">
        <v>0</v>
      </c>
      <c r="O20">
        <v>0</v>
      </c>
      <c r="P20">
        <v>1</v>
      </c>
      <c r="Q20">
        <v>0</v>
      </c>
    </row>
    <row r="21" spans="1:17" x14ac:dyDescent="0.2">
      <c r="A21" t="s">
        <v>442</v>
      </c>
      <c r="B21" s="1">
        <v>43146</v>
      </c>
      <c r="C21" s="1">
        <v>43181</v>
      </c>
      <c r="D21" s="1">
        <v>43182</v>
      </c>
      <c r="E21" s="1">
        <v>43192</v>
      </c>
      <c r="F21" s="1">
        <v>43229</v>
      </c>
      <c r="G21" s="1">
        <v>43277</v>
      </c>
      <c r="H21" s="1">
        <v>43222</v>
      </c>
      <c r="I21" s="1">
        <v>43277</v>
      </c>
      <c r="J21" s="1">
        <v>43249</v>
      </c>
      <c r="K21" s="1">
        <v>44069</v>
      </c>
      <c r="L21" s="1">
        <v>43838</v>
      </c>
      <c r="M21" s="1">
        <v>44070</v>
      </c>
      <c r="N21">
        <v>1</v>
      </c>
      <c r="O21">
        <v>1</v>
      </c>
      <c r="P21">
        <v>2</v>
      </c>
      <c r="Q21">
        <v>0</v>
      </c>
    </row>
    <row r="22" spans="1:17" x14ac:dyDescent="0.2">
      <c r="A22" t="s">
        <v>399</v>
      </c>
      <c r="B22" s="1">
        <v>43179</v>
      </c>
      <c r="C22" s="1">
        <v>43180</v>
      </c>
      <c r="D22" s="1">
        <v>43187</v>
      </c>
      <c r="E22" s="1">
        <v>43217</v>
      </c>
      <c r="F22" s="1">
        <v>43267</v>
      </c>
      <c r="G22" s="1">
        <v>43312</v>
      </c>
      <c r="H22" s="1">
        <v>43263</v>
      </c>
      <c r="I22" s="1">
        <v>43369</v>
      </c>
      <c r="J22" t="s">
        <v>513</v>
      </c>
      <c r="K22" s="1">
        <v>45002</v>
      </c>
      <c r="N22">
        <v>0</v>
      </c>
      <c r="O22">
        <v>0</v>
      </c>
      <c r="P22">
        <v>0</v>
      </c>
      <c r="Q22">
        <v>1</v>
      </c>
    </row>
    <row r="23" spans="1:17" x14ac:dyDescent="0.2">
      <c r="A23" t="s">
        <v>446</v>
      </c>
      <c r="B23" s="1">
        <v>43271</v>
      </c>
      <c r="C23" s="1">
        <v>43319</v>
      </c>
      <c r="D23" s="1">
        <v>43319</v>
      </c>
      <c r="E23" s="1">
        <v>43326</v>
      </c>
      <c r="F23" t="s">
        <v>513</v>
      </c>
      <c r="G23" t="s">
        <v>513</v>
      </c>
      <c r="H23" t="s">
        <v>513</v>
      </c>
      <c r="I23" s="1">
        <v>43376</v>
      </c>
      <c r="J23" s="1">
        <v>43376</v>
      </c>
      <c r="K23" s="1">
        <v>43326</v>
      </c>
      <c r="N23">
        <v>0</v>
      </c>
      <c r="O23">
        <v>0</v>
      </c>
      <c r="P23">
        <v>0</v>
      </c>
      <c r="Q23">
        <v>0</v>
      </c>
    </row>
    <row r="24" spans="1:17" x14ac:dyDescent="0.2">
      <c r="A24" t="s">
        <v>450</v>
      </c>
      <c r="B24" s="1">
        <v>43376</v>
      </c>
      <c r="C24" s="1">
        <v>43399</v>
      </c>
      <c r="D24" s="1">
        <v>43399</v>
      </c>
      <c r="E24" s="1">
        <v>43409</v>
      </c>
      <c r="F24" s="1">
        <v>43460</v>
      </c>
      <c r="G24" s="1">
        <v>43508</v>
      </c>
      <c r="H24" s="1">
        <v>43452</v>
      </c>
      <c r="I24" s="1">
        <v>43557</v>
      </c>
      <c r="J24" t="s">
        <v>513</v>
      </c>
      <c r="K24" s="1">
        <v>45070</v>
      </c>
      <c r="N24">
        <v>0</v>
      </c>
      <c r="O24">
        <v>0</v>
      </c>
      <c r="P24">
        <v>1</v>
      </c>
      <c r="Q24">
        <v>0</v>
      </c>
    </row>
    <row r="25" spans="1:17" x14ac:dyDescent="0.2">
      <c r="A25" t="s">
        <v>403</v>
      </c>
      <c r="B25" s="1">
        <v>43375</v>
      </c>
      <c r="C25" s="1">
        <v>43425</v>
      </c>
      <c r="D25" s="1">
        <v>43432</v>
      </c>
      <c r="E25" s="1">
        <v>43440</v>
      </c>
      <c r="F25" s="1">
        <v>43496</v>
      </c>
      <c r="G25" s="1">
        <v>43553</v>
      </c>
      <c r="H25" s="1">
        <v>43488</v>
      </c>
      <c r="I25" s="1">
        <v>43593</v>
      </c>
      <c r="J25" t="s">
        <v>513</v>
      </c>
      <c r="K25" s="1">
        <v>44826</v>
      </c>
      <c r="N25">
        <v>0</v>
      </c>
      <c r="O25">
        <v>0</v>
      </c>
      <c r="P25">
        <v>1</v>
      </c>
      <c r="Q25">
        <v>1</v>
      </c>
    </row>
    <row r="26" spans="1:17" x14ac:dyDescent="0.2">
      <c r="A26" t="s">
        <v>497</v>
      </c>
      <c r="B26" s="1">
        <v>43440</v>
      </c>
      <c r="C26" s="1">
        <v>43440</v>
      </c>
      <c r="D26" s="1">
        <v>43453</v>
      </c>
      <c r="E26" s="1">
        <v>43469</v>
      </c>
      <c r="F26" s="1">
        <v>43515</v>
      </c>
      <c r="G26" s="1">
        <v>43559</v>
      </c>
      <c r="H26" t="s">
        <v>513</v>
      </c>
      <c r="I26" t="s">
        <v>513</v>
      </c>
      <c r="J26" s="1">
        <v>43521</v>
      </c>
      <c r="K26" s="1">
        <v>45280</v>
      </c>
      <c r="N26">
        <v>0</v>
      </c>
      <c r="O26">
        <v>0</v>
      </c>
      <c r="P26">
        <v>1</v>
      </c>
      <c r="Q26">
        <v>1</v>
      </c>
    </row>
    <row r="27" spans="1:17" x14ac:dyDescent="0.2">
      <c r="A27" t="s">
        <v>500</v>
      </c>
      <c r="B27" s="1">
        <v>43510</v>
      </c>
      <c r="C27" s="1">
        <v>43535</v>
      </c>
      <c r="D27" s="1">
        <v>43536</v>
      </c>
      <c r="E27" s="1">
        <v>43543</v>
      </c>
      <c r="F27" s="1">
        <v>43593</v>
      </c>
      <c r="G27" s="1">
        <v>43636</v>
      </c>
      <c r="H27" s="1">
        <v>43586</v>
      </c>
      <c r="I27" s="1">
        <v>43691</v>
      </c>
      <c r="J27" t="s">
        <v>513</v>
      </c>
      <c r="K27" s="1">
        <v>44558</v>
      </c>
      <c r="M27" s="1">
        <v>44559</v>
      </c>
      <c r="N27">
        <v>1</v>
      </c>
      <c r="O27">
        <v>1</v>
      </c>
      <c r="P27">
        <v>2</v>
      </c>
      <c r="Q27">
        <v>1</v>
      </c>
    </row>
    <row r="28" spans="1:17" x14ac:dyDescent="0.2">
      <c r="A28" t="s">
        <v>47</v>
      </c>
      <c r="B28" s="1">
        <v>43514</v>
      </c>
      <c r="C28" s="1">
        <v>43531</v>
      </c>
      <c r="D28" s="1">
        <v>43535</v>
      </c>
      <c r="E28" s="1">
        <v>43542</v>
      </c>
      <c r="F28" s="1">
        <v>43586</v>
      </c>
      <c r="G28" s="1">
        <v>43628</v>
      </c>
      <c r="H28" s="1">
        <v>43581</v>
      </c>
      <c r="I28" s="1">
        <v>43683</v>
      </c>
      <c r="J28" t="s">
        <v>513</v>
      </c>
      <c r="K28" s="1">
        <v>44130</v>
      </c>
      <c r="L28" s="1">
        <v>43899</v>
      </c>
      <c r="M28" s="1">
        <v>44131</v>
      </c>
      <c r="N28">
        <v>1</v>
      </c>
      <c r="O28">
        <v>1</v>
      </c>
      <c r="P28">
        <v>1</v>
      </c>
      <c r="Q28">
        <v>0</v>
      </c>
    </row>
    <row r="29" spans="1:17" x14ac:dyDescent="0.2">
      <c r="A29" t="s">
        <v>504</v>
      </c>
      <c r="B29" s="1">
        <v>43536</v>
      </c>
      <c r="C29" s="1">
        <v>43571</v>
      </c>
      <c r="D29" s="1">
        <v>43578</v>
      </c>
      <c r="E29" s="1">
        <v>43591</v>
      </c>
      <c r="F29" t="s">
        <v>513</v>
      </c>
      <c r="G29" t="s">
        <v>513</v>
      </c>
      <c r="H29" t="s">
        <v>513</v>
      </c>
      <c r="I29" t="s">
        <v>513</v>
      </c>
      <c r="J29" t="s">
        <v>513</v>
      </c>
      <c r="K29" s="1">
        <v>43607</v>
      </c>
      <c r="M29" s="1">
        <v>43608</v>
      </c>
      <c r="N29">
        <v>1</v>
      </c>
      <c r="O29">
        <v>1</v>
      </c>
      <c r="P29">
        <v>0</v>
      </c>
      <c r="Q29">
        <v>1</v>
      </c>
    </row>
    <row r="30" spans="1:17" x14ac:dyDescent="0.2">
      <c r="A30" t="s">
        <v>454</v>
      </c>
      <c r="B30" s="1">
        <v>43580</v>
      </c>
      <c r="C30" s="1">
        <v>43602</v>
      </c>
      <c r="D30" s="1">
        <v>43606</v>
      </c>
      <c r="E30" s="1">
        <v>43613</v>
      </c>
      <c r="F30" s="1">
        <v>43663</v>
      </c>
      <c r="G30" s="1">
        <v>43705</v>
      </c>
      <c r="H30" s="1">
        <v>43657</v>
      </c>
      <c r="I30" s="1">
        <v>43760</v>
      </c>
      <c r="J30" t="s">
        <v>513</v>
      </c>
      <c r="K30" s="1">
        <v>45212</v>
      </c>
      <c r="N30">
        <v>0</v>
      </c>
      <c r="O30">
        <v>0</v>
      </c>
      <c r="P30">
        <v>0</v>
      </c>
      <c r="Q30">
        <v>0</v>
      </c>
    </row>
    <row r="31" spans="1:17" x14ac:dyDescent="0.2">
      <c r="A31" t="s">
        <v>459</v>
      </c>
      <c r="B31" s="1">
        <v>43565</v>
      </c>
      <c r="C31" s="1">
        <v>43606</v>
      </c>
      <c r="D31" s="1">
        <v>43607</v>
      </c>
      <c r="E31" s="1">
        <v>43620</v>
      </c>
      <c r="F31" s="1">
        <v>43657</v>
      </c>
      <c r="G31" s="1">
        <v>43703</v>
      </c>
      <c r="H31" s="1">
        <v>43649</v>
      </c>
      <c r="I31" s="1">
        <v>43753</v>
      </c>
      <c r="J31" t="s">
        <v>513</v>
      </c>
      <c r="K31" s="1">
        <v>45043</v>
      </c>
      <c r="M31" s="1">
        <v>45044</v>
      </c>
      <c r="N31">
        <v>1</v>
      </c>
      <c r="O31">
        <v>1</v>
      </c>
      <c r="P31">
        <v>0</v>
      </c>
      <c r="Q31">
        <v>0</v>
      </c>
    </row>
    <row r="32" spans="1:17" x14ac:dyDescent="0.2">
      <c r="A32" t="s">
        <v>516</v>
      </c>
      <c r="B32" s="1">
        <v>43916</v>
      </c>
      <c r="C32" s="1">
        <v>43935</v>
      </c>
      <c r="D32" s="1">
        <v>43938</v>
      </c>
      <c r="E32" s="1">
        <v>43949</v>
      </c>
      <c r="F32" s="1">
        <v>44005</v>
      </c>
      <c r="G32" s="1">
        <v>44047</v>
      </c>
      <c r="H32" s="1">
        <v>43998</v>
      </c>
      <c r="I32" s="1">
        <v>44103</v>
      </c>
      <c r="J32" t="s">
        <v>513</v>
      </c>
      <c r="K32" s="1">
        <v>45712</v>
      </c>
      <c r="N32">
        <v>0</v>
      </c>
      <c r="O32">
        <v>0</v>
      </c>
      <c r="Q32">
        <v>1</v>
      </c>
    </row>
    <row r="33" spans="1:17" x14ac:dyDescent="0.2">
      <c r="A33" t="s">
        <v>70</v>
      </c>
      <c r="B33" s="1">
        <v>43656</v>
      </c>
      <c r="C33" s="1">
        <v>43977</v>
      </c>
      <c r="D33" s="1">
        <v>43994</v>
      </c>
      <c r="E33" s="1">
        <v>44012</v>
      </c>
      <c r="F33" t="s">
        <v>513</v>
      </c>
      <c r="G33" t="s">
        <v>513</v>
      </c>
      <c r="H33" s="1">
        <v>44061</v>
      </c>
      <c r="I33" s="1">
        <v>44105</v>
      </c>
      <c r="J33" t="s">
        <v>513</v>
      </c>
      <c r="K33" s="1">
        <v>44159</v>
      </c>
      <c r="L33" s="1">
        <v>44106</v>
      </c>
      <c r="M33" s="1">
        <v>44160</v>
      </c>
      <c r="N33">
        <v>1</v>
      </c>
      <c r="O33">
        <v>1</v>
      </c>
      <c r="P33">
        <v>1</v>
      </c>
      <c r="Q33">
        <v>0</v>
      </c>
    </row>
    <row r="34" spans="1:17" x14ac:dyDescent="0.2">
      <c r="A34" t="s">
        <v>86</v>
      </c>
      <c r="B34" s="1">
        <v>43972</v>
      </c>
      <c r="C34" s="1">
        <v>43990</v>
      </c>
      <c r="D34" s="1">
        <v>43994</v>
      </c>
      <c r="E34" s="1">
        <v>44001</v>
      </c>
      <c r="F34" s="1">
        <v>44039</v>
      </c>
      <c r="G34" s="1">
        <v>44078</v>
      </c>
      <c r="H34" s="1">
        <v>44033</v>
      </c>
      <c r="I34" s="1">
        <v>44159</v>
      </c>
      <c r="J34" t="s">
        <v>513</v>
      </c>
      <c r="K34" s="1">
        <v>45678</v>
      </c>
      <c r="N34">
        <v>0</v>
      </c>
      <c r="O34">
        <v>0</v>
      </c>
      <c r="P34">
        <v>1</v>
      </c>
      <c r="Q34">
        <v>0</v>
      </c>
    </row>
    <row r="35" spans="1:17" x14ac:dyDescent="0.2">
      <c r="A35" t="s">
        <v>98</v>
      </c>
      <c r="B35" s="1">
        <v>43974</v>
      </c>
      <c r="C35" s="1">
        <v>43997</v>
      </c>
      <c r="D35" s="1">
        <v>44000</v>
      </c>
      <c r="E35" s="1">
        <v>44008</v>
      </c>
      <c r="F35" t="s">
        <v>513</v>
      </c>
      <c r="G35" t="s">
        <v>513</v>
      </c>
      <c r="H35" t="s">
        <v>513</v>
      </c>
      <c r="I35" t="s">
        <v>513</v>
      </c>
      <c r="J35" t="s">
        <v>513</v>
      </c>
      <c r="K35" s="1">
        <v>45064</v>
      </c>
      <c r="N35">
        <v>0</v>
      </c>
      <c r="O35">
        <v>0</v>
      </c>
      <c r="P35">
        <v>1</v>
      </c>
      <c r="Q35">
        <v>1</v>
      </c>
    </row>
    <row r="36" spans="1:17" x14ac:dyDescent="0.2">
      <c r="A36" t="s">
        <v>517</v>
      </c>
      <c r="B36" s="1">
        <v>44089</v>
      </c>
      <c r="C36" s="1">
        <v>44118</v>
      </c>
      <c r="D36" s="1">
        <v>44123</v>
      </c>
      <c r="E36" s="1">
        <v>44133</v>
      </c>
      <c r="F36" t="s">
        <v>513</v>
      </c>
      <c r="G36" t="s">
        <v>513</v>
      </c>
      <c r="H36" s="1">
        <v>44165</v>
      </c>
      <c r="I36" s="1">
        <v>44270</v>
      </c>
      <c r="J36" t="s">
        <v>513</v>
      </c>
      <c r="K36" s="1">
        <v>45168</v>
      </c>
      <c r="L36" s="1">
        <v>44291</v>
      </c>
      <c r="M36" s="1">
        <v>45169</v>
      </c>
      <c r="N36">
        <v>1</v>
      </c>
      <c r="O36">
        <v>1</v>
      </c>
      <c r="P36">
        <v>1</v>
      </c>
      <c r="Q36">
        <v>0</v>
      </c>
    </row>
    <row r="37" spans="1:17" x14ac:dyDescent="0.2">
      <c r="A37" t="s">
        <v>518</v>
      </c>
      <c r="B37" s="1">
        <v>44105</v>
      </c>
      <c r="C37" s="1">
        <v>44124</v>
      </c>
      <c r="D37" s="1">
        <v>44125</v>
      </c>
      <c r="E37" s="1">
        <v>44132</v>
      </c>
      <c r="F37" t="s">
        <v>513</v>
      </c>
      <c r="G37" t="s">
        <v>513</v>
      </c>
      <c r="H37" s="1">
        <v>44166</v>
      </c>
      <c r="I37" s="1">
        <v>44271</v>
      </c>
      <c r="J37" t="s">
        <v>513</v>
      </c>
      <c r="K37" s="1">
        <v>45412</v>
      </c>
      <c r="N37">
        <v>0</v>
      </c>
      <c r="O37">
        <v>0</v>
      </c>
      <c r="P37">
        <v>2</v>
      </c>
      <c r="Q37">
        <v>1</v>
      </c>
    </row>
    <row r="38" spans="1:17" x14ac:dyDescent="0.2">
      <c r="A38" t="s">
        <v>109</v>
      </c>
      <c r="B38" s="1">
        <v>42774</v>
      </c>
      <c r="C38" s="1">
        <v>42900</v>
      </c>
      <c r="D38" s="1">
        <v>42908</v>
      </c>
      <c r="E38" s="1">
        <v>42921</v>
      </c>
      <c r="F38" s="1">
        <v>42962</v>
      </c>
      <c r="G38" s="1">
        <v>43004</v>
      </c>
      <c r="H38" s="1">
        <v>42955</v>
      </c>
      <c r="I38" s="1">
        <v>43060</v>
      </c>
      <c r="J38" t="s">
        <v>513</v>
      </c>
      <c r="K38" s="1">
        <v>43625</v>
      </c>
      <c r="L38" s="1">
        <v>43220</v>
      </c>
      <c r="M38" s="1">
        <v>43626</v>
      </c>
      <c r="N38">
        <v>1</v>
      </c>
      <c r="O38">
        <v>1</v>
      </c>
      <c r="P38">
        <v>1</v>
      </c>
      <c r="Q38">
        <v>0</v>
      </c>
    </row>
    <row r="39" spans="1:17" x14ac:dyDescent="0.2">
      <c r="A39" t="s">
        <v>464</v>
      </c>
      <c r="B39" s="1">
        <v>42970</v>
      </c>
      <c r="C39" s="1">
        <v>42984</v>
      </c>
      <c r="D39" s="1">
        <v>42990</v>
      </c>
      <c r="E39" s="1">
        <v>42997</v>
      </c>
      <c r="F39" s="1">
        <v>43046</v>
      </c>
      <c r="G39" s="1">
        <v>43096</v>
      </c>
      <c r="H39" s="1">
        <v>43038</v>
      </c>
      <c r="I39" s="1">
        <v>43144</v>
      </c>
      <c r="J39" t="s">
        <v>513</v>
      </c>
      <c r="K39" s="1">
        <v>43498</v>
      </c>
      <c r="L39" s="1">
        <v>43377</v>
      </c>
      <c r="M39" s="1">
        <v>43499</v>
      </c>
      <c r="N39">
        <v>1</v>
      </c>
      <c r="O39">
        <v>1</v>
      </c>
      <c r="P39">
        <v>1</v>
      </c>
      <c r="Q39">
        <v>0</v>
      </c>
    </row>
    <row r="40" spans="1:17" x14ac:dyDescent="0.2">
      <c r="A40" t="s">
        <v>407</v>
      </c>
      <c r="B40" s="1">
        <v>42991</v>
      </c>
      <c r="C40" s="1">
        <v>43006</v>
      </c>
      <c r="D40" s="1">
        <v>43018</v>
      </c>
      <c r="E40" s="1">
        <v>43025</v>
      </c>
      <c r="F40" s="1">
        <v>43066</v>
      </c>
      <c r="G40" s="1">
        <v>43109</v>
      </c>
      <c r="H40" s="1">
        <v>43059</v>
      </c>
      <c r="I40" s="1">
        <v>43164</v>
      </c>
      <c r="J40" t="s">
        <v>513</v>
      </c>
      <c r="K40" s="1">
        <v>44320</v>
      </c>
      <c r="N40">
        <v>0</v>
      </c>
      <c r="O40">
        <v>0</v>
      </c>
      <c r="P40">
        <v>1</v>
      </c>
      <c r="Q40">
        <v>1</v>
      </c>
    </row>
    <row r="41" spans="1:17" x14ac:dyDescent="0.2">
      <c r="A41" t="s">
        <v>519</v>
      </c>
      <c r="B41" s="1">
        <v>43034</v>
      </c>
      <c r="C41" s="1">
        <v>43054</v>
      </c>
      <c r="D41" s="1">
        <v>43059</v>
      </c>
      <c r="E41" s="1">
        <v>43066</v>
      </c>
      <c r="F41" s="1">
        <v>43103</v>
      </c>
      <c r="G41" s="1">
        <v>43144</v>
      </c>
      <c r="H41" s="1">
        <v>43096</v>
      </c>
      <c r="I41" s="1">
        <v>43201</v>
      </c>
      <c r="J41" t="s">
        <v>513</v>
      </c>
      <c r="K41" s="1">
        <v>44355</v>
      </c>
      <c r="N41">
        <v>0</v>
      </c>
      <c r="O41">
        <v>0</v>
      </c>
      <c r="P41">
        <v>1</v>
      </c>
      <c r="Q41">
        <v>1</v>
      </c>
    </row>
    <row r="42" spans="1:17" x14ac:dyDescent="0.2">
      <c r="A42" t="s">
        <v>468</v>
      </c>
      <c r="B42" s="1">
        <v>43039</v>
      </c>
      <c r="C42" s="1">
        <v>43056</v>
      </c>
      <c r="D42" s="1">
        <v>43076</v>
      </c>
      <c r="E42" s="1">
        <v>43083</v>
      </c>
      <c r="F42" s="1">
        <v>43123</v>
      </c>
      <c r="G42" s="1">
        <v>43165</v>
      </c>
      <c r="H42" s="1">
        <v>43116</v>
      </c>
      <c r="I42" s="1">
        <v>43223</v>
      </c>
      <c r="J42" t="s">
        <v>513</v>
      </c>
      <c r="K42" s="1">
        <v>43563</v>
      </c>
      <c r="L42" s="1">
        <v>43326</v>
      </c>
      <c r="M42" s="1">
        <v>43564</v>
      </c>
      <c r="N42">
        <v>1</v>
      </c>
      <c r="O42">
        <v>1</v>
      </c>
      <c r="P42">
        <v>0</v>
      </c>
      <c r="Q42">
        <v>0</v>
      </c>
    </row>
    <row r="43" spans="1:17" x14ac:dyDescent="0.2">
      <c r="A43" t="s">
        <v>116</v>
      </c>
      <c r="B43" s="1">
        <v>43362</v>
      </c>
      <c r="C43" s="1">
        <v>43374</v>
      </c>
      <c r="D43" s="1">
        <v>43377</v>
      </c>
      <c r="E43" s="1">
        <v>43388</v>
      </c>
      <c r="F43" s="1">
        <v>43438</v>
      </c>
      <c r="G43" s="1">
        <v>43479</v>
      </c>
      <c r="H43" s="1">
        <v>43430</v>
      </c>
      <c r="I43" s="1">
        <v>43536</v>
      </c>
      <c r="J43" t="s">
        <v>513</v>
      </c>
      <c r="K43" s="1">
        <v>44323</v>
      </c>
      <c r="L43" s="1">
        <v>43756</v>
      </c>
      <c r="N43">
        <v>1</v>
      </c>
      <c r="O43">
        <v>0</v>
      </c>
      <c r="P43">
        <v>0</v>
      </c>
      <c r="Q43">
        <v>0</v>
      </c>
    </row>
    <row r="44" spans="1:17" x14ac:dyDescent="0.2">
      <c r="A44" t="s">
        <v>130</v>
      </c>
      <c r="B44" s="1">
        <v>43385</v>
      </c>
      <c r="C44" s="1">
        <v>43433</v>
      </c>
      <c r="D44" s="1">
        <v>43440</v>
      </c>
      <c r="E44" s="1">
        <v>43454</v>
      </c>
      <c r="F44" s="1">
        <v>43494</v>
      </c>
      <c r="G44" s="1">
        <v>43538</v>
      </c>
      <c r="H44" s="1">
        <v>43487</v>
      </c>
      <c r="I44" s="1">
        <v>43592</v>
      </c>
      <c r="J44" t="s">
        <v>513</v>
      </c>
      <c r="K44" s="1">
        <v>43822</v>
      </c>
      <c r="L44" s="1">
        <v>43803</v>
      </c>
      <c r="M44" s="1">
        <v>43823</v>
      </c>
      <c r="N44">
        <v>1</v>
      </c>
      <c r="O44">
        <v>1</v>
      </c>
      <c r="Q44">
        <v>1</v>
      </c>
    </row>
    <row r="45" spans="1:17" x14ac:dyDescent="0.2">
      <c r="A45" t="s">
        <v>145</v>
      </c>
      <c r="B45" s="1">
        <v>42867</v>
      </c>
      <c r="C45" s="1">
        <v>42878</v>
      </c>
      <c r="D45" s="1">
        <v>42901</v>
      </c>
      <c r="E45" s="1">
        <v>42908</v>
      </c>
      <c r="F45" s="1">
        <v>42965</v>
      </c>
      <c r="G45" s="1">
        <v>43018</v>
      </c>
      <c r="H45" s="1">
        <v>42958</v>
      </c>
      <c r="I45" s="1">
        <v>43076</v>
      </c>
      <c r="J45" t="s">
        <v>513</v>
      </c>
      <c r="K45" s="1">
        <v>45020</v>
      </c>
      <c r="N45">
        <v>0</v>
      </c>
      <c r="O45">
        <v>0</v>
      </c>
      <c r="Q45">
        <v>0</v>
      </c>
    </row>
    <row r="46" spans="1:17" x14ac:dyDescent="0.2">
      <c r="A46" t="s">
        <v>520</v>
      </c>
      <c r="B46" s="1">
        <v>42919</v>
      </c>
      <c r="C46" s="1">
        <v>42930</v>
      </c>
      <c r="D46" s="1">
        <v>42950</v>
      </c>
      <c r="E46" s="1">
        <v>42970</v>
      </c>
      <c r="F46" t="s">
        <v>513</v>
      </c>
      <c r="G46" t="s">
        <v>513</v>
      </c>
      <c r="H46" t="s">
        <v>513</v>
      </c>
      <c r="I46" t="s">
        <v>513</v>
      </c>
      <c r="J46" s="1">
        <v>42993</v>
      </c>
      <c r="K46" s="1">
        <v>43787</v>
      </c>
      <c r="N46">
        <v>0</v>
      </c>
      <c r="O46">
        <v>0</v>
      </c>
    </row>
    <row r="47" spans="1:17" x14ac:dyDescent="0.2">
      <c r="A47" t="s">
        <v>159</v>
      </c>
      <c r="B47" s="1">
        <v>43544</v>
      </c>
      <c r="C47" s="1">
        <v>43591</v>
      </c>
      <c r="D47" s="1">
        <v>43598</v>
      </c>
      <c r="E47" s="1">
        <v>43621</v>
      </c>
      <c r="F47" s="1">
        <v>43664</v>
      </c>
      <c r="G47" s="1">
        <v>43707</v>
      </c>
      <c r="H47" s="1">
        <v>43654</v>
      </c>
      <c r="I47" s="1">
        <v>43759</v>
      </c>
      <c r="J47" t="s">
        <v>513</v>
      </c>
      <c r="K47" s="1">
        <v>44781</v>
      </c>
      <c r="M47" s="1">
        <v>44782</v>
      </c>
      <c r="N47">
        <v>1</v>
      </c>
      <c r="O47">
        <v>1</v>
      </c>
      <c r="P47">
        <v>1</v>
      </c>
      <c r="Q47">
        <v>1</v>
      </c>
    </row>
    <row r="48" spans="1:17" x14ac:dyDescent="0.2">
      <c r="A48" t="s">
        <v>173</v>
      </c>
      <c r="B48" s="1">
        <v>43677</v>
      </c>
      <c r="C48" s="1">
        <v>43707</v>
      </c>
      <c r="D48" s="1">
        <v>43727</v>
      </c>
      <c r="E48" s="1">
        <v>43740</v>
      </c>
      <c r="F48" s="1">
        <v>43776</v>
      </c>
      <c r="G48" s="1">
        <v>43826</v>
      </c>
      <c r="H48" s="1">
        <v>43769</v>
      </c>
      <c r="I48" s="1">
        <v>43878</v>
      </c>
      <c r="J48" t="s">
        <v>513</v>
      </c>
      <c r="K48" s="1">
        <v>44465</v>
      </c>
      <c r="M48" s="1">
        <v>44466</v>
      </c>
      <c r="N48">
        <v>1</v>
      </c>
      <c r="O48">
        <v>1</v>
      </c>
      <c r="P48">
        <v>0</v>
      </c>
      <c r="Q48">
        <v>0</v>
      </c>
    </row>
    <row r="49" spans="1:17" x14ac:dyDescent="0.2">
      <c r="A49" t="s">
        <v>521</v>
      </c>
      <c r="B49" s="1">
        <v>44097</v>
      </c>
      <c r="C49" s="1">
        <v>44112</v>
      </c>
      <c r="D49" s="1">
        <v>44119</v>
      </c>
      <c r="E49" s="1">
        <v>44131</v>
      </c>
      <c r="F49" s="1">
        <v>44174</v>
      </c>
      <c r="G49" s="1">
        <v>44218</v>
      </c>
      <c r="H49" s="1">
        <v>44166</v>
      </c>
      <c r="I49" s="1">
        <v>44271</v>
      </c>
      <c r="J49" t="s">
        <v>513</v>
      </c>
      <c r="K49" s="1">
        <v>45722</v>
      </c>
      <c r="N49">
        <v>0</v>
      </c>
      <c r="O49">
        <v>0</v>
      </c>
      <c r="P49">
        <v>2</v>
      </c>
      <c r="Q49">
        <v>0</v>
      </c>
    </row>
    <row r="50" spans="1:17" x14ac:dyDescent="0.2">
      <c r="A50" t="s">
        <v>182</v>
      </c>
      <c r="B50" s="1">
        <v>42892</v>
      </c>
      <c r="C50" s="1">
        <v>42914</v>
      </c>
      <c r="D50" s="1">
        <v>42919</v>
      </c>
      <c r="E50" s="1">
        <v>42926</v>
      </c>
      <c r="F50" s="1">
        <v>42962</v>
      </c>
      <c r="G50" s="1">
        <v>42997</v>
      </c>
      <c r="H50" s="1">
        <v>42955</v>
      </c>
      <c r="I50" s="1">
        <v>43060</v>
      </c>
      <c r="J50" t="s">
        <v>513</v>
      </c>
      <c r="K50" s="1">
        <v>44887</v>
      </c>
      <c r="N50">
        <v>0</v>
      </c>
      <c r="O50">
        <v>0</v>
      </c>
      <c r="P50">
        <v>1</v>
      </c>
      <c r="Q50">
        <v>0</v>
      </c>
    </row>
    <row r="51" spans="1:17" x14ac:dyDescent="0.2">
      <c r="A51" t="s">
        <v>472</v>
      </c>
      <c r="B51" s="1">
        <v>42370</v>
      </c>
      <c r="C51" s="1">
        <v>42922</v>
      </c>
      <c r="D51" s="1">
        <v>42926</v>
      </c>
      <c r="E51" s="1">
        <v>42934</v>
      </c>
      <c r="F51" s="1">
        <v>42976</v>
      </c>
      <c r="G51" s="1">
        <v>43010</v>
      </c>
      <c r="H51" s="1">
        <v>42969</v>
      </c>
      <c r="I51" s="1">
        <v>43074</v>
      </c>
      <c r="J51" t="s">
        <v>513</v>
      </c>
      <c r="K51" s="1">
        <v>44904</v>
      </c>
      <c r="L51" s="1">
        <v>44326</v>
      </c>
      <c r="N51">
        <v>1</v>
      </c>
      <c r="O51">
        <v>0</v>
      </c>
      <c r="P51">
        <v>0</v>
      </c>
      <c r="Q51">
        <v>0</v>
      </c>
    </row>
    <row r="52" spans="1:17" x14ac:dyDescent="0.2">
      <c r="A52" t="s">
        <v>476</v>
      </c>
      <c r="B52" s="1">
        <v>43117</v>
      </c>
      <c r="C52" s="1">
        <v>43130</v>
      </c>
      <c r="D52" s="1">
        <v>43144</v>
      </c>
      <c r="E52" s="1">
        <v>43153</v>
      </c>
      <c r="F52" s="1">
        <v>43207</v>
      </c>
      <c r="G52" s="1">
        <v>43243</v>
      </c>
      <c r="H52" s="1">
        <v>43200</v>
      </c>
      <c r="I52" s="1">
        <v>43305</v>
      </c>
      <c r="J52" t="s">
        <v>513</v>
      </c>
      <c r="K52" s="1">
        <v>44782</v>
      </c>
      <c r="M52" s="1">
        <v>44783</v>
      </c>
      <c r="N52">
        <v>1</v>
      </c>
      <c r="O52">
        <v>1</v>
      </c>
      <c r="P52">
        <v>0</v>
      </c>
      <c r="Q52">
        <v>1</v>
      </c>
    </row>
    <row r="53" spans="1:17" x14ac:dyDescent="0.2">
      <c r="A53" t="s">
        <v>479</v>
      </c>
      <c r="B53" s="1">
        <v>43118</v>
      </c>
      <c r="C53" s="1">
        <v>43139</v>
      </c>
      <c r="D53" s="1">
        <v>43146</v>
      </c>
      <c r="E53" s="1">
        <v>43153</v>
      </c>
      <c r="F53" s="1">
        <v>43199</v>
      </c>
      <c r="G53" s="1">
        <v>43236</v>
      </c>
      <c r="H53" s="1">
        <v>43192</v>
      </c>
      <c r="I53" s="1">
        <v>43300</v>
      </c>
      <c r="J53" t="s">
        <v>513</v>
      </c>
      <c r="K53" s="1">
        <v>45161</v>
      </c>
      <c r="N53">
        <v>0</v>
      </c>
      <c r="O53">
        <v>0</v>
      </c>
      <c r="P53">
        <v>1</v>
      </c>
      <c r="Q53">
        <v>0</v>
      </c>
    </row>
    <row r="54" spans="1:17" x14ac:dyDescent="0.2">
      <c r="A54" t="s">
        <v>522</v>
      </c>
      <c r="B54" s="1">
        <v>43124</v>
      </c>
      <c r="C54" s="1">
        <v>43144</v>
      </c>
      <c r="D54" s="1">
        <v>43152</v>
      </c>
      <c r="E54" s="1">
        <v>43160</v>
      </c>
      <c r="F54" t="s">
        <v>513</v>
      </c>
      <c r="G54" t="s">
        <v>513</v>
      </c>
      <c r="H54" t="s">
        <v>513</v>
      </c>
      <c r="I54" s="1">
        <v>43160</v>
      </c>
      <c r="J54" s="1">
        <v>43160</v>
      </c>
      <c r="K54" s="1">
        <v>45118</v>
      </c>
      <c r="N54">
        <v>0</v>
      </c>
      <c r="O54">
        <v>0</v>
      </c>
      <c r="P54" t="s">
        <v>513</v>
      </c>
      <c r="Q54" t="s">
        <v>513</v>
      </c>
    </row>
    <row r="55" spans="1:17" x14ac:dyDescent="0.2">
      <c r="A55" t="s">
        <v>483</v>
      </c>
      <c r="B55" s="1">
        <v>43111</v>
      </c>
      <c r="C55" s="1">
        <v>43151</v>
      </c>
      <c r="D55" s="1">
        <v>43165</v>
      </c>
      <c r="E55" s="1">
        <v>43172</v>
      </c>
      <c r="F55" s="1">
        <v>43228</v>
      </c>
      <c r="G55" s="1">
        <v>43638</v>
      </c>
      <c r="H55" s="1">
        <v>43221</v>
      </c>
      <c r="I55" s="1">
        <v>43284</v>
      </c>
      <c r="J55" s="1">
        <v>43284</v>
      </c>
      <c r="K55" s="1">
        <v>45090</v>
      </c>
      <c r="N55">
        <v>0</v>
      </c>
      <c r="O55">
        <v>0</v>
      </c>
      <c r="P55">
        <v>0</v>
      </c>
      <c r="Q55">
        <v>0</v>
      </c>
    </row>
    <row r="56" spans="1:17" x14ac:dyDescent="0.2">
      <c r="A56" t="s">
        <v>192</v>
      </c>
      <c r="B56" s="1">
        <v>42887</v>
      </c>
      <c r="C56" s="1">
        <v>43250</v>
      </c>
      <c r="D56" s="1">
        <v>43257</v>
      </c>
      <c r="E56" s="1">
        <v>43265</v>
      </c>
      <c r="F56" s="1">
        <v>43313</v>
      </c>
      <c r="G56" s="1">
        <v>43355</v>
      </c>
      <c r="H56" s="1">
        <v>43306</v>
      </c>
      <c r="I56" s="1">
        <v>43410</v>
      </c>
      <c r="J56" t="s">
        <v>513</v>
      </c>
      <c r="K56" s="1">
        <v>45237</v>
      </c>
      <c r="N56">
        <v>0</v>
      </c>
      <c r="O56">
        <v>0</v>
      </c>
      <c r="P56">
        <v>0</v>
      </c>
      <c r="Q56">
        <v>0</v>
      </c>
    </row>
    <row r="57" spans="1:17" x14ac:dyDescent="0.2">
      <c r="A57" t="s">
        <v>199</v>
      </c>
      <c r="B57" s="1">
        <v>43322</v>
      </c>
      <c r="C57" s="1">
        <v>43349</v>
      </c>
      <c r="D57" s="1">
        <v>43354</v>
      </c>
      <c r="E57" s="1">
        <v>43361</v>
      </c>
      <c r="F57" s="1">
        <v>43416</v>
      </c>
      <c r="G57" s="1">
        <v>43458</v>
      </c>
      <c r="H57" s="1">
        <v>43409</v>
      </c>
      <c r="I57" s="1">
        <v>43514</v>
      </c>
      <c r="J57" t="s">
        <v>513</v>
      </c>
      <c r="K57" s="1">
        <v>44754</v>
      </c>
      <c r="N57">
        <v>0</v>
      </c>
      <c r="O57">
        <v>0</v>
      </c>
      <c r="P57">
        <v>1</v>
      </c>
      <c r="Q57">
        <v>1</v>
      </c>
    </row>
    <row r="58" spans="1:17" x14ac:dyDescent="0.2">
      <c r="A58" t="s">
        <v>213</v>
      </c>
      <c r="B58" s="1">
        <v>43371</v>
      </c>
      <c r="C58" s="1">
        <v>43404</v>
      </c>
      <c r="D58" s="1">
        <v>43406</v>
      </c>
      <c r="E58" s="1">
        <v>43413</v>
      </c>
      <c r="F58" s="1">
        <v>43475</v>
      </c>
      <c r="G58" s="1">
        <v>43516</v>
      </c>
      <c r="H58" s="1">
        <v>43467</v>
      </c>
      <c r="I58" s="1">
        <v>43580</v>
      </c>
      <c r="J58" t="s">
        <v>513</v>
      </c>
      <c r="K58" s="1">
        <v>45251</v>
      </c>
      <c r="M58" s="1">
        <v>45252</v>
      </c>
      <c r="N58">
        <v>1</v>
      </c>
      <c r="O58">
        <v>1</v>
      </c>
      <c r="P58">
        <v>0</v>
      </c>
      <c r="Q58">
        <v>1</v>
      </c>
    </row>
    <row r="59" spans="1:17" x14ac:dyDescent="0.2">
      <c r="A59" t="s">
        <v>224</v>
      </c>
      <c r="B59" s="1">
        <v>43580</v>
      </c>
      <c r="C59" s="1">
        <v>43613</v>
      </c>
      <c r="D59" s="1">
        <v>43615</v>
      </c>
      <c r="E59" s="1">
        <v>43627</v>
      </c>
      <c r="F59" s="1">
        <v>43711</v>
      </c>
      <c r="G59" s="1">
        <v>43711</v>
      </c>
      <c r="H59" s="1">
        <v>43668</v>
      </c>
      <c r="I59" s="1">
        <v>43773</v>
      </c>
      <c r="J59" t="s">
        <v>513</v>
      </c>
      <c r="K59" s="1">
        <v>45609</v>
      </c>
      <c r="N59">
        <v>0</v>
      </c>
      <c r="O59">
        <v>0</v>
      </c>
      <c r="P59">
        <v>0</v>
      </c>
      <c r="Q59">
        <v>0</v>
      </c>
    </row>
    <row r="60" spans="1:17" x14ac:dyDescent="0.2">
      <c r="A60" t="s">
        <v>523</v>
      </c>
      <c r="B60" s="1">
        <v>43579</v>
      </c>
      <c r="C60" s="1">
        <v>43615</v>
      </c>
      <c r="D60" s="1">
        <v>43620</v>
      </c>
      <c r="E60" t="s">
        <v>513</v>
      </c>
      <c r="F60" t="s">
        <v>513</v>
      </c>
      <c r="G60" t="s">
        <v>513</v>
      </c>
      <c r="H60" t="s">
        <v>513</v>
      </c>
      <c r="I60" t="s">
        <v>513</v>
      </c>
      <c r="J60" t="s">
        <v>513</v>
      </c>
      <c r="K60" s="1">
        <v>43755</v>
      </c>
      <c r="M60" s="1">
        <v>43756</v>
      </c>
      <c r="N60">
        <v>1</v>
      </c>
      <c r="O60">
        <v>1</v>
      </c>
      <c r="Q60" t="s">
        <v>513</v>
      </c>
    </row>
    <row r="61" spans="1:17" x14ac:dyDescent="0.2">
      <c r="A61" t="s">
        <v>524</v>
      </c>
      <c r="B61" s="1">
        <v>43630</v>
      </c>
      <c r="C61" s="1">
        <v>43654</v>
      </c>
      <c r="D61" s="1">
        <v>43657</v>
      </c>
      <c r="E61" s="1">
        <v>43664</v>
      </c>
      <c r="F61" t="s">
        <v>513</v>
      </c>
      <c r="G61" t="s">
        <v>513</v>
      </c>
      <c r="H61" t="s">
        <v>513</v>
      </c>
      <c r="I61" t="s">
        <v>513</v>
      </c>
      <c r="J61" s="1">
        <v>43691</v>
      </c>
      <c r="K61" s="1">
        <v>44222</v>
      </c>
      <c r="N61">
        <v>0</v>
      </c>
      <c r="O61">
        <v>0</v>
      </c>
      <c r="P61">
        <v>0</v>
      </c>
    </row>
    <row r="62" spans="1:17" x14ac:dyDescent="0.2">
      <c r="A62" t="s">
        <v>234</v>
      </c>
      <c r="B62" s="1">
        <v>43721</v>
      </c>
      <c r="C62" s="1">
        <v>43774</v>
      </c>
      <c r="D62" s="1">
        <v>43795</v>
      </c>
      <c r="E62" s="1">
        <v>43802</v>
      </c>
      <c r="F62" s="1">
        <v>43837</v>
      </c>
      <c r="G62" s="1">
        <v>43880</v>
      </c>
      <c r="H62" s="1">
        <v>43830</v>
      </c>
      <c r="I62" s="1">
        <v>43925</v>
      </c>
      <c r="J62" t="s">
        <v>513</v>
      </c>
      <c r="K62" s="1">
        <v>45678</v>
      </c>
      <c r="N62">
        <v>0</v>
      </c>
      <c r="O62">
        <v>0</v>
      </c>
      <c r="P62">
        <v>1</v>
      </c>
      <c r="Q62">
        <v>0</v>
      </c>
    </row>
    <row r="63" spans="1:17" x14ac:dyDescent="0.2">
      <c r="A63" t="s">
        <v>525</v>
      </c>
      <c r="B63" s="1">
        <v>43865</v>
      </c>
      <c r="C63" s="1">
        <v>43899</v>
      </c>
      <c r="D63" s="1">
        <v>43906</v>
      </c>
      <c r="E63" s="1">
        <v>43921</v>
      </c>
      <c r="F63" s="1">
        <v>43962</v>
      </c>
      <c r="G63" s="1">
        <v>44001</v>
      </c>
      <c r="H63" s="1">
        <v>43955</v>
      </c>
      <c r="I63" s="1">
        <v>44063</v>
      </c>
      <c r="J63" t="s">
        <v>513</v>
      </c>
      <c r="K63" s="1">
        <v>44321</v>
      </c>
      <c r="L63" s="1">
        <v>44102</v>
      </c>
      <c r="N63">
        <v>1</v>
      </c>
      <c r="O63">
        <v>0</v>
      </c>
      <c r="P63">
        <v>2</v>
      </c>
      <c r="Q63">
        <v>1</v>
      </c>
    </row>
    <row r="64" spans="1:17" x14ac:dyDescent="0.2">
      <c r="A64" t="s">
        <v>241</v>
      </c>
      <c r="B64" s="1">
        <v>44054</v>
      </c>
      <c r="C64" s="1">
        <v>44063</v>
      </c>
      <c r="D64" s="1">
        <v>44067</v>
      </c>
      <c r="E64" s="1">
        <v>44074</v>
      </c>
      <c r="F64" s="1">
        <v>44109</v>
      </c>
      <c r="G64" s="1">
        <v>44154</v>
      </c>
      <c r="H64" s="1">
        <v>44102</v>
      </c>
      <c r="I64" s="1">
        <v>44217</v>
      </c>
      <c r="J64" t="s">
        <v>513</v>
      </c>
      <c r="K64" s="1">
        <v>45531</v>
      </c>
      <c r="N64">
        <v>0</v>
      </c>
      <c r="O64">
        <v>0</v>
      </c>
      <c r="P64">
        <v>1</v>
      </c>
      <c r="Q64">
        <v>0</v>
      </c>
    </row>
    <row r="65" spans="1:17" x14ac:dyDescent="0.2">
      <c r="A65" t="s">
        <v>526</v>
      </c>
      <c r="B65" s="1">
        <v>44106</v>
      </c>
      <c r="C65" s="1">
        <v>44127</v>
      </c>
      <c r="D65" s="1">
        <v>44132</v>
      </c>
      <c r="E65" s="1">
        <v>44142</v>
      </c>
      <c r="F65" t="s">
        <v>513</v>
      </c>
      <c r="G65" t="s">
        <v>513</v>
      </c>
      <c r="H65" t="s">
        <v>513</v>
      </c>
      <c r="I65" t="s">
        <v>513</v>
      </c>
      <c r="J65" s="1">
        <v>44172</v>
      </c>
      <c r="K65" s="1">
        <v>45588</v>
      </c>
      <c r="N65">
        <v>0</v>
      </c>
      <c r="O65">
        <v>0</v>
      </c>
    </row>
    <row r="66" spans="1:17" x14ac:dyDescent="0.2">
      <c r="A66" t="s">
        <v>487</v>
      </c>
      <c r="B66" s="1">
        <v>43327</v>
      </c>
      <c r="C66" s="1">
        <v>43350</v>
      </c>
      <c r="D66" s="1">
        <v>43361</v>
      </c>
      <c r="E66" s="1">
        <v>43368</v>
      </c>
      <c r="F66" s="1">
        <v>43418</v>
      </c>
      <c r="G66" s="1">
        <v>43475</v>
      </c>
      <c r="H66" s="1">
        <v>43411</v>
      </c>
      <c r="I66" s="1">
        <v>43516</v>
      </c>
      <c r="J66" t="s">
        <v>513</v>
      </c>
      <c r="K66" s="1">
        <v>43948</v>
      </c>
      <c r="L66" s="1">
        <v>43846</v>
      </c>
      <c r="M66" s="1">
        <v>43949</v>
      </c>
      <c r="N66">
        <v>1</v>
      </c>
      <c r="O66">
        <v>1</v>
      </c>
      <c r="P66">
        <v>2</v>
      </c>
      <c r="Q66">
        <v>1</v>
      </c>
    </row>
    <row r="67" spans="1:17" x14ac:dyDescent="0.2">
      <c r="A67" t="s">
        <v>492</v>
      </c>
      <c r="B67" s="1">
        <v>43341</v>
      </c>
      <c r="C67" s="1">
        <v>43357</v>
      </c>
      <c r="D67" s="1">
        <v>43374</v>
      </c>
      <c r="E67" s="1">
        <v>43381</v>
      </c>
      <c r="F67" s="1">
        <v>43411</v>
      </c>
      <c r="G67" s="1">
        <v>43453</v>
      </c>
      <c r="H67" s="1">
        <v>43404</v>
      </c>
      <c r="I67" s="1">
        <v>43509</v>
      </c>
      <c r="J67" t="s">
        <v>513</v>
      </c>
      <c r="K67" s="1">
        <v>45390</v>
      </c>
      <c r="N67">
        <v>0</v>
      </c>
      <c r="O67">
        <v>0</v>
      </c>
      <c r="P67">
        <v>0</v>
      </c>
      <c r="Q67">
        <v>1</v>
      </c>
    </row>
    <row r="68" spans="1:17" x14ac:dyDescent="0.2">
      <c r="A68" t="s">
        <v>245</v>
      </c>
      <c r="B68" s="1">
        <v>43473</v>
      </c>
      <c r="C68" s="1">
        <v>43490</v>
      </c>
      <c r="D68" s="1">
        <v>43496</v>
      </c>
      <c r="E68" s="1">
        <v>43508</v>
      </c>
      <c r="F68" s="1">
        <v>43550</v>
      </c>
      <c r="G68" s="1">
        <v>43588</v>
      </c>
      <c r="H68" s="1">
        <v>43542</v>
      </c>
      <c r="I68" s="1">
        <v>43647</v>
      </c>
      <c r="J68" t="s">
        <v>513</v>
      </c>
      <c r="K68" s="1">
        <v>45317</v>
      </c>
      <c r="N68">
        <v>0</v>
      </c>
      <c r="O68">
        <v>0</v>
      </c>
      <c r="P68">
        <v>1</v>
      </c>
      <c r="Q68">
        <v>1</v>
      </c>
    </row>
    <row r="69" spans="1:17" x14ac:dyDescent="0.2">
      <c r="A69" t="s">
        <v>253</v>
      </c>
      <c r="B69" s="1">
        <v>43405</v>
      </c>
      <c r="C69" s="1">
        <v>43525</v>
      </c>
      <c r="D69" s="1">
        <v>43537</v>
      </c>
      <c r="E69" s="1">
        <v>43552</v>
      </c>
      <c r="F69" s="1">
        <v>43591</v>
      </c>
      <c r="G69" s="1">
        <v>43636</v>
      </c>
      <c r="H69" s="1">
        <v>43584</v>
      </c>
      <c r="I69" s="1">
        <v>43689</v>
      </c>
      <c r="J69" t="s">
        <v>513</v>
      </c>
      <c r="K69" s="1">
        <v>44092</v>
      </c>
      <c r="L69" s="1">
        <v>43725</v>
      </c>
      <c r="M69" s="1">
        <v>44093</v>
      </c>
      <c r="N69">
        <v>1</v>
      </c>
      <c r="O69">
        <v>1</v>
      </c>
      <c r="P69">
        <v>1</v>
      </c>
      <c r="Q69">
        <v>0</v>
      </c>
    </row>
    <row r="70" spans="1:17" x14ac:dyDescent="0.2">
      <c r="A70" t="s">
        <v>264</v>
      </c>
      <c r="B70" s="1">
        <v>43510</v>
      </c>
      <c r="C70" s="1">
        <v>43532</v>
      </c>
      <c r="D70" s="1">
        <v>43542</v>
      </c>
      <c r="E70" s="1">
        <v>43549</v>
      </c>
      <c r="F70" s="1">
        <v>43593</v>
      </c>
      <c r="G70" s="1">
        <v>43636</v>
      </c>
      <c r="H70" s="1">
        <v>43586</v>
      </c>
      <c r="I70" s="1">
        <v>43691</v>
      </c>
      <c r="J70" t="s">
        <v>513</v>
      </c>
      <c r="K70" s="1">
        <v>43914</v>
      </c>
      <c r="L70" s="1">
        <v>43908</v>
      </c>
      <c r="M70" s="1">
        <v>43915</v>
      </c>
      <c r="N70">
        <v>1</v>
      </c>
      <c r="O70">
        <v>1</v>
      </c>
      <c r="P70">
        <v>0</v>
      </c>
      <c r="Q70">
        <v>0</v>
      </c>
    </row>
    <row r="71" spans="1:17" x14ac:dyDescent="0.2">
      <c r="A71" t="s">
        <v>527</v>
      </c>
      <c r="B71" s="1">
        <v>43692</v>
      </c>
      <c r="C71" s="1">
        <v>43712</v>
      </c>
      <c r="D71" s="1">
        <v>43717</v>
      </c>
      <c r="E71" s="1">
        <v>43726</v>
      </c>
      <c r="F71" s="1">
        <v>43758</v>
      </c>
      <c r="G71" s="1">
        <v>43812</v>
      </c>
      <c r="H71" s="1">
        <v>43761</v>
      </c>
      <c r="I71" s="1">
        <v>43864</v>
      </c>
      <c r="J71" t="s">
        <v>513</v>
      </c>
      <c r="K71" s="1">
        <v>44204</v>
      </c>
      <c r="L71" s="1">
        <v>43903</v>
      </c>
      <c r="M71" s="1">
        <v>44205</v>
      </c>
      <c r="N71">
        <v>1</v>
      </c>
      <c r="O71">
        <v>1</v>
      </c>
      <c r="P71">
        <v>0</v>
      </c>
      <c r="Q71">
        <v>0</v>
      </c>
    </row>
    <row r="72" spans="1:17" x14ac:dyDescent="0.2">
      <c r="A72" t="s">
        <v>272</v>
      </c>
      <c r="B72" s="1">
        <v>43740</v>
      </c>
      <c r="C72" s="1">
        <v>43766</v>
      </c>
      <c r="D72" s="1">
        <v>43770</v>
      </c>
      <c r="E72" s="1">
        <v>43780</v>
      </c>
      <c r="F72" s="1">
        <v>43817</v>
      </c>
      <c r="G72" s="1">
        <v>43864</v>
      </c>
      <c r="H72" s="1">
        <v>43810</v>
      </c>
      <c r="I72" s="1">
        <v>43915</v>
      </c>
      <c r="J72" t="s">
        <v>513</v>
      </c>
      <c r="K72" s="1">
        <v>45383</v>
      </c>
      <c r="N72">
        <v>0</v>
      </c>
      <c r="O72">
        <v>0</v>
      </c>
      <c r="P72">
        <v>1</v>
      </c>
      <c r="Q72">
        <v>1</v>
      </c>
    </row>
    <row r="73" spans="1:17" x14ac:dyDescent="0.2">
      <c r="A73" t="s">
        <v>282</v>
      </c>
      <c r="B73" s="1">
        <v>43759</v>
      </c>
      <c r="C73" s="1">
        <v>43780</v>
      </c>
      <c r="D73" s="1">
        <v>43784</v>
      </c>
      <c r="E73" s="1">
        <v>43794</v>
      </c>
      <c r="F73" s="1">
        <v>43871</v>
      </c>
      <c r="G73" s="1">
        <v>43875</v>
      </c>
      <c r="H73" s="1">
        <v>43829</v>
      </c>
      <c r="I73" s="1">
        <v>43934</v>
      </c>
      <c r="J73" t="s">
        <v>513</v>
      </c>
      <c r="K73" s="1">
        <v>45397</v>
      </c>
      <c r="N73">
        <v>0</v>
      </c>
      <c r="O73">
        <v>0</v>
      </c>
      <c r="P73">
        <v>0</v>
      </c>
      <c r="Q73">
        <v>0</v>
      </c>
    </row>
    <row r="74" spans="1:17" x14ac:dyDescent="0.2">
      <c r="A74" t="s">
        <v>289</v>
      </c>
      <c r="B74" s="1">
        <v>43515</v>
      </c>
      <c r="C74" s="1">
        <v>43558</v>
      </c>
      <c r="D74" s="1">
        <v>43587</v>
      </c>
      <c r="E74" s="1">
        <v>43601</v>
      </c>
      <c r="F74" s="1">
        <v>43640</v>
      </c>
      <c r="G74" s="1">
        <v>43672</v>
      </c>
      <c r="H74" s="1">
        <v>43628</v>
      </c>
      <c r="I74" s="1">
        <v>43740</v>
      </c>
      <c r="J74" t="s">
        <v>513</v>
      </c>
      <c r="K74" s="1">
        <v>45575</v>
      </c>
      <c r="N74">
        <v>0</v>
      </c>
      <c r="O74">
        <v>0</v>
      </c>
      <c r="P74">
        <v>1</v>
      </c>
      <c r="Q74">
        <v>0</v>
      </c>
    </row>
    <row r="75" spans="1:17" x14ac:dyDescent="0.2">
      <c r="A75" t="s">
        <v>298</v>
      </c>
      <c r="B75" s="1">
        <v>43565</v>
      </c>
      <c r="C75" s="1">
        <v>43601</v>
      </c>
      <c r="D75" s="1">
        <v>43615</v>
      </c>
      <c r="E75" s="1">
        <v>43626</v>
      </c>
      <c r="F75" s="1">
        <v>43661</v>
      </c>
      <c r="G75" s="1">
        <v>43697</v>
      </c>
      <c r="H75" s="1">
        <v>43657</v>
      </c>
      <c r="I75" s="1">
        <v>43760</v>
      </c>
      <c r="J75" t="s">
        <v>513</v>
      </c>
      <c r="K75" s="1">
        <v>44172</v>
      </c>
      <c r="M75" s="1">
        <v>44173</v>
      </c>
      <c r="N75">
        <v>1</v>
      </c>
      <c r="O75">
        <v>1</v>
      </c>
      <c r="P75">
        <v>1</v>
      </c>
      <c r="Q75">
        <v>0</v>
      </c>
    </row>
    <row r="76" spans="1:17" x14ac:dyDescent="0.2">
      <c r="A76" t="s">
        <v>528</v>
      </c>
      <c r="B76" s="1">
        <v>43600</v>
      </c>
      <c r="C76" s="1">
        <v>43633</v>
      </c>
      <c r="D76" s="1">
        <v>43640</v>
      </c>
      <c r="E76" s="1">
        <v>43646</v>
      </c>
      <c r="F76" s="1">
        <v>43689</v>
      </c>
      <c r="G76" s="1">
        <v>43728</v>
      </c>
      <c r="H76" s="1">
        <v>43682</v>
      </c>
      <c r="I76" s="1">
        <v>43790</v>
      </c>
      <c r="J76" t="s">
        <v>513</v>
      </c>
      <c r="K76" s="1">
        <v>45617</v>
      </c>
      <c r="N76">
        <v>0</v>
      </c>
      <c r="O76">
        <v>0</v>
      </c>
      <c r="P76">
        <v>1</v>
      </c>
      <c r="Q76">
        <v>0</v>
      </c>
    </row>
    <row r="77" spans="1:17" x14ac:dyDescent="0.2">
      <c r="A77" t="s">
        <v>309</v>
      </c>
      <c r="B77" s="1">
        <v>43608</v>
      </c>
      <c r="C77" s="1">
        <v>43647</v>
      </c>
      <c r="D77" s="1">
        <v>43663</v>
      </c>
      <c r="E77" s="1">
        <v>43684</v>
      </c>
      <c r="F77" s="1">
        <v>40430</v>
      </c>
      <c r="G77" s="1">
        <v>43754</v>
      </c>
      <c r="H77" s="1">
        <v>43711</v>
      </c>
      <c r="I77" s="1">
        <v>43816</v>
      </c>
      <c r="J77" t="s">
        <v>513</v>
      </c>
      <c r="K77" s="1">
        <v>45643</v>
      </c>
      <c r="N77">
        <v>0</v>
      </c>
      <c r="O77">
        <v>0</v>
      </c>
      <c r="P77">
        <v>1</v>
      </c>
      <c r="Q77">
        <v>1</v>
      </c>
    </row>
    <row r="78" spans="1:17" x14ac:dyDescent="0.2">
      <c r="A78" t="s">
        <v>317</v>
      </c>
      <c r="B78" s="1">
        <v>43635</v>
      </c>
      <c r="C78" s="1">
        <v>43670</v>
      </c>
      <c r="D78" s="1">
        <v>43683</v>
      </c>
      <c r="E78" s="1">
        <v>43704</v>
      </c>
      <c r="F78" s="1">
        <v>43746</v>
      </c>
      <c r="G78" s="1">
        <v>43784</v>
      </c>
      <c r="H78" s="1">
        <v>43738</v>
      </c>
      <c r="I78" s="1">
        <v>43843</v>
      </c>
      <c r="J78" t="s">
        <v>513</v>
      </c>
      <c r="K78" s="1">
        <v>45486</v>
      </c>
      <c r="N78">
        <v>0</v>
      </c>
      <c r="O78">
        <v>0</v>
      </c>
      <c r="P78">
        <v>1</v>
      </c>
      <c r="Q78">
        <v>0</v>
      </c>
    </row>
    <row r="79" spans="1:17" x14ac:dyDescent="0.2">
      <c r="A79" t="s">
        <v>529</v>
      </c>
      <c r="B79" s="1">
        <v>43657</v>
      </c>
      <c r="C79" s="1">
        <v>43686</v>
      </c>
      <c r="D79" s="1">
        <v>43707</v>
      </c>
      <c r="E79" s="1">
        <v>43718</v>
      </c>
      <c r="F79" t="s">
        <v>513</v>
      </c>
      <c r="G79" t="s">
        <v>513</v>
      </c>
      <c r="H79" t="s">
        <v>513</v>
      </c>
      <c r="I79" t="s">
        <v>513</v>
      </c>
      <c r="J79" s="1">
        <v>43787</v>
      </c>
      <c r="K79" s="1">
        <v>43718</v>
      </c>
      <c r="N79">
        <v>0</v>
      </c>
      <c r="O79">
        <v>0</v>
      </c>
      <c r="P79">
        <v>2</v>
      </c>
      <c r="Q79" t="s">
        <v>513</v>
      </c>
    </row>
    <row r="80" spans="1:17" x14ac:dyDescent="0.2">
      <c r="A80" t="s">
        <v>324</v>
      </c>
      <c r="B80" s="1">
        <v>43698</v>
      </c>
      <c r="C80" s="1">
        <v>43731</v>
      </c>
      <c r="D80" s="1">
        <v>43740</v>
      </c>
      <c r="E80" s="1">
        <v>43747</v>
      </c>
      <c r="F80" s="1">
        <v>43780</v>
      </c>
      <c r="G80" s="1">
        <v>43816</v>
      </c>
      <c r="H80" s="1">
        <v>43774</v>
      </c>
      <c r="I80" s="1">
        <v>43879</v>
      </c>
      <c r="J80" t="s">
        <v>513</v>
      </c>
      <c r="K80" s="1">
        <v>45522</v>
      </c>
      <c r="N80">
        <v>0</v>
      </c>
      <c r="O80">
        <v>0</v>
      </c>
      <c r="P80">
        <v>0</v>
      </c>
      <c r="Q80">
        <v>0</v>
      </c>
    </row>
    <row r="81" spans="1:17" x14ac:dyDescent="0.2">
      <c r="A81" t="s">
        <v>329</v>
      </c>
      <c r="B81" s="1">
        <v>43731</v>
      </c>
      <c r="C81" s="1">
        <v>43739</v>
      </c>
      <c r="D81" s="1">
        <v>43753</v>
      </c>
      <c r="E81" s="1">
        <v>43761</v>
      </c>
      <c r="F81" t="s">
        <v>513</v>
      </c>
      <c r="G81" t="s">
        <v>513</v>
      </c>
      <c r="H81" t="s">
        <v>513</v>
      </c>
      <c r="I81" t="s">
        <v>513</v>
      </c>
      <c r="J81" t="s">
        <v>513</v>
      </c>
      <c r="K81" s="1">
        <v>43761</v>
      </c>
      <c r="N81">
        <v>0</v>
      </c>
      <c r="O81">
        <v>0</v>
      </c>
      <c r="P81">
        <v>1</v>
      </c>
      <c r="Q81">
        <v>0</v>
      </c>
    </row>
    <row r="82" spans="1:17" x14ac:dyDescent="0.2">
      <c r="A82" t="s">
        <v>335</v>
      </c>
      <c r="B82" s="1">
        <v>43853</v>
      </c>
      <c r="C82" s="1">
        <v>43854</v>
      </c>
      <c r="D82" s="1">
        <v>43874</v>
      </c>
      <c r="E82" s="1">
        <v>43892</v>
      </c>
      <c r="F82" s="1">
        <v>43934</v>
      </c>
      <c r="G82" s="1">
        <v>43971</v>
      </c>
      <c r="H82" s="1">
        <v>43927</v>
      </c>
      <c r="I82" s="1">
        <v>44034</v>
      </c>
      <c r="J82" t="s">
        <v>513</v>
      </c>
      <c r="K82" s="1">
        <v>45495</v>
      </c>
      <c r="N82">
        <v>0</v>
      </c>
      <c r="O82">
        <v>0</v>
      </c>
      <c r="P82">
        <v>2</v>
      </c>
      <c r="Q82">
        <v>1</v>
      </c>
    </row>
    <row r="83" spans="1:17" x14ac:dyDescent="0.2">
      <c r="A83" t="s">
        <v>339</v>
      </c>
      <c r="B83" s="1">
        <v>43788</v>
      </c>
      <c r="C83" s="1">
        <v>43867</v>
      </c>
      <c r="D83" s="1">
        <v>43875</v>
      </c>
      <c r="E83" s="1">
        <v>43882</v>
      </c>
      <c r="F83" s="1">
        <v>43920</v>
      </c>
      <c r="G83" s="1">
        <v>43959</v>
      </c>
      <c r="H83" s="1">
        <v>43913</v>
      </c>
      <c r="I83" s="1">
        <v>44021</v>
      </c>
      <c r="J83" t="s">
        <v>513</v>
      </c>
      <c r="K83" s="1">
        <v>45482</v>
      </c>
      <c r="N83">
        <v>0</v>
      </c>
      <c r="O83">
        <v>0</v>
      </c>
      <c r="P83">
        <v>2</v>
      </c>
      <c r="Q83">
        <v>1</v>
      </c>
    </row>
    <row r="84" spans="1:17" x14ac:dyDescent="0.2">
      <c r="A84" t="s">
        <v>530</v>
      </c>
      <c r="B84" s="1">
        <v>43794</v>
      </c>
      <c r="C84" s="1">
        <v>43886</v>
      </c>
      <c r="D84" s="1">
        <v>43893</v>
      </c>
      <c r="E84" t="s">
        <v>513</v>
      </c>
      <c r="F84" t="s">
        <v>513</v>
      </c>
      <c r="G84" t="s">
        <v>513</v>
      </c>
      <c r="H84" t="s">
        <v>513</v>
      </c>
      <c r="I84" s="1">
        <v>43899</v>
      </c>
      <c r="J84" t="s">
        <v>513</v>
      </c>
      <c r="K84" s="1">
        <v>43893</v>
      </c>
      <c r="N84">
        <v>0</v>
      </c>
      <c r="O84">
        <v>0</v>
      </c>
      <c r="Q84" t="s">
        <v>513</v>
      </c>
    </row>
    <row r="85" spans="1:17" x14ac:dyDescent="0.2">
      <c r="A85" t="s">
        <v>531</v>
      </c>
      <c r="B85" s="1">
        <v>43872</v>
      </c>
      <c r="C85" s="1">
        <v>43900</v>
      </c>
      <c r="D85" s="1">
        <v>43915</v>
      </c>
      <c r="E85" s="1">
        <v>43922</v>
      </c>
      <c r="F85" s="1">
        <v>43962</v>
      </c>
      <c r="G85" s="1">
        <v>44001</v>
      </c>
      <c r="H85" s="1">
        <v>43950</v>
      </c>
      <c r="I85" s="1">
        <v>44062</v>
      </c>
      <c r="J85" t="s">
        <v>513</v>
      </c>
      <c r="K85" s="1">
        <v>45358</v>
      </c>
      <c r="M85" s="1">
        <v>45359</v>
      </c>
      <c r="N85">
        <v>1</v>
      </c>
      <c r="O85">
        <v>1</v>
      </c>
      <c r="P85">
        <v>0</v>
      </c>
      <c r="Q85">
        <v>0</v>
      </c>
    </row>
    <row r="86" spans="1:17" x14ac:dyDescent="0.2">
      <c r="A86" t="s">
        <v>532</v>
      </c>
      <c r="B86" s="1">
        <v>43850</v>
      </c>
      <c r="C86" s="1">
        <v>43903</v>
      </c>
      <c r="D86" s="1">
        <v>43913</v>
      </c>
      <c r="E86" s="1">
        <v>43920</v>
      </c>
      <c r="F86" s="1">
        <v>43963</v>
      </c>
      <c r="G86" s="1">
        <v>43997</v>
      </c>
      <c r="H86" s="1">
        <v>43952</v>
      </c>
      <c r="I86" s="1">
        <v>44033</v>
      </c>
      <c r="J86" t="s">
        <v>513</v>
      </c>
      <c r="K86" s="1">
        <v>45494</v>
      </c>
      <c r="N86">
        <v>0</v>
      </c>
      <c r="O86">
        <v>0</v>
      </c>
      <c r="P86">
        <v>1</v>
      </c>
      <c r="Q86">
        <v>0</v>
      </c>
    </row>
    <row r="87" spans="1:17" x14ac:dyDescent="0.2">
      <c r="A87" t="s">
        <v>345</v>
      </c>
      <c r="B87" s="1">
        <v>44008</v>
      </c>
      <c r="C87" s="1">
        <v>44022</v>
      </c>
      <c r="D87" s="1">
        <v>44033</v>
      </c>
      <c r="E87" s="1">
        <v>44040</v>
      </c>
      <c r="F87" s="1">
        <v>44082</v>
      </c>
      <c r="G87" s="1">
        <v>44120</v>
      </c>
      <c r="H87" s="1">
        <v>44074</v>
      </c>
      <c r="I87" s="1">
        <v>44179</v>
      </c>
      <c r="J87" t="s">
        <v>513</v>
      </c>
      <c r="K87" s="1">
        <v>45630</v>
      </c>
      <c r="L87" s="1">
        <v>44259</v>
      </c>
      <c r="N87">
        <v>1</v>
      </c>
      <c r="O87">
        <v>0</v>
      </c>
      <c r="P87">
        <v>0</v>
      </c>
      <c r="Q87">
        <v>0</v>
      </c>
    </row>
    <row r="88" spans="1:17" x14ac:dyDescent="0.2">
      <c r="A88" t="s">
        <v>350</v>
      </c>
      <c r="B88" s="1">
        <v>43985</v>
      </c>
      <c r="C88" s="1">
        <v>44036</v>
      </c>
      <c r="D88" s="1">
        <v>44041</v>
      </c>
      <c r="E88" s="1">
        <v>44048</v>
      </c>
      <c r="F88" t="s">
        <v>513</v>
      </c>
      <c r="G88" t="s">
        <v>513</v>
      </c>
      <c r="H88" s="1">
        <v>44109</v>
      </c>
      <c r="I88" s="1">
        <v>44224</v>
      </c>
      <c r="J88" t="s">
        <v>513</v>
      </c>
      <c r="K88" s="1">
        <v>45501</v>
      </c>
      <c r="N88">
        <v>0</v>
      </c>
      <c r="O88">
        <v>0</v>
      </c>
      <c r="P88">
        <v>2</v>
      </c>
      <c r="Q88">
        <v>0</v>
      </c>
    </row>
    <row r="89" spans="1:17" x14ac:dyDescent="0.2">
      <c r="A89" t="s">
        <v>533</v>
      </c>
      <c r="B89" s="1">
        <v>44053</v>
      </c>
      <c r="C89" s="1">
        <v>44057</v>
      </c>
      <c r="D89" s="1">
        <v>44069</v>
      </c>
      <c r="E89" s="1">
        <v>44085</v>
      </c>
      <c r="F89" t="s">
        <v>513</v>
      </c>
      <c r="G89" t="s">
        <v>513</v>
      </c>
      <c r="H89" t="s">
        <v>513</v>
      </c>
      <c r="I89" s="1">
        <v>44085</v>
      </c>
      <c r="J89" s="1">
        <v>44117</v>
      </c>
      <c r="K89" s="1">
        <v>44117</v>
      </c>
      <c r="N89">
        <v>0</v>
      </c>
      <c r="O89">
        <v>0</v>
      </c>
    </row>
    <row r="90" spans="1:17" x14ac:dyDescent="0.2">
      <c r="A90" t="s">
        <v>534</v>
      </c>
      <c r="B90" s="1">
        <v>43891</v>
      </c>
      <c r="C90" s="1">
        <v>44060</v>
      </c>
      <c r="D90" s="1">
        <v>44075</v>
      </c>
      <c r="E90" s="1">
        <v>44099</v>
      </c>
      <c r="F90" s="1">
        <v>44145</v>
      </c>
      <c r="G90" s="1">
        <v>44174</v>
      </c>
      <c r="H90" s="1">
        <v>44138</v>
      </c>
      <c r="I90" t="s">
        <v>535</v>
      </c>
      <c r="J90" t="s">
        <v>513</v>
      </c>
      <c r="K90" s="1">
        <v>45490</v>
      </c>
      <c r="N90">
        <v>0</v>
      </c>
      <c r="O90">
        <v>0</v>
      </c>
      <c r="P90">
        <v>2</v>
      </c>
      <c r="Q90">
        <v>0</v>
      </c>
    </row>
    <row r="91" spans="1:17" x14ac:dyDescent="0.2">
      <c r="A91" t="s">
        <v>536</v>
      </c>
      <c r="B91" s="1">
        <v>44088</v>
      </c>
      <c r="C91" s="1">
        <v>44096</v>
      </c>
      <c r="D91" s="1">
        <v>44110</v>
      </c>
      <c r="E91" t="s">
        <v>513</v>
      </c>
      <c r="F91" t="s">
        <v>513</v>
      </c>
      <c r="G91" t="s">
        <v>513</v>
      </c>
      <c r="H91" t="s">
        <v>513</v>
      </c>
      <c r="I91" s="1">
        <v>44475</v>
      </c>
      <c r="J91" s="1">
        <v>44113</v>
      </c>
      <c r="K91" s="1">
        <v>44110</v>
      </c>
      <c r="N91">
        <v>0</v>
      </c>
      <c r="O91">
        <v>0</v>
      </c>
    </row>
    <row r="92" spans="1:17" x14ac:dyDescent="0.2">
      <c r="A92" t="s">
        <v>537</v>
      </c>
      <c r="B92" s="1">
        <v>44082</v>
      </c>
      <c r="C92" s="1">
        <v>44111</v>
      </c>
      <c r="D92" s="1">
        <v>44126</v>
      </c>
      <c r="E92" s="1">
        <v>44137</v>
      </c>
      <c r="F92" s="1">
        <v>44201</v>
      </c>
      <c r="G92" s="1">
        <v>44239</v>
      </c>
      <c r="H92" s="1">
        <v>44193</v>
      </c>
      <c r="I92" s="1">
        <v>44299</v>
      </c>
      <c r="J92" t="s">
        <v>513</v>
      </c>
      <c r="K92" s="1">
        <v>45579</v>
      </c>
      <c r="N92">
        <v>0</v>
      </c>
      <c r="O92">
        <v>0</v>
      </c>
      <c r="P92">
        <v>2</v>
      </c>
      <c r="Q92">
        <v>0</v>
      </c>
    </row>
    <row r="93" spans="1:17" x14ac:dyDescent="0.2">
      <c r="A93" t="s">
        <v>538</v>
      </c>
      <c r="B93" s="1">
        <v>44067</v>
      </c>
      <c r="C93" s="1">
        <v>44112</v>
      </c>
      <c r="D93" s="1">
        <v>44121</v>
      </c>
      <c r="E93" s="1">
        <v>44132</v>
      </c>
      <c r="F93" s="1">
        <v>44172</v>
      </c>
      <c r="G93" s="1">
        <v>44174</v>
      </c>
      <c r="H93" s="1">
        <v>44165</v>
      </c>
      <c r="I93" s="1">
        <v>44273</v>
      </c>
      <c r="J93" t="s">
        <v>513</v>
      </c>
      <c r="K93" s="1">
        <v>45369</v>
      </c>
      <c r="N93">
        <v>0</v>
      </c>
      <c r="O93">
        <v>0</v>
      </c>
      <c r="P93">
        <v>2</v>
      </c>
      <c r="Q9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RAW_HNSCC_METADATA_NEW_v11</vt:lpstr>
      <vt:lpstr>RAWMETADATALOOKUP_P1</vt:lpstr>
      <vt:lpstr>RAWMETADATALOOKUP_P2</vt:lpstr>
      <vt:lpstr>OLDSURVLOOKUP</vt:lpstr>
      <vt:lpstr>CFDNALOOKUP</vt:lpstr>
      <vt:lpstr>METADATALOOKUP</vt:lpstr>
      <vt:lpstr>IDSLOOKUP</vt:lpstr>
      <vt:lpstr>SURVLOOKUP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Ravi Bandaru</cp:lastModifiedBy>
  <dcterms:created xsi:type="dcterms:W3CDTF">2025-06-11T03:48:43Z</dcterms:created>
  <dcterms:modified xsi:type="dcterms:W3CDTF">2025-07-02T01:30:23Z</dcterms:modified>
</cp:coreProperties>
</file>