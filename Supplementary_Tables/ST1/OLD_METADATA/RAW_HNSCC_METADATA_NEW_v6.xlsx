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bandaru/Downloads/"/>
    </mc:Choice>
  </mc:AlternateContent>
  <xr:revisionPtr revIDLastSave="0" documentId="8_{95D2BA48-1CC1-5940-B7EF-DC003447E1F9}" xr6:coauthVersionLast="47" xr6:coauthVersionMax="47" xr10:uidLastSave="{00000000-0000-0000-0000-000000000000}"/>
  <bookViews>
    <workbookView xWindow="0" yWindow="500" windowWidth="51200" windowHeight="26600" xr2:uid="{F489FEFC-59DD-E54E-B343-1F09ABA4EAB7}"/>
  </bookViews>
  <sheets>
    <sheet name="RAW_HNSCC_METADATA_NEW_v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0" i="1" l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2" i="1"/>
  <c r="W29" i="1"/>
  <c r="X142" i="1"/>
  <c r="X143" i="1"/>
  <c r="X144" i="1"/>
  <c r="X145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2" i="1"/>
  <c r="X183" i="1"/>
  <c r="X184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7" i="1"/>
  <c r="X108" i="1"/>
  <c r="X109" i="1"/>
  <c r="X110" i="1"/>
  <c r="X111" i="1"/>
  <c r="X112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5" i="1"/>
  <c r="X76" i="1"/>
  <c r="X77" i="1"/>
  <c r="X78" i="1"/>
  <c r="X79" i="1"/>
  <c r="X3" i="1"/>
  <c r="X4" i="1"/>
  <c r="X5" i="1"/>
  <c r="X6" i="1"/>
  <c r="X7" i="1"/>
  <c r="X8" i="1"/>
  <c r="X9" i="1"/>
  <c r="X10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2" i="1"/>
  <c r="W59" i="1"/>
  <c r="W60" i="1"/>
  <c r="W61" i="1"/>
  <c r="W65" i="1"/>
  <c r="W66" i="1"/>
  <c r="W67" i="1"/>
  <c r="W68" i="1"/>
  <c r="W69" i="1"/>
  <c r="W70" i="1"/>
  <c r="W71" i="1"/>
  <c r="W72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7" i="1"/>
  <c r="W108" i="1"/>
  <c r="W109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40" i="1"/>
  <c r="W141" i="1"/>
  <c r="W142" i="1"/>
  <c r="W143" i="1"/>
  <c r="W144" i="1"/>
  <c r="W145" i="1"/>
  <c r="W148" i="1"/>
  <c r="W149" i="1"/>
  <c r="W150" i="1"/>
  <c r="W151" i="1"/>
  <c r="W152" i="1"/>
  <c r="W153" i="1"/>
  <c r="W157" i="1"/>
  <c r="W158" i="1"/>
  <c r="W159" i="1"/>
  <c r="W160" i="1"/>
  <c r="W161" i="1"/>
  <c r="W162" i="1"/>
  <c r="W163" i="1"/>
  <c r="W164" i="1"/>
  <c r="W165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3" i="1"/>
  <c r="W4" i="1"/>
  <c r="W5" i="1"/>
  <c r="W6" i="1"/>
  <c r="W7" i="1"/>
  <c r="W8" i="1"/>
  <c r="W9" i="1"/>
  <c r="W10" i="1"/>
  <c r="W13" i="1"/>
  <c r="W14" i="1"/>
  <c r="W15" i="1"/>
  <c r="W16" i="1"/>
  <c r="W17" i="1"/>
  <c r="W18" i="1"/>
  <c r="W19" i="1"/>
  <c r="W20" i="1"/>
  <c r="W21" i="1"/>
  <c r="W22" i="1"/>
  <c r="W23" i="1"/>
  <c r="W30" i="1"/>
  <c r="W31" i="1"/>
  <c r="W32" i="1"/>
  <c r="W33" i="1"/>
  <c r="W34" i="1"/>
  <c r="W35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2" i="1"/>
  <c r="S2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2" i="1"/>
  <c r="S50" i="1"/>
  <c r="S51" i="1"/>
  <c r="S52" i="1"/>
  <c r="S53" i="1"/>
  <c r="S54" i="1"/>
  <c r="S55" i="1"/>
  <c r="S56" i="1"/>
  <c r="S57" i="1"/>
  <c r="S58" i="1"/>
  <c r="S59" i="1"/>
  <c r="S60" i="1"/>
  <c r="S61" i="1"/>
  <c r="S65" i="1"/>
  <c r="S66" i="1"/>
  <c r="S67" i="1"/>
  <c r="S68" i="1"/>
  <c r="S69" i="1"/>
  <c r="S70" i="1"/>
  <c r="S71" i="1"/>
  <c r="S72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40" i="1"/>
  <c r="S141" i="1"/>
  <c r="S142" i="1"/>
  <c r="S143" i="1"/>
  <c r="S144" i="1"/>
  <c r="S145" i="1"/>
  <c r="S148" i="1"/>
  <c r="S149" i="1"/>
  <c r="S150" i="1"/>
  <c r="S151" i="1"/>
  <c r="S152" i="1"/>
  <c r="S153" i="1"/>
  <c r="S157" i="1"/>
  <c r="S158" i="1"/>
  <c r="S159" i="1"/>
  <c r="S160" i="1"/>
  <c r="S161" i="1"/>
  <c r="S162" i="1"/>
  <c r="S163" i="1"/>
  <c r="S164" i="1"/>
  <c r="S165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9" i="1"/>
  <c r="S30" i="1"/>
  <c r="S31" i="1"/>
  <c r="S32" i="1"/>
  <c r="S33" i="1"/>
  <c r="S34" i="1"/>
  <c r="S35" i="1"/>
  <c r="S39" i="1"/>
  <c r="S40" i="1"/>
  <c r="S41" i="1"/>
  <c r="S42" i="1"/>
  <c r="S43" i="1"/>
  <c r="S44" i="1"/>
  <c r="S45" i="1"/>
  <c r="S46" i="1"/>
  <c r="S47" i="1"/>
  <c r="S48" i="1"/>
  <c r="S49" i="1"/>
</calcChain>
</file>

<file path=xl/sharedStrings.xml><?xml version="1.0" encoding="utf-8"?>
<sst xmlns="http://schemas.openxmlformats.org/spreadsheetml/2006/main" count="3388" uniqueCount="540">
  <si>
    <t>ID</t>
  </si>
  <si>
    <t>Type of Visit</t>
  </si>
  <si>
    <t>Diagnosis</t>
  </si>
  <si>
    <t>OGID</t>
  </si>
  <si>
    <t>cfDNA Isolation Date</t>
  </si>
  <si>
    <t>WGS Library Prep Date</t>
  </si>
  <si>
    <t>Date of Diagnosis</t>
  </si>
  <si>
    <t>Date of Consent</t>
  </si>
  <si>
    <t>Neoadj Pembro</t>
  </si>
  <si>
    <t>Surgery Date</t>
  </si>
  <si>
    <t>Radiation Start</t>
  </si>
  <si>
    <t>Radiation End</t>
  </si>
  <si>
    <t>Wk1 pembro</t>
  </si>
  <si>
    <t>Last known alive</t>
  </si>
  <si>
    <t>Date of Recurrence</t>
  </si>
  <si>
    <t>Date of Death</t>
  </si>
  <si>
    <t>E_Relapse</t>
  </si>
  <si>
    <t>E_Survival</t>
  </si>
  <si>
    <t>Pilot</t>
  </si>
  <si>
    <t>Batches</t>
  </si>
  <si>
    <t>Institute</t>
  </si>
  <si>
    <t>Physician Hold-Out</t>
  </si>
  <si>
    <t>Patient Number</t>
  </si>
  <si>
    <t>Age</t>
  </si>
  <si>
    <t>Gender</t>
  </si>
  <si>
    <t>Race</t>
  </si>
  <si>
    <t>Smoking</t>
  </si>
  <si>
    <t>Ethnicity</t>
  </si>
  <si>
    <t>Alcohol</t>
  </si>
  <si>
    <t>TNM</t>
  </si>
  <si>
    <t>Stratification</t>
  </si>
  <si>
    <t>HPV</t>
  </si>
  <si>
    <t>PDL1 IHC</t>
  </si>
  <si>
    <t>Response Rate Categorized</t>
  </si>
  <si>
    <t>Response Rate Real</t>
  </si>
  <si>
    <t>Treatment Sub-Response</t>
  </si>
  <si>
    <t>Treatment Response</t>
  </si>
  <si>
    <t>cfDNA Concentration (ng/uL)</t>
  </si>
  <si>
    <t>Plasma Collection Date</t>
  </si>
  <si>
    <t>cfDNA Volume (uL)</t>
  </si>
  <si>
    <t>Need Volume (uL)</t>
  </si>
  <si>
    <t>Add Low TE</t>
  </si>
  <si>
    <t>WGS library concentration (10cycles, ng/uL)</t>
  </si>
  <si>
    <t>Pool Volume</t>
  </si>
  <si>
    <t>Index</t>
  </si>
  <si>
    <t>i7</t>
  </si>
  <si>
    <t>i5</t>
  </si>
  <si>
    <t>Pilot2_3</t>
  </si>
  <si>
    <t>Screen</t>
  </si>
  <si>
    <t>Oral Cavity Tumor</t>
  </si>
  <si>
    <t>HN01-37</t>
  </si>
  <si>
    <t>2_1</t>
  </si>
  <si>
    <t>University of Cincinnati</t>
  </si>
  <si>
    <t>Female</t>
  </si>
  <si>
    <t>White</t>
  </si>
  <si>
    <t>Yes</t>
  </si>
  <si>
    <t>Non-Hispanic</t>
  </si>
  <si>
    <t>No</t>
  </si>
  <si>
    <t>T3N2cM0</t>
  </si>
  <si>
    <t>High</t>
  </si>
  <si>
    <t>Unknown</t>
  </si>
  <si>
    <t>&lt;10%</t>
  </si>
  <si>
    <t>None</t>
  </si>
  <si>
    <t>Non-Responder</t>
  </si>
  <si>
    <t>UDI0213</t>
  </si>
  <si>
    <t>AAGCAGAC</t>
  </si>
  <si>
    <t>GCTAAGAA</t>
  </si>
  <si>
    <t>Pilot2_4</t>
  </si>
  <si>
    <t>Day 0</t>
  </si>
  <si>
    <t>2_2</t>
  </si>
  <si>
    <t>UDI0267</t>
  </si>
  <si>
    <t>GCAAGACA</t>
  </si>
  <si>
    <t>GCATAGAC</t>
  </si>
  <si>
    <t>Pilot2_5</t>
  </si>
  <si>
    <t>Adj Wk 1</t>
  </si>
  <si>
    <t>UDI0254</t>
  </si>
  <si>
    <t>TCTCCGTG</t>
  </si>
  <si>
    <t>TGAATCGT</t>
  </si>
  <si>
    <t>Pilot2_6</t>
  </si>
  <si>
    <t>HN01-49</t>
  </si>
  <si>
    <t>Male</t>
  </si>
  <si>
    <t>T4aN2cM0</t>
  </si>
  <si>
    <t>10-20%</t>
  </si>
  <si>
    <t>UDI0277</t>
  </si>
  <si>
    <t>TATACATC</t>
  </si>
  <si>
    <t>AATCTGAA</t>
  </si>
  <si>
    <t>Pilot2_7</t>
  </si>
  <si>
    <t>UDI0207</t>
  </si>
  <si>
    <t>ACATGATA</t>
  </si>
  <si>
    <t>CGTAGATA</t>
  </si>
  <si>
    <t>Pilot2_8</t>
  </si>
  <si>
    <t>UDI0230</t>
  </si>
  <si>
    <t>GATGGAGT</t>
  </si>
  <si>
    <t>TTCCAGGC</t>
  </si>
  <si>
    <t>Pilot2_9</t>
  </si>
  <si>
    <t>HN01-50</t>
  </si>
  <si>
    <t>T4aN2bM0</t>
  </si>
  <si>
    <t>UDI0241</t>
  </si>
  <si>
    <t>ATATATAC</t>
  </si>
  <si>
    <t>AATGCTTG</t>
  </si>
  <si>
    <t>Pilot2_10</t>
  </si>
  <si>
    <t>UDI0266</t>
  </si>
  <si>
    <t>ATCGTGGA</t>
  </si>
  <si>
    <t>GGCCGTTG</t>
  </si>
  <si>
    <t>Pilot2_11</t>
  </si>
  <si>
    <t>Pilot2_12</t>
  </si>
  <si>
    <t>Larynx Tumor</t>
  </si>
  <si>
    <t>HN01-51</t>
  </si>
  <si>
    <t>T4aN0M0</t>
  </si>
  <si>
    <t>Intermediate</t>
  </si>
  <si>
    <t>UDI0265</t>
  </si>
  <si>
    <t>TATACCAT</t>
  </si>
  <si>
    <t>AATGCCAC</t>
  </si>
  <si>
    <t>Pilot2_13</t>
  </si>
  <si>
    <t>UDI0278</t>
  </si>
  <si>
    <t>ATCGTTAG</t>
  </si>
  <si>
    <t>TGCGAAGT</t>
  </si>
  <si>
    <t>Pilot2_14</t>
  </si>
  <si>
    <t>HN02-01</t>
  </si>
  <si>
    <t>Ohio State University</t>
  </si>
  <si>
    <t>cT4N2bM0</t>
  </si>
  <si>
    <t>Pilot2_15</t>
  </si>
  <si>
    <t>UDI0208</t>
  </si>
  <si>
    <t>TTGCCTCT</t>
  </si>
  <si>
    <t>TGCGGCTA</t>
  </si>
  <si>
    <t>Pilot2_16</t>
  </si>
  <si>
    <t>HN02-06</t>
  </si>
  <si>
    <t>T3NxMx</t>
  </si>
  <si>
    <t>UDI0247</t>
  </si>
  <si>
    <t>TCCTTGCG</t>
  </si>
  <si>
    <t>CGCATGTG</t>
  </si>
  <si>
    <t>Pilot2_17</t>
  </si>
  <si>
    <t>UDI0281</t>
  </si>
  <si>
    <t>TACTAACG</t>
  </si>
  <si>
    <t>CAAGTAAT</t>
  </si>
  <si>
    <t>Pilot2_18</t>
  </si>
  <si>
    <t>UDI0279</t>
  </si>
  <si>
    <t>GAATTACG</t>
  </si>
  <si>
    <t>CAAGGAGA</t>
  </si>
  <si>
    <t>Pilot2_19</t>
  </si>
  <si>
    <t>HN02-07</t>
  </si>
  <si>
    <t>T4N1Mx (Stage IVA)</t>
  </si>
  <si>
    <t>Minor</t>
  </si>
  <si>
    <t>Responder</t>
  </si>
  <si>
    <t>UDI0256</t>
  </si>
  <si>
    <t>TTGTAAGA</t>
  </si>
  <si>
    <t>GCTTGTGA</t>
  </si>
  <si>
    <t>Pilot2_20</t>
  </si>
  <si>
    <t>UDI0257</t>
  </si>
  <si>
    <t>GAATGTAA</t>
  </si>
  <si>
    <t>CTGGCACT</t>
  </si>
  <si>
    <t>Pilot2_21</t>
  </si>
  <si>
    <t>UDI0221</t>
  </si>
  <si>
    <t>AGCCACAG</t>
  </si>
  <si>
    <t>AGGAACCA</t>
  </si>
  <si>
    <t>Pilot2_22</t>
  </si>
  <si>
    <t>HN03-01</t>
  </si>
  <si>
    <t>Medical University of South Carolina</t>
  </si>
  <si>
    <t>cT4aN2bMx</t>
  </si>
  <si>
    <t>UDI0271</t>
  </si>
  <si>
    <t>AGTTCATA</t>
  </si>
  <si>
    <t>GGCCTTCA</t>
  </si>
  <si>
    <t>Pilot2_23</t>
  </si>
  <si>
    <t>UDI0211</t>
  </si>
  <si>
    <t>GTTGGTAG</t>
  </si>
  <si>
    <t>TGGAACAT</t>
  </si>
  <si>
    <t>Pilot2_24</t>
  </si>
  <si>
    <t>UDI0259</t>
  </si>
  <si>
    <t>GAACAATT</t>
  </si>
  <si>
    <t>CTTGGATT</t>
  </si>
  <si>
    <t>Pilot2_25</t>
  </si>
  <si>
    <t>HN03-03</t>
  </si>
  <si>
    <t>T4N2cMx</t>
  </si>
  <si>
    <t>UDI0268</t>
  </si>
  <si>
    <t>TACAGGCC</t>
  </si>
  <si>
    <t>CATTCGCC</t>
  </si>
  <si>
    <t>Pilot2_26</t>
  </si>
  <si>
    <t>UDI0246</t>
  </si>
  <si>
    <t>TACACTGG</t>
  </si>
  <si>
    <t>GCTCAATC</t>
  </si>
  <si>
    <t>Pilot2_27</t>
  </si>
  <si>
    <t>UDI0245</t>
  </si>
  <si>
    <t>AGGTCAAG</t>
  </si>
  <si>
    <t>CGCGTTAT</t>
  </si>
  <si>
    <t>Pilot2_28</t>
  </si>
  <si>
    <t>Hypopharynx Tumor</t>
  </si>
  <si>
    <t>HN03-04</t>
  </si>
  <si>
    <t>UDI0210</t>
  </si>
  <si>
    <t>ACATATGT</t>
  </si>
  <si>
    <t>GATCGCAG</t>
  </si>
  <si>
    <t>Pilot2_29</t>
  </si>
  <si>
    <t>UDI0198</t>
  </si>
  <si>
    <t>ACATCGGA</t>
  </si>
  <si>
    <t>GAAGTTGA</t>
  </si>
  <si>
    <t>Pilot2_30</t>
  </si>
  <si>
    <t>HN04-01</t>
  </si>
  <si>
    <t>University of Michigan</t>
  </si>
  <si>
    <t>cT4N2cM0</t>
  </si>
  <si>
    <t>UDI0233</t>
  </si>
  <si>
    <t>AGCAGAGA</t>
  </si>
  <si>
    <t>GCCATAAT</t>
  </si>
  <si>
    <t>Pilot2_31</t>
  </si>
  <si>
    <t>UDI0231</t>
  </si>
  <si>
    <t>TGATCTAA</t>
  </si>
  <si>
    <t>TTAACCTC</t>
  </si>
  <si>
    <t>Pilot2_34</t>
  </si>
  <si>
    <t>HN04-08</t>
  </si>
  <si>
    <t>pT3N0M0</t>
  </si>
  <si>
    <t>Pilot2_35</t>
  </si>
  <si>
    <t>UDI0232</t>
  </si>
  <si>
    <t>AGCTATAT</t>
  </si>
  <si>
    <t>CGTTAGGA</t>
  </si>
  <si>
    <t>Pilot2_36</t>
  </si>
  <si>
    <t>HN04-09</t>
  </si>
  <si>
    <t>T3N0M0</t>
  </si>
  <si>
    <t>UDI0223</t>
  </si>
  <si>
    <t>AGCGCTCG</t>
  </si>
  <si>
    <t>CGGCTTGT</t>
  </si>
  <si>
    <t>Pilot2_37</t>
  </si>
  <si>
    <t>UDI0218</t>
  </si>
  <si>
    <t>TATTGTCG</t>
  </si>
  <si>
    <t>TTCAATTC</t>
  </si>
  <si>
    <t>Pilot2_38</t>
  </si>
  <si>
    <t>UDI0220</t>
  </si>
  <si>
    <t>TATGGTTC</t>
  </si>
  <si>
    <t>CACCGGTA</t>
  </si>
  <si>
    <t>Pilot2_39</t>
  </si>
  <si>
    <t>HN04-10</t>
  </si>
  <si>
    <t>T4N2cM0</t>
  </si>
  <si>
    <t>UDI0197</t>
  </si>
  <si>
    <t>TTGATAAT</t>
  </si>
  <si>
    <t>GTGACCAT</t>
  </si>
  <si>
    <t>Pilot2_40</t>
  </si>
  <si>
    <t>Pilot2_41</t>
  </si>
  <si>
    <t>UDI0255</t>
  </si>
  <si>
    <t>TAATAGGA</t>
  </si>
  <si>
    <t>CTAACCAG</t>
  </si>
  <si>
    <t>Pilot2_42</t>
  </si>
  <si>
    <t>HN04-11</t>
  </si>
  <si>
    <t>UDI0234</t>
  </si>
  <si>
    <t>GACGTAAG</t>
  </si>
  <si>
    <t>GCCAAGCC</t>
  </si>
  <si>
    <t>Pilot2_43</t>
  </si>
  <si>
    <t>Pilot2_44</t>
  </si>
  <si>
    <t>UDI0219</t>
  </si>
  <si>
    <t>ACAATGCC</t>
  </si>
  <si>
    <t>CGTCCTTA</t>
  </si>
  <si>
    <t>Pilot2_45</t>
  </si>
  <si>
    <t>HN04-14</t>
  </si>
  <si>
    <t>T4aN1M0</t>
  </si>
  <si>
    <t>UDI0195</t>
  </si>
  <si>
    <t>GTTATTAT</t>
  </si>
  <si>
    <t>CGCTAAGC</t>
  </si>
  <si>
    <t>Pilot2_46</t>
  </si>
  <si>
    <t>Pilot2_47</t>
  </si>
  <si>
    <t>HN04-16</t>
  </si>
  <si>
    <t>cT3N2bM0</t>
  </si>
  <si>
    <t>Pilot2_48</t>
  </si>
  <si>
    <t>Pilot2_49</t>
  </si>
  <si>
    <t>HN05-03</t>
  </si>
  <si>
    <t>University of Louisville</t>
  </si>
  <si>
    <t>T3N1M0</t>
  </si>
  <si>
    <t>10-20% (20-30% fib)</t>
  </si>
  <si>
    <t>Pilot2_50</t>
  </si>
  <si>
    <t>UDI0209</t>
  </si>
  <si>
    <t>ACATTCTC</t>
  </si>
  <si>
    <t>ACAACTCT</t>
  </si>
  <si>
    <t>Pilot2_51</t>
  </si>
  <si>
    <t>HN05-05</t>
  </si>
  <si>
    <t>T4bN2bM0</t>
  </si>
  <si>
    <t>UDI0258</t>
  </si>
  <si>
    <t>AGTCAATT</t>
  </si>
  <si>
    <t>GCACGGTC</t>
  </si>
  <si>
    <t>Pilot2_52</t>
  </si>
  <si>
    <t>UDI0280</t>
  </si>
  <si>
    <t>AGTACTGC</t>
  </si>
  <si>
    <t>GGTCTTAG</t>
  </si>
  <si>
    <t>Pilot2_53</t>
  </si>
  <si>
    <t>Pilot2_54</t>
  </si>
  <si>
    <t>HN05-06</t>
  </si>
  <si>
    <t>T4aN2bMx</t>
  </si>
  <si>
    <t>Pilot2_55</t>
  </si>
  <si>
    <t>Pilot2_56</t>
  </si>
  <si>
    <t>UDI0199</t>
  </si>
  <si>
    <t>ACATCTAG</t>
  </si>
  <si>
    <t>CGCTACCG</t>
  </si>
  <si>
    <t>Pilot2_57</t>
  </si>
  <si>
    <t>HN05-09</t>
  </si>
  <si>
    <t>Pilot2_58</t>
  </si>
  <si>
    <t>UDI0196</t>
  </si>
  <si>
    <t>ACAGAAGC</t>
  </si>
  <si>
    <t>GTCATAGC</t>
  </si>
  <si>
    <t>Pilot2_59</t>
  </si>
  <si>
    <t>UDI0194</t>
  </si>
  <si>
    <t>TCGTACCG</t>
  </si>
  <si>
    <t>GGAAGTGG</t>
  </si>
  <si>
    <t>Pilot2_60</t>
  </si>
  <si>
    <t>HN05-11</t>
  </si>
  <si>
    <t>UDI0243</t>
  </si>
  <si>
    <t>AGGCAAGC</t>
  </si>
  <si>
    <t>CTCTGGAC</t>
  </si>
  <si>
    <t>Pilot2_61</t>
  </si>
  <si>
    <t>Pilot2_62</t>
  </si>
  <si>
    <t>Pilot2_63</t>
  </si>
  <si>
    <t>HN06-01</t>
  </si>
  <si>
    <t>MD Anderson</t>
  </si>
  <si>
    <t>UDI0282</t>
  </si>
  <si>
    <t>AGTATGTC</t>
  </si>
  <si>
    <t>GGTCAGTA</t>
  </si>
  <si>
    <t>Pilot2_64</t>
  </si>
  <si>
    <t>UDI0235</t>
  </si>
  <si>
    <t>AGGCCTGA</t>
  </si>
  <si>
    <t>CTCGGTCA</t>
  </si>
  <si>
    <t>Pilot2_65</t>
  </si>
  <si>
    <t>HN06-02</t>
  </si>
  <si>
    <t>10-15%</t>
  </si>
  <si>
    <t>UDI0270</t>
  </si>
  <si>
    <t>TCAATTAT</t>
  </si>
  <si>
    <t>CCTGAAGG</t>
  </si>
  <si>
    <t>Pilot2_66</t>
  </si>
  <si>
    <t>Pilot2_67</t>
  </si>
  <si>
    <t>UDI0284</t>
  </si>
  <si>
    <t>ATATAAGG</t>
  </si>
  <si>
    <t>GGTCATGT</t>
  </si>
  <si>
    <t>Pilot2_68</t>
  </si>
  <si>
    <t>HN06-04</t>
  </si>
  <si>
    <t>Major</t>
  </si>
  <si>
    <t>Pilot2_69</t>
  </si>
  <si>
    <t>Pilot2_70</t>
  </si>
  <si>
    <t>UDI0222</t>
  </si>
  <si>
    <t>GCTATCGA</t>
  </si>
  <si>
    <t>GATCTTCC</t>
  </si>
  <si>
    <t>Pilot2_71</t>
  </si>
  <si>
    <t>HN06-05</t>
  </si>
  <si>
    <t>T4N2bM0</t>
  </si>
  <si>
    <t>Pilot2_72</t>
  </si>
  <si>
    <t>UDI0269</t>
  </si>
  <si>
    <t>AGTTCCGT</t>
  </si>
  <si>
    <t>GGCCGCGT</t>
  </si>
  <si>
    <t>Pilot2_75</t>
  </si>
  <si>
    <t>HN06-08</t>
  </si>
  <si>
    <t>T3N2b</t>
  </si>
  <si>
    <t>Pilot2_76</t>
  </si>
  <si>
    <t>Pilot2_77</t>
  </si>
  <si>
    <t>Pilot2_78</t>
  </si>
  <si>
    <t>HN06-09</t>
  </si>
  <si>
    <t>UDI0217</t>
  </si>
  <si>
    <t>ATAACAGA</t>
  </si>
  <si>
    <t>AATGGAAG</t>
  </si>
  <si>
    <t>Pilot2_79</t>
  </si>
  <si>
    <t>Pilot2_80</t>
  </si>
  <si>
    <t>HN06-13</t>
  </si>
  <si>
    <t>T1N2C</t>
  </si>
  <si>
    <t>Pilot2_81</t>
  </si>
  <si>
    <t>Pilot2_82</t>
  </si>
  <si>
    <t>HN06-14</t>
  </si>
  <si>
    <t>Native Hawaiian or Other Pacific Islander</t>
  </si>
  <si>
    <t>80-90%</t>
  </si>
  <si>
    <t>Pilot2_83</t>
  </si>
  <si>
    <t>Pilot2_86</t>
  </si>
  <si>
    <t>Oropharynx Tumor</t>
  </si>
  <si>
    <t>HN06-18</t>
  </si>
  <si>
    <t>T4bN3</t>
  </si>
  <si>
    <t>Pilot2_87</t>
  </si>
  <si>
    <t>Pilot2_88</t>
  </si>
  <si>
    <t>Pilot2_89</t>
  </si>
  <si>
    <t>HN06-19</t>
  </si>
  <si>
    <t>Pilot2_90</t>
  </si>
  <si>
    <t>Pilot_196</t>
  </si>
  <si>
    <t>HN01-02</t>
  </si>
  <si>
    <t>1_2</t>
  </si>
  <si>
    <t>T3N2bM0</t>
  </si>
  <si>
    <t>Pilot_197</t>
  </si>
  <si>
    <t>1_5</t>
  </si>
  <si>
    <t>Pilot_198</t>
  </si>
  <si>
    <t>1_6</t>
  </si>
  <si>
    <t>Pilot_199</t>
  </si>
  <si>
    <t>HN01-04</t>
  </si>
  <si>
    <t>70-80%</t>
  </si>
  <si>
    <t>Pilot_200</t>
  </si>
  <si>
    <t>Pilot_201</t>
  </si>
  <si>
    <t>Pilot_202</t>
  </si>
  <si>
    <t>HN01-06</t>
  </si>
  <si>
    <t>Pilot_203</t>
  </si>
  <si>
    <t>Pilot_204</t>
  </si>
  <si>
    <t>1_1</t>
  </si>
  <si>
    <t>Pilot_205</t>
  </si>
  <si>
    <t>HN01-10</t>
  </si>
  <si>
    <t>20-30%</t>
  </si>
  <si>
    <t>Pilot_206</t>
  </si>
  <si>
    <t>Pilot_207</t>
  </si>
  <si>
    <t>Pilot_208</t>
  </si>
  <si>
    <t>HN01-11</t>
  </si>
  <si>
    <t>TxN2bM0</t>
  </si>
  <si>
    <t>Pilot_209</t>
  </si>
  <si>
    <t>Pilot_210</t>
  </si>
  <si>
    <t>1_4</t>
  </si>
  <si>
    <t>Pilot_211</t>
  </si>
  <si>
    <t>HN01-12</t>
  </si>
  <si>
    <t>T1N2cM0</t>
  </si>
  <si>
    <t>Pilot_212</t>
  </si>
  <si>
    <t>Pilot_213</t>
  </si>
  <si>
    <t>Pilot_214</t>
  </si>
  <si>
    <t>HN01-14</t>
  </si>
  <si>
    <t>T2N2bM0</t>
  </si>
  <si>
    <t>90-100%</t>
  </si>
  <si>
    <t>Pilot_215</t>
  </si>
  <si>
    <t>1_3</t>
  </si>
  <si>
    <t>Pilot_216</t>
  </si>
  <si>
    <t>Pilot_217</t>
  </si>
  <si>
    <t>HN01-15</t>
  </si>
  <si>
    <t>Pilot_218</t>
  </si>
  <si>
    <t>Pilot_219</t>
  </si>
  <si>
    <t>HN01-17</t>
  </si>
  <si>
    <t>40-50%</t>
  </si>
  <si>
    <t>Pilot_220</t>
  </si>
  <si>
    <t>Pilot_221</t>
  </si>
  <si>
    <t>Pilot_222</t>
  </si>
  <si>
    <t>HN01-19</t>
  </si>
  <si>
    <t>Pilot_223</t>
  </si>
  <si>
    <t>Pilot_224</t>
  </si>
  <si>
    <t>Pilot_225</t>
  </si>
  <si>
    <t>HN01-24</t>
  </si>
  <si>
    <t>Pilot_226</t>
  </si>
  <si>
    <t>Pilot_227</t>
  </si>
  <si>
    <t>Pilot_228</t>
  </si>
  <si>
    <t>HN01-29</t>
  </si>
  <si>
    <t>Pilot_229</t>
  </si>
  <si>
    <t>Pilot_230</t>
  </si>
  <si>
    <t>Pilot_231</t>
  </si>
  <si>
    <t>HN02-03</t>
  </si>
  <si>
    <t>95-100%</t>
  </si>
  <si>
    <t>Pilot_232</t>
  </si>
  <si>
    <t>Pilot_233</t>
  </si>
  <si>
    <t>Pilot_234</t>
  </si>
  <si>
    <t>HN01-01</t>
  </si>
  <si>
    <t>&lt; 10%</t>
  </si>
  <si>
    <t>Pilot_235</t>
  </si>
  <si>
    <t>Pilot_236</t>
  </si>
  <si>
    <t>Pilot_237</t>
  </si>
  <si>
    <t>HN01-07</t>
  </si>
  <si>
    <t>Pilot_238</t>
  </si>
  <si>
    <t>Pilot_239</t>
  </si>
  <si>
    <t>Pilot_240</t>
  </si>
  <si>
    <t>HN01-13</t>
  </si>
  <si>
    <t>Pilot_241</t>
  </si>
  <si>
    <t>Pilot_242</t>
  </si>
  <si>
    <t>Pilot_243</t>
  </si>
  <si>
    <t>HN01-16</t>
  </si>
  <si>
    <t>Pilot_244</t>
  </si>
  <si>
    <t>Pilot_245</t>
  </si>
  <si>
    <t>Pilot_246</t>
  </si>
  <si>
    <t>HN01-18</t>
  </si>
  <si>
    <t>Pilot_247</t>
  </si>
  <si>
    <t>Pilot_248</t>
  </si>
  <si>
    <t>Pilot_249</t>
  </si>
  <si>
    <t>HN01-21</t>
  </si>
  <si>
    <t>Pilot_250</t>
  </si>
  <si>
    <t>Pilot_251</t>
  </si>
  <si>
    <t>Pilot_252</t>
  </si>
  <si>
    <t>HN01-22</t>
  </si>
  <si>
    <t>Hispanic</t>
  </si>
  <si>
    <t>Pilot_253</t>
  </si>
  <si>
    <t>Pilot_254</t>
  </si>
  <si>
    <t>Pilot_255</t>
  </si>
  <si>
    <t>HN01-23</t>
  </si>
  <si>
    <t>Pilot_256</t>
  </si>
  <si>
    <t>Pilot_257</t>
  </si>
  <si>
    <t>Pilot_258</t>
  </si>
  <si>
    <t>HN01-26</t>
  </si>
  <si>
    <t>cT4aN2cM0</t>
  </si>
  <si>
    <t>Pilot_259</t>
  </si>
  <si>
    <t>Pilot_260</t>
  </si>
  <si>
    <t>HN01-28</t>
  </si>
  <si>
    <t>Pilot_261</t>
  </si>
  <si>
    <t>Pilot_262</t>
  </si>
  <si>
    <t>Pilot_263</t>
  </si>
  <si>
    <t>HN01-41</t>
  </si>
  <si>
    <t>Black or African American</t>
  </si>
  <si>
    <t>Pilot_264</t>
  </si>
  <si>
    <t>Pilot_265</t>
  </si>
  <si>
    <t>Pilot_266</t>
  </si>
  <si>
    <t>HN01-42</t>
  </si>
  <si>
    <t>&lt; 5%</t>
  </si>
  <si>
    <t>Pilot_267</t>
  </si>
  <si>
    <t>Pilot_268</t>
  </si>
  <si>
    <t>Pilot_269</t>
  </si>
  <si>
    <t>HN02-02</t>
  </si>
  <si>
    <t>Pilot_270</t>
  </si>
  <si>
    <t>Pilot_271</t>
  </si>
  <si>
    <t>Pilot_272</t>
  </si>
  <si>
    <t>HN02-05</t>
  </si>
  <si>
    <t>Pilot_273</t>
  </si>
  <si>
    <t>Pilot_274</t>
  </si>
  <si>
    <t>Pilot_275</t>
  </si>
  <si>
    <t>HN04-02</t>
  </si>
  <si>
    <t>T4a N0 M0</t>
  </si>
  <si>
    <t>Pilot_276</t>
  </si>
  <si>
    <t>Pilot_277</t>
  </si>
  <si>
    <t>Pilot_278</t>
  </si>
  <si>
    <t>HN04-04</t>
  </si>
  <si>
    <t>Pilot_279</t>
  </si>
  <si>
    <t>Pilot_280</t>
  </si>
  <si>
    <t>HN04-05</t>
  </si>
  <si>
    <t>Pilot_281</t>
  </si>
  <si>
    <t>Pilot_282</t>
  </si>
  <si>
    <t>Pilot_283</t>
  </si>
  <si>
    <t>HN04-07</t>
  </si>
  <si>
    <t>Pilot_284</t>
  </si>
  <si>
    <t>Pilot_285</t>
  </si>
  <si>
    <t>Pilot_286</t>
  </si>
  <si>
    <t>HN05-01</t>
  </si>
  <si>
    <t>60-70%</t>
  </si>
  <si>
    <t>Pilot_287</t>
  </si>
  <si>
    <t>Pilot_288</t>
  </si>
  <si>
    <t>Pilot_289</t>
  </si>
  <si>
    <t>HN05-02</t>
  </si>
  <si>
    <t>T3N2cMx</t>
  </si>
  <si>
    <t>Pilot_290</t>
  </si>
  <si>
    <t>Pilot_291</t>
  </si>
  <si>
    <t>Pilot_292</t>
  </si>
  <si>
    <t>HN01-31</t>
  </si>
  <si>
    <t>Pilot_293</t>
  </si>
  <si>
    <t>Pilot_294</t>
  </si>
  <si>
    <t>HN01-36</t>
  </si>
  <si>
    <t>cT2N2bM0</t>
  </si>
  <si>
    <t>Pilot_295</t>
  </si>
  <si>
    <t>Pilot_296</t>
  </si>
  <si>
    <t>Pilot_297</t>
  </si>
  <si>
    <t>HN01-39</t>
  </si>
  <si>
    <t>Pilot_298</t>
  </si>
  <si>
    <t>Relapse Months (Surgery)</t>
  </si>
  <si>
    <t>Survival Months (Surgery)</t>
  </si>
  <si>
    <t>Relapse Months (Surgery, Imputed)</t>
  </si>
  <si>
    <t>Survival Months (Surgery, Imputed)</t>
  </si>
  <si>
    <t>Relapse Months (Adjuvant)</t>
  </si>
  <si>
    <t>Survival Months (Adjuvant)</t>
  </si>
  <si>
    <t>Relapse Months (Adjuvant, Imputed)</t>
  </si>
  <si>
    <t>Survival Months (Adjuvant, Imputed)</t>
  </si>
  <si>
    <t>Treatment Response Survival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</si>
</sst>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A0B4-2A33-584C-B3C3-07E2FB898861}">
  <dimension ref="A1:BD186"/>
  <sheetViews>
    <sheetView tabSelected="1" topLeftCell="U1" workbookViewId="0">
      <selection activeCell="X26" sqref="X26"/>
    </sheetView>
  </sheetViews>
  <sheetFormatPr baseColWidth="10" defaultRowHeight="16" x14ac:dyDescent="0.2"/>
  <cols>
    <col min="19" max="19" width="23" customWidth="1"/>
    <col min="20" max="20" width="22.6640625" customWidth="1"/>
    <col min="21" max="21" width="31" customWidth="1"/>
    <col min="22" max="22" width="30.83203125" customWidth="1"/>
    <col min="23" max="23" width="25.33203125" customWidth="1"/>
    <col min="24" max="24" width="26.1640625" customWidth="1"/>
    <col min="25" max="25" width="35" customWidth="1"/>
    <col min="26" max="26" width="31.33203125" customWidth="1"/>
    <col min="42" max="43" width="18.83203125" customWidth="1"/>
    <col min="46" max="46" width="38.83203125" customWidth="1"/>
  </cols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531</v>
      </c>
      <c r="T1" t="s">
        <v>532</v>
      </c>
      <c r="U1" t="s">
        <v>533</v>
      </c>
      <c r="V1" t="s">
        <v>534</v>
      </c>
      <c r="W1" t="s">
        <v>535</v>
      </c>
      <c r="X1" t="s">
        <v>536</v>
      </c>
      <c r="Y1" t="s">
        <v>537</v>
      </c>
      <c r="Z1" t="s">
        <v>538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539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</row>
    <row r="2" spans="1:56" x14ac:dyDescent="0.2">
      <c r="A2" t="s">
        <v>47</v>
      </c>
      <c r="B2" t="s">
        <v>48</v>
      </c>
      <c r="C2" t="s">
        <v>49</v>
      </c>
      <c r="D2" t="s">
        <v>50</v>
      </c>
      <c r="E2" s="1">
        <v>44090</v>
      </c>
      <c r="F2" s="1">
        <v>44179</v>
      </c>
      <c r="G2" s="1">
        <v>43514</v>
      </c>
      <c r="H2" s="1">
        <v>43531</v>
      </c>
      <c r="I2" s="1">
        <v>43535</v>
      </c>
      <c r="J2" s="1">
        <v>43542</v>
      </c>
      <c r="K2" s="1">
        <v>43586</v>
      </c>
      <c r="L2" s="1">
        <v>43628</v>
      </c>
      <c r="M2" s="1">
        <v>43581</v>
      </c>
      <c r="N2" s="1">
        <v>44130</v>
      </c>
      <c r="O2" s="1">
        <v>43899</v>
      </c>
      <c r="P2" s="1">
        <v>44131</v>
      </c>
      <c r="Q2">
        <v>1</v>
      </c>
      <c r="R2">
        <v>1</v>
      </c>
      <c r="S2">
        <f>IF(Q2=0, DATEDIF(J2,N2,"M")+DATEDIF(J2,N2,"MD")/DAY(EOMONTH(J2,0)), DATEDIF(J2,O2,"M")+DATEDIF(J2,O2,"MD")/DAY(EOMONTH(J2,0)))</f>
        <v>11.64516129032258</v>
      </c>
      <c r="T2">
        <f>IF(R2=0, DATEDIF(J2,N2,"M")+DATEDIF(J2,N2,"MD")/DAY(EOMONTH(J2,0)), DATEDIF(J2,P2,"M")+DATEDIF(J2,P2,"MD")/DAY(EOMONTH(J2,0)))</f>
        <v>19.29032258064516</v>
      </c>
      <c r="U2" s="2">
        <v>11.645161290000001</v>
      </c>
      <c r="V2" s="2">
        <v>19.290322580000002</v>
      </c>
      <c r="W2">
        <f>IF(Q2=0, DATEDIF(M2,N2,"M")+DATEDIF(M2,N2,"MD")/DAY(EOMONTH(M2,0)), DATEDIF(M2,O2,"M")+DATEDIF(M2,O2,"MD")/DAY(EOMONTH(M2,0)))</f>
        <v>10.4</v>
      </c>
      <c r="X2">
        <f>IF(R2=0, DATEDIF(M2,N2,"M")+DATEDIF(M2,N2,"MD")/DAY(EOMONTH(M2,0)), DATEDIF(M2,P2,"M")+DATEDIF(M2,P2,"MD")/DAY(EOMONTH(M2,0)))</f>
        <v>18.033333333333335</v>
      </c>
      <c r="Y2" s="2">
        <v>10.4</v>
      </c>
      <c r="Z2" s="2">
        <v>18.033333330000001</v>
      </c>
      <c r="AA2">
        <v>2</v>
      </c>
      <c r="AB2" t="s">
        <v>51</v>
      </c>
      <c r="AC2" t="s">
        <v>52</v>
      </c>
      <c r="AD2">
        <v>0</v>
      </c>
      <c r="AE2">
        <v>1</v>
      </c>
      <c r="AF2">
        <v>44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  <c r="AL2" t="s">
        <v>58</v>
      </c>
      <c r="AM2" t="s">
        <v>59</v>
      </c>
      <c r="AN2" t="s">
        <v>60</v>
      </c>
      <c r="AO2">
        <v>1</v>
      </c>
      <c r="AP2">
        <v>0</v>
      </c>
      <c r="AQ2" t="str">
        <f>IF(AP2=0, "Non-Responder", "Responder")</f>
        <v>Non-Responder</v>
      </c>
      <c r="AR2" t="s">
        <v>61</v>
      </c>
      <c r="AS2" t="s">
        <v>62</v>
      </c>
      <c r="AT2" t="s">
        <v>63</v>
      </c>
      <c r="AU2">
        <v>0.05</v>
      </c>
      <c r="AW2">
        <v>24</v>
      </c>
      <c r="AX2">
        <v>15</v>
      </c>
      <c r="AY2">
        <v>35</v>
      </c>
      <c r="AZ2">
        <v>16.600000000000001</v>
      </c>
      <c r="BA2">
        <v>1.506024</v>
      </c>
      <c r="BB2" t="s">
        <v>64</v>
      </c>
      <c r="BC2" t="s">
        <v>65</v>
      </c>
      <c r="BD2" t="s">
        <v>66</v>
      </c>
    </row>
    <row r="3" spans="1:56" x14ac:dyDescent="0.2">
      <c r="A3" t="s">
        <v>67</v>
      </c>
      <c r="B3" t="s">
        <v>68</v>
      </c>
      <c r="C3" t="s">
        <v>49</v>
      </c>
      <c r="D3" t="s">
        <v>50</v>
      </c>
      <c r="E3" s="1">
        <v>44090</v>
      </c>
      <c r="F3" s="1">
        <v>44180</v>
      </c>
      <c r="G3" s="1">
        <v>43514</v>
      </c>
      <c r="H3" s="1">
        <v>43531</v>
      </c>
      <c r="I3" s="1">
        <v>43535</v>
      </c>
      <c r="J3" s="1">
        <v>43542</v>
      </c>
      <c r="K3" s="1">
        <v>43586</v>
      </c>
      <c r="L3" s="1">
        <v>43628</v>
      </c>
      <c r="M3" s="1">
        <v>43581</v>
      </c>
      <c r="N3" s="1">
        <v>44130</v>
      </c>
      <c r="O3" s="1">
        <v>43899</v>
      </c>
      <c r="P3" s="1">
        <v>44131</v>
      </c>
      <c r="Q3">
        <v>1</v>
      </c>
      <c r="R3">
        <v>1</v>
      </c>
      <c r="S3">
        <f t="shared" ref="S3:S66" si="0">IF(Q3=0, DATEDIF(J3,N3,"M")+DATEDIF(J3,N3,"MD")/DAY(EOMONTH(J3,0)), DATEDIF(J3,O3,"M")+DATEDIF(J3,O3,"MD")/DAY(EOMONTH(J3,0)))</f>
        <v>11.64516129032258</v>
      </c>
      <c r="T3">
        <f t="shared" ref="T3:T66" si="1">IF(R3=0, DATEDIF(J3,N3,"M")+DATEDIF(J3,N3,"MD")/DAY(EOMONTH(J3,0)), DATEDIF(J3,P3,"M")+DATEDIF(J3,P3,"MD")/DAY(EOMONTH(J3,0)))</f>
        <v>19.29032258064516</v>
      </c>
      <c r="U3" s="2">
        <v>11.645161290000001</v>
      </c>
      <c r="V3" s="2">
        <v>19.290322580000002</v>
      </c>
      <c r="W3">
        <f t="shared" ref="W3:W66" si="2">IF(Q3=0, DATEDIF(M3,N3,"M")+DATEDIF(M3,N3,"MD")/DAY(EOMONTH(M3,0)), DATEDIF(M3,O3,"M")+DATEDIF(M3,O3,"MD")/DAY(EOMONTH(M3,0)))</f>
        <v>10.4</v>
      </c>
      <c r="X3">
        <f t="shared" ref="X3:X66" si="3">IF(R3=0, DATEDIF(M3,N3,"M")+DATEDIF(M3,N3,"MD")/DAY(EOMONTH(M3,0)), DATEDIF(M3,P3,"M")+DATEDIF(M3,P3,"MD")/DAY(EOMONTH(M3,0)))</f>
        <v>18.033333333333335</v>
      </c>
      <c r="Y3" s="2">
        <v>10.4</v>
      </c>
      <c r="Z3" s="2">
        <v>18.033333330000001</v>
      </c>
      <c r="AA3">
        <v>2</v>
      </c>
      <c r="AB3" t="s">
        <v>69</v>
      </c>
      <c r="AC3" t="s">
        <v>52</v>
      </c>
      <c r="AD3">
        <v>0</v>
      </c>
      <c r="AE3">
        <v>1</v>
      </c>
      <c r="AF3">
        <v>44</v>
      </c>
      <c r="AG3" t="s">
        <v>53</v>
      </c>
      <c r="AH3" t="s">
        <v>54</v>
      </c>
      <c r="AI3" t="s">
        <v>55</v>
      </c>
      <c r="AJ3" t="s">
        <v>56</v>
      </c>
      <c r="AK3" t="s">
        <v>57</v>
      </c>
      <c r="AL3" t="s">
        <v>58</v>
      </c>
      <c r="AM3" t="s">
        <v>59</v>
      </c>
      <c r="AN3" t="s">
        <v>60</v>
      </c>
      <c r="AO3">
        <v>1</v>
      </c>
      <c r="AP3">
        <v>0</v>
      </c>
      <c r="AQ3" t="str">
        <f t="shared" ref="AQ3:AQ66" si="4">IF(AP3=0, "Non-Responder", "Responder")</f>
        <v>Non-Responder</v>
      </c>
      <c r="AR3" t="s">
        <v>61</v>
      </c>
      <c r="AS3" t="s">
        <v>62</v>
      </c>
      <c r="AT3" t="s">
        <v>63</v>
      </c>
      <c r="AU3">
        <v>0.46400000000000002</v>
      </c>
      <c r="AW3">
        <v>24</v>
      </c>
      <c r="AX3">
        <v>2.1551719999999999</v>
      </c>
      <c r="AY3">
        <v>47.844830000000002</v>
      </c>
      <c r="AZ3">
        <v>11</v>
      </c>
      <c r="BA3">
        <v>2.2727270000000002</v>
      </c>
      <c r="BB3" t="s">
        <v>70</v>
      </c>
      <c r="BC3" t="s">
        <v>71</v>
      </c>
      <c r="BD3" t="s">
        <v>72</v>
      </c>
    </row>
    <row r="4" spans="1:56" x14ac:dyDescent="0.2">
      <c r="A4" t="s">
        <v>73</v>
      </c>
      <c r="B4" t="s">
        <v>74</v>
      </c>
      <c r="C4" t="s">
        <v>49</v>
      </c>
      <c r="D4" t="s">
        <v>50</v>
      </c>
      <c r="E4" s="1">
        <v>44090</v>
      </c>
      <c r="F4" s="1">
        <v>44179</v>
      </c>
      <c r="G4" s="1">
        <v>43514</v>
      </c>
      <c r="H4" s="1">
        <v>43531</v>
      </c>
      <c r="I4" s="1">
        <v>43535</v>
      </c>
      <c r="J4" s="1">
        <v>43542</v>
      </c>
      <c r="K4" s="1">
        <v>43586</v>
      </c>
      <c r="L4" s="1">
        <v>43628</v>
      </c>
      <c r="M4" s="1">
        <v>43581</v>
      </c>
      <c r="N4" s="1">
        <v>44130</v>
      </c>
      <c r="O4" s="1">
        <v>43899</v>
      </c>
      <c r="P4" s="1">
        <v>44131</v>
      </c>
      <c r="Q4">
        <v>1</v>
      </c>
      <c r="R4">
        <v>1</v>
      </c>
      <c r="S4">
        <f t="shared" si="0"/>
        <v>11.64516129032258</v>
      </c>
      <c r="T4">
        <f t="shared" si="1"/>
        <v>19.29032258064516</v>
      </c>
      <c r="U4" s="2">
        <v>11.645161290000001</v>
      </c>
      <c r="V4" s="2">
        <v>19.290322580000002</v>
      </c>
      <c r="W4">
        <f t="shared" si="2"/>
        <v>10.4</v>
      </c>
      <c r="X4">
        <f t="shared" si="3"/>
        <v>18.033333333333335</v>
      </c>
      <c r="Y4" s="2">
        <v>10.4</v>
      </c>
      <c r="Z4" s="2">
        <v>18.033333330000001</v>
      </c>
      <c r="AA4">
        <v>2</v>
      </c>
      <c r="AB4" t="s">
        <v>51</v>
      </c>
      <c r="AC4" t="s">
        <v>52</v>
      </c>
      <c r="AD4">
        <v>0</v>
      </c>
      <c r="AE4">
        <v>1</v>
      </c>
      <c r="AF4">
        <v>44</v>
      </c>
      <c r="AG4" t="s">
        <v>53</v>
      </c>
      <c r="AH4" t="s">
        <v>54</v>
      </c>
      <c r="AI4" t="s">
        <v>55</v>
      </c>
      <c r="AJ4" t="s">
        <v>56</v>
      </c>
      <c r="AK4" t="s">
        <v>57</v>
      </c>
      <c r="AL4" t="s">
        <v>58</v>
      </c>
      <c r="AM4" t="s">
        <v>59</v>
      </c>
      <c r="AN4" t="s">
        <v>60</v>
      </c>
      <c r="AO4">
        <v>1</v>
      </c>
      <c r="AP4">
        <v>0</v>
      </c>
      <c r="AQ4" t="str">
        <f t="shared" si="4"/>
        <v>Non-Responder</v>
      </c>
      <c r="AR4" t="s">
        <v>61</v>
      </c>
      <c r="AS4" t="s">
        <v>62</v>
      </c>
      <c r="AT4" t="s">
        <v>63</v>
      </c>
      <c r="AU4">
        <v>0.2</v>
      </c>
      <c r="AW4">
        <v>24</v>
      </c>
      <c r="AX4">
        <v>5</v>
      </c>
      <c r="AY4">
        <v>45</v>
      </c>
      <c r="AZ4">
        <v>12.2</v>
      </c>
      <c r="BA4">
        <v>2.0491799999999998</v>
      </c>
      <c r="BB4" t="s">
        <v>75</v>
      </c>
      <c r="BC4" t="s">
        <v>76</v>
      </c>
      <c r="BD4" t="s">
        <v>77</v>
      </c>
    </row>
    <row r="5" spans="1:56" x14ac:dyDescent="0.2">
      <c r="A5" t="s">
        <v>78</v>
      </c>
      <c r="B5" t="s">
        <v>48</v>
      </c>
      <c r="C5" t="s">
        <v>49</v>
      </c>
      <c r="D5" t="s">
        <v>79</v>
      </c>
      <c r="E5" s="1">
        <v>44090</v>
      </c>
      <c r="F5" s="1">
        <v>44180</v>
      </c>
      <c r="G5" s="1">
        <v>43656</v>
      </c>
      <c r="H5" s="1">
        <v>43977</v>
      </c>
      <c r="I5" s="1">
        <v>43994</v>
      </c>
      <c r="J5" s="1">
        <v>44012</v>
      </c>
      <c r="M5" s="1">
        <v>44061</v>
      </c>
      <c r="N5" s="1">
        <v>44089</v>
      </c>
      <c r="O5" s="1">
        <v>44106</v>
      </c>
      <c r="P5" s="1">
        <v>44160</v>
      </c>
      <c r="Q5">
        <v>1</v>
      </c>
      <c r="R5">
        <v>1</v>
      </c>
      <c r="S5">
        <f t="shared" si="0"/>
        <v>3.0666666666666669</v>
      </c>
      <c r="T5">
        <f t="shared" si="1"/>
        <v>4.8666666666666671</v>
      </c>
      <c r="U5" s="2">
        <v>3.0666666669999998</v>
      </c>
      <c r="V5" s="2">
        <v>4.8666666669999996</v>
      </c>
      <c r="W5">
        <f t="shared" si="2"/>
        <v>1.4516129032258065</v>
      </c>
      <c r="X5">
        <f t="shared" si="3"/>
        <v>3.225806451612903</v>
      </c>
      <c r="Y5" s="2">
        <v>1.451612903</v>
      </c>
      <c r="Z5" s="2">
        <v>3.225806452</v>
      </c>
      <c r="AA5">
        <v>2</v>
      </c>
      <c r="AB5" t="s">
        <v>69</v>
      </c>
      <c r="AC5" t="s">
        <v>52</v>
      </c>
      <c r="AD5">
        <v>0</v>
      </c>
      <c r="AE5">
        <v>2</v>
      </c>
      <c r="AF5">
        <v>51</v>
      </c>
      <c r="AG5" t="s">
        <v>80</v>
      </c>
      <c r="AH5" t="s">
        <v>54</v>
      </c>
      <c r="AI5" t="s">
        <v>57</v>
      </c>
      <c r="AJ5" t="s">
        <v>56</v>
      </c>
      <c r="AK5" t="s">
        <v>57</v>
      </c>
      <c r="AL5" t="s">
        <v>81</v>
      </c>
      <c r="AM5" t="s">
        <v>59</v>
      </c>
      <c r="AN5" t="s">
        <v>60</v>
      </c>
      <c r="AO5">
        <v>1</v>
      </c>
      <c r="AP5">
        <v>1</v>
      </c>
      <c r="AQ5" t="str">
        <f t="shared" si="4"/>
        <v>Responder</v>
      </c>
      <c r="AR5" t="s">
        <v>82</v>
      </c>
      <c r="AS5" t="s">
        <v>62</v>
      </c>
      <c r="AT5" t="s">
        <v>63</v>
      </c>
      <c r="AU5">
        <v>0.16</v>
      </c>
      <c r="AW5">
        <v>24</v>
      </c>
      <c r="AX5">
        <v>6.25</v>
      </c>
      <c r="AY5">
        <v>43.75</v>
      </c>
      <c r="AZ5">
        <v>21.6</v>
      </c>
      <c r="BA5">
        <v>1.1574070000000001</v>
      </c>
      <c r="BB5" t="s">
        <v>83</v>
      </c>
      <c r="BC5" t="s">
        <v>84</v>
      </c>
      <c r="BD5" t="s">
        <v>85</v>
      </c>
    </row>
    <row r="6" spans="1:56" x14ac:dyDescent="0.2">
      <c r="A6" t="s">
        <v>86</v>
      </c>
      <c r="B6" t="s">
        <v>68</v>
      </c>
      <c r="C6" t="s">
        <v>49</v>
      </c>
      <c r="D6" t="s">
        <v>79</v>
      </c>
      <c r="E6" s="1">
        <v>44090</v>
      </c>
      <c r="F6" s="1">
        <v>44179</v>
      </c>
      <c r="G6" s="1">
        <v>43656</v>
      </c>
      <c r="H6" s="1">
        <v>43977</v>
      </c>
      <c r="I6" s="1">
        <v>43994</v>
      </c>
      <c r="J6" s="1">
        <v>44012</v>
      </c>
      <c r="M6" s="1">
        <v>44061</v>
      </c>
      <c r="N6" s="1">
        <v>44089</v>
      </c>
      <c r="O6" s="1">
        <v>44106</v>
      </c>
      <c r="P6" s="1">
        <v>44160</v>
      </c>
      <c r="Q6">
        <v>1</v>
      </c>
      <c r="R6">
        <v>1</v>
      </c>
      <c r="S6">
        <f t="shared" si="0"/>
        <v>3.0666666666666669</v>
      </c>
      <c r="T6">
        <f t="shared" si="1"/>
        <v>4.8666666666666671</v>
      </c>
      <c r="U6" s="2">
        <v>3.0666666669999998</v>
      </c>
      <c r="V6" s="2">
        <v>4.8666666669999996</v>
      </c>
      <c r="W6">
        <f t="shared" si="2"/>
        <v>1.4516129032258065</v>
      </c>
      <c r="X6">
        <f t="shared" si="3"/>
        <v>3.225806451612903</v>
      </c>
      <c r="Y6" s="2">
        <v>1.451612903</v>
      </c>
      <c r="Z6" s="2">
        <v>3.225806452</v>
      </c>
      <c r="AA6">
        <v>2</v>
      </c>
      <c r="AB6" t="s">
        <v>69</v>
      </c>
      <c r="AC6" t="s">
        <v>52</v>
      </c>
      <c r="AD6">
        <v>0</v>
      </c>
      <c r="AE6">
        <v>2</v>
      </c>
      <c r="AF6">
        <v>51</v>
      </c>
      <c r="AG6" t="s">
        <v>80</v>
      </c>
      <c r="AH6" t="s">
        <v>54</v>
      </c>
      <c r="AI6" t="s">
        <v>57</v>
      </c>
      <c r="AJ6" t="s">
        <v>56</v>
      </c>
      <c r="AK6" t="s">
        <v>57</v>
      </c>
      <c r="AL6" t="s">
        <v>81</v>
      </c>
      <c r="AM6" t="s">
        <v>59</v>
      </c>
      <c r="AN6" t="s">
        <v>60</v>
      </c>
      <c r="AO6">
        <v>1</v>
      </c>
      <c r="AP6">
        <v>1</v>
      </c>
      <c r="AQ6" t="str">
        <f t="shared" si="4"/>
        <v>Responder</v>
      </c>
      <c r="AR6" t="s">
        <v>82</v>
      </c>
      <c r="AS6" t="s">
        <v>62</v>
      </c>
      <c r="AT6" t="s">
        <v>63</v>
      </c>
      <c r="AU6">
        <v>0.316</v>
      </c>
      <c r="AW6">
        <v>24</v>
      </c>
      <c r="AX6">
        <v>3.1645569999999998</v>
      </c>
      <c r="AY6">
        <v>46.835439999999998</v>
      </c>
      <c r="AZ6">
        <v>20.2</v>
      </c>
      <c r="BA6">
        <v>1.2376240000000001</v>
      </c>
      <c r="BB6" t="s">
        <v>87</v>
      </c>
      <c r="BC6" t="s">
        <v>88</v>
      </c>
      <c r="BD6" t="s">
        <v>89</v>
      </c>
    </row>
    <row r="7" spans="1:56" x14ac:dyDescent="0.2">
      <c r="A7" t="s">
        <v>90</v>
      </c>
      <c r="B7" t="s">
        <v>74</v>
      </c>
      <c r="C7" t="s">
        <v>49</v>
      </c>
      <c r="D7" t="s">
        <v>79</v>
      </c>
      <c r="E7" s="1">
        <v>44090</v>
      </c>
      <c r="F7" s="1">
        <v>44180</v>
      </c>
      <c r="G7" s="1">
        <v>43656</v>
      </c>
      <c r="H7" s="1">
        <v>43977</v>
      </c>
      <c r="I7" s="1">
        <v>43994</v>
      </c>
      <c r="J7" s="1">
        <v>44012</v>
      </c>
      <c r="M7" s="1">
        <v>44061</v>
      </c>
      <c r="N7" s="1">
        <v>44089</v>
      </c>
      <c r="O7" s="1">
        <v>44106</v>
      </c>
      <c r="P7" s="1">
        <v>44160</v>
      </c>
      <c r="Q7">
        <v>1</v>
      </c>
      <c r="R7">
        <v>1</v>
      </c>
      <c r="S7">
        <f t="shared" si="0"/>
        <v>3.0666666666666669</v>
      </c>
      <c r="T7">
        <f t="shared" si="1"/>
        <v>4.8666666666666671</v>
      </c>
      <c r="U7" s="2">
        <v>3.0666666669999998</v>
      </c>
      <c r="V7" s="2">
        <v>4.8666666669999996</v>
      </c>
      <c r="W7">
        <f t="shared" si="2"/>
        <v>1.4516129032258065</v>
      </c>
      <c r="X7">
        <f t="shared" si="3"/>
        <v>3.225806451612903</v>
      </c>
      <c r="Y7" s="2">
        <v>1.451612903</v>
      </c>
      <c r="Z7" s="2">
        <v>3.225806452</v>
      </c>
      <c r="AA7">
        <v>2</v>
      </c>
      <c r="AB7" t="s">
        <v>69</v>
      </c>
      <c r="AC7" t="s">
        <v>52</v>
      </c>
      <c r="AD7">
        <v>0</v>
      </c>
      <c r="AE7">
        <v>2</v>
      </c>
      <c r="AF7">
        <v>51</v>
      </c>
      <c r="AG7" t="s">
        <v>80</v>
      </c>
      <c r="AH7" t="s">
        <v>54</v>
      </c>
      <c r="AI7" t="s">
        <v>57</v>
      </c>
      <c r="AJ7" t="s">
        <v>56</v>
      </c>
      <c r="AK7" t="s">
        <v>57</v>
      </c>
      <c r="AL7" t="s">
        <v>81</v>
      </c>
      <c r="AM7" t="s">
        <v>59</v>
      </c>
      <c r="AN7" t="s">
        <v>60</v>
      </c>
      <c r="AO7">
        <v>1</v>
      </c>
      <c r="AP7">
        <v>1</v>
      </c>
      <c r="AQ7" t="str">
        <f t="shared" si="4"/>
        <v>Responder</v>
      </c>
      <c r="AR7" t="s">
        <v>82</v>
      </c>
      <c r="AS7" t="s">
        <v>62</v>
      </c>
      <c r="AT7" t="s">
        <v>63</v>
      </c>
      <c r="AU7">
        <v>0.188</v>
      </c>
      <c r="AW7">
        <v>24</v>
      </c>
      <c r="AX7">
        <v>5.3191490000000003</v>
      </c>
      <c r="AY7">
        <v>44.68085</v>
      </c>
      <c r="AZ7">
        <v>16.8</v>
      </c>
      <c r="BA7">
        <v>1.4880949999999999</v>
      </c>
      <c r="BB7" t="s">
        <v>91</v>
      </c>
      <c r="BC7" t="s">
        <v>92</v>
      </c>
      <c r="BD7" t="s">
        <v>93</v>
      </c>
    </row>
    <row r="8" spans="1:56" x14ac:dyDescent="0.2">
      <c r="A8" t="s">
        <v>94</v>
      </c>
      <c r="B8" t="s">
        <v>48</v>
      </c>
      <c r="C8" t="s">
        <v>49</v>
      </c>
      <c r="D8" t="s">
        <v>95</v>
      </c>
      <c r="E8" s="1">
        <v>44090</v>
      </c>
      <c r="F8" s="1">
        <v>44179</v>
      </c>
      <c r="G8" s="1">
        <v>43972</v>
      </c>
      <c r="H8" s="1">
        <v>43990</v>
      </c>
      <c r="I8" s="1">
        <v>43994</v>
      </c>
      <c r="J8" s="1">
        <v>44001</v>
      </c>
      <c r="K8" s="1">
        <v>44039</v>
      </c>
      <c r="L8" s="1">
        <v>44078</v>
      </c>
      <c r="M8" s="1">
        <v>44033</v>
      </c>
      <c r="N8" s="1">
        <v>45497</v>
      </c>
      <c r="Q8">
        <v>0</v>
      </c>
      <c r="R8">
        <v>0</v>
      </c>
      <c r="S8">
        <f t="shared" si="0"/>
        <v>49.166666666666664</v>
      </c>
      <c r="T8">
        <f t="shared" si="1"/>
        <v>49.166666666666664</v>
      </c>
      <c r="U8" s="2">
        <v>49.166666669999998</v>
      </c>
      <c r="V8" s="2">
        <v>49.166666669999998</v>
      </c>
      <c r="W8">
        <f t="shared" si="2"/>
        <v>48.096774193548384</v>
      </c>
      <c r="X8">
        <f t="shared" si="3"/>
        <v>48.096774193548384</v>
      </c>
      <c r="Y8" s="2">
        <v>48.096774189999998</v>
      </c>
      <c r="Z8" s="2">
        <v>48.096774189999998</v>
      </c>
      <c r="AA8">
        <v>2</v>
      </c>
      <c r="AB8" t="s">
        <v>51</v>
      </c>
      <c r="AC8" t="s">
        <v>52</v>
      </c>
      <c r="AD8">
        <v>0</v>
      </c>
      <c r="AE8">
        <v>3</v>
      </c>
      <c r="AF8">
        <v>71</v>
      </c>
      <c r="AG8" t="s">
        <v>53</v>
      </c>
      <c r="AH8" t="s">
        <v>54</v>
      </c>
      <c r="AI8" t="s">
        <v>55</v>
      </c>
      <c r="AJ8" t="s">
        <v>56</v>
      </c>
      <c r="AK8" t="s">
        <v>57</v>
      </c>
      <c r="AL8" t="s">
        <v>96</v>
      </c>
      <c r="AM8" t="s">
        <v>59</v>
      </c>
      <c r="AN8" t="s">
        <v>60</v>
      </c>
      <c r="AO8">
        <v>1</v>
      </c>
      <c r="AP8">
        <v>1</v>
      </c>
      <c r="AQ8" t="str">
        <f t="shared" si="4"/>
        <v>Responder</v>
      </c>
      <c r="AR8" t="s">
        <v>82</v>
      </c>
      <c r="AS8" t="s">
        <v>62</v>
      </c>
      <c r="AT8" t="s">
        <v>63</v>
      </c>
      <c r="AU8">
        <v>0.16</v>
      </c>
      <c r="AW8">
        <v>24</v>
      </c>
      <c r="AX8">
        <v>6.25</v>
      </c>
      <c r="AY8">
        <v>43.75</v>
      </c>
      <c r="AZ8">
        <v>19.8</v>
      </c>
      <c r="BA8">
        <v>1.262626</v>
      </c>
      <c r="BB8" t="s">
        <v>97</v>
      </c>
      <c r="BC8" t="s">
        <v>98</v>
      </c>
      <c r="BD8" t="s">
        <v>99</v>
      </c>
    </row>
    <row r="9" spans="1:56" x14ac:dyDescent="0.2">
      <c r="A9" t="s">
        <v>100</v>
      </c>
      <c r="B9" t="s">
        <v>68</v>
      </c>
      <c r="C9" t="s">
        <v>49</v>
      </c>
      <c r="D9" t="s">
        <v>95</v>
      </c>
      <c r="E9" s="1">
        <v>44090</v>
      </c>
      <c r="F9" s="1">
        <v>44180</v>
      </c>
      <c r="G9" s="1">
        <v>43972</v>
      </c>
      <c r="H9" s="1">
        <v>43990</v>
      </c>
      <c r="I9" s="1">
        <v>43994</v>
      </c>
      <c r="J9" s="1">
        <v>44001</v>
      </c>
      <c r="K9" s="1">
        <v>44039</v>
      </c>
      <c r="L9" s="1">
        <v>44078</v>
      </c>
      <c r="M9" s="1">
        <v>44033</v>
      </c>
      <c r="N9" s="1">
        <v>45497</v>
      </c>
      <c r="Q9">
        <v>0</v>
      </c>
      <c r="R9">
        <v>0</v>
      </c>
      <c r="S9">
        <f t="shared" si="0"/>
        <v>49.166666666666664</v>
      </c>
      <c r="T9">
        <f t="shared" si="1"/>
        <v>49.166666666666664</v>
      </c>
      <c r="U9" s="2">
        <v>49.166666669999998</v>
      </c>
      <c r="V9" s="2">
        <v>49.166666669999998</v>
      </c>
      <c r="W9">
        <f t="shared" si="2"/>
        <v>48.096774193548384</v>
      </c>
      <c r="X9">
        <f t="shared" si="3"/>
        <v>48.096774193548384</v>
      </c>
      <c r="Y9" s="2">
        <v>48.096774189999998</v>
      </c>
      <c r="Z9" s="2">
        <v>48.096774189999998</v>
      </c>
      <c r="AA9">
        <v>2</v>
      </c>
      <c r="AB9" t="s">
        <v>51</v>
      </c>
      <c r="AC9" t="s">
        <v>52</v>
      </c>
      <c r="AD9">
        <v>0</v>
      </c>
      <c r="AE9">
        <v>3</v>
      </c>
      <c r="AF9">
        <v>71</v>
      </c>
      <c r="AG9" t="s">
        <v>53</v>
      </c>
      <c r="AH9" t="s">
        <v>54</v>
      </c>
      <c r="AI9" t="s">
        <v>55</v>
      </c>
      <c r="AJ9" t="s">
        <v>56</v>
      </c>
      <c r="AK9" t="s">
        <v>57</v>
      </c>
      <c r="AL9" t="s">
        <v>96</v>
      </c>
      <c r="AM9" t="s">
        <v>59</v>
      </c>
      <c r="AN9" t="s">
        <v>60</v>
      </c>
      <c r="AO9">
        <v>1</v>
      </c>
      <c r="AP9">
        <v>1</v>
      </c>
      <c r="AQ9" t="str">
        <f t="shared" si="4"/>
        <v>Responder</v>
      </c>
      <c r="AR9" t="s">
        <v>82</v>
      </c>
      <c r="AS9" t="s">
        <v>62</v>
      </c>
      <c r="AT9" t="s">
        <v>63</v>
      </c>
      <c r="AU9">
        <v>0.2</v>
      </c>
      <c r="AW9">
        <v>24</v>
      </c>
      <c r="AX9">
        <v>5</v>
      </c>
      <c r="AY9">
        <v>45</v>
      </c>
      <c r="AZ9">
        <v>19.8</v>
      </c>
      <c r="BA9">
        <v>1.262626</v>
      </c>
      <c r="BB9" t="s">
        <v>101</v>
      </c>
      <c r="BC9" t="s">
        <v>102</v>
      </c>
      <c r="BD9" t="s">
        <v>103</v>
      </c>
    </row>
    <row r="10" spans="1:56" x14ac:dyDescent="0.2">
      <c r="A10" t="s">
        <v>104</v>
      </c>
      <c r="B10" t="s">
        <v>74</v>
      </c>
      <c r="C10" t="s">
        <v>49</v>
      </c>
      <c r="D10" t="s">
        <v>95</v>
      </c>
      <c r="E10" s="1">
        <v>44090</v>
      </c>
      <c r="F10" s="1">
        <v>44179</v>
      </c>
      <c r="G10" s="1">
        <v>43972</v>
      </c>
      <c r="H10" s="1">
        <v>43990</v>
      </c>
      <c r="I10" s="1">
        <v>43994</v>
      </c>
      <c r="J10" s="1">
        <v>44001</v>
      </c>
      <c r="K10" s="1">
        <v>44039</v>
      </c>
      <c r="L10" s="1">
        <v>44078</v>
      </c>
      <c r="M10" s="1">
        <v>44033</v>
      </c>
      <c r="N10" s="1">
        <v>45497</v>
      </c>
      <c r="Q10">
        <v>0</v>
      </c>
      <c r="R10">
        <v>0</v>
      </c>
      <c r="S10">
        <f t="shared" si="0"/>
        <v>49.166666666666664</v>
      </c>
      <c r="T10">
        <f t="shared" si="1"/>
        <v>49.166666666666664</v>
      </c>
      <c r="U10" s="2">
        <v>49.166666669999998</v>
      </c>
      <c r="V10" s="2">
        <v>49.166666669999998</v>
      </c>
      <c r="W10">
        <f t="shared" si="2"/>
        <v>48.096774193548384</v>
      </c>
      <c r="X10">
        <f t="shared" si="3"/>
        <v>48.096774193548384</v>
      </c>
      <c r="Y10" s="2">
        <v>48.096774189999998</v>
      </c>
      <c r="Z10" s="2">
        <v>48.096774189999998</v>
      </c>
      <c r="AA10">
        <v>2</v>
      </c>
      <c r="AB10" t="s">
        <v>51</v>
      </c>
      <c r="AC10" t="s">
        <v>52</v>
      </c>
      <c r="AD10">
        <v>0</v>
      </c>
      <c r="AE10">
        <v>3</v>
      </c>
      <c r="AF10">
        <v>71</v>
      </c>
      <c r="AG10" t="s">
        <v>53</v>
      </c>
      <c r="AH10" t="s">
        <v>54</v>
      </c>
      <c r="AI10" t="s">
        <v>55</v>
      </c>
      <c r="AJ10" t="s">
        <v>56</v>
      </c>
      <c r="AK10" t="s">
        <v>57</v>
      </c>
      <c r="AL10" t="s">
        <v>96</v>
      </c>
      <c r="AM10" t="s">
        <v>59</v>
      </c>
      <c r="AN10" t="s">
        <v>60</v>
      </c>
      <c r="AO10">
        <v>1</v>
      </c>
      <c r="AP10">
        <v>1</v>
      </c>
      <c r="AQ10" t="str">
        <f t="shared" si="4"/>
        <v>Responder</v>
      </c>
      <c r="AR10" t="s">
        <v>82</v>
      </c>
      <c r="AS10" t="s">
        <v>62</v>
      </c>
      <c r="AT10" t="s">
        <v>63</v>
      </c>
      <c r="AU10">
        <v>0.16600000000000001</v>
      </c>
      <c r="AW10">
        <v>24</v>
      </c>
      <c r="AX10">
        <v>6.0240960000000001</v>
      </c>
      <c r="AY10">
        <v>43.975900000000003</v>
      </c>
      <c r="AZ10">
        <v>25.4</v>
      </c>
      <c r="BA10">
        <v>0.98425200000000002</v>
      </c>
      <c r="BB10" t="s">
        <v>83</v>
      </c>
      <c r="BC10" t="s">
        <v>84</v>
      </c>
      <c r="BD10" t="s">
        <v>85</v>
      </c>
    </row>
    <row r="11" spans="1:56" x14ac:dyDescent="0.2">
      <c r="A11" t="s">
        <v>105</v>
      </c>
      <c r="B11" t="s">
        <v>48</v>
      </c>
      <c r="C11" t="s">
        <v>106</v>
      </c>
      <c r="D11" t="s">
        <v>107</v>
      </c>
      <c r="E11" s="1">
        <v>44090</v>
      </c>
      <c r="F11" s="1">
        <v>44180</v>
      </c>
      <c r="G11" s="1">
        <v>43974</v>
      </c>
      <c r="H11" s="1">
        <v>43997</v>
      </c>
      <c r="I11" s="1">
        <v>44000</v>
      </c>
      <c r="J11" s="1">
        <v>44008</v>
      </c>
      <c r="N11" s="1">
        <v>45064</v>
      </c>
      <c r="Q11">
        <v>0</v>
      </c>
      <c r="R11">
        <v>0</v>
      </c>
      <c r="S11">
        <f t="shared" si="0"/>
        <v>34.733333333333334</v>
      </c>
      <c r="T11">
        <f t="shared" si="1"/>
        <v>34.733333333333334</v>
      </c>
      <c r="U11" s="2">
        <v>34.733333330000001</v>
      </c>
      <c r="V11" s="2">
        <v>34.733333330000001</v>
      </c>
      <c r="Y11" s="2">
        <v>53.975304199550543</v>
      </c>
      <c r="Z11" s="2">
        <v>53.632725738415814</v>
      </c>
      <c r="AA11">
        <v>2</v>
      </c>
      <c r="AB11" t="s">
        <v>69</v>
      </c>
      <c r="AC11" t="s">
        <v>52</v>
      </c>
      <c r="AD11">
        <v>0</v>
      </c>
      <c r="AE11">
        <v>4</v>
      </c>
      <c r="AF11">
        <v>75</v>
      </c>
      <c r="AG11" t="s">
        <v>80</v>
      </c>
      <c r="AH11" t="s">
        <v>54</v>
      </c>
      <c r="AI11" t="s">
        <v>55</v>
      </c>
      <c r="AJ11" t="s">
        <v>56</v>
      </c>
      <c r="AK11" t="s">
        <v>57</v>
      </c>
      <c r="AL11" t="s">
        <v>108</v>
      </c>
      <c r="AM11" t="s">
        <v>109</v>
      </c>
      <c r="AN11" t="s">
        <v>60</v>
      </c>
      <c r="AO11">
        <v>1</v>
      </c>
      <c r="AP11">
        <v>1</v>
      </c>
      <c r="AQ11" t="str">
        <f t="shared" si="4"/>
        <v>Responder</v>
      </c>
      <c r="AR11" t="s">
        <v>82</v>
      </c>
      <c r="AS11" t="s">
        <v>62</v>
      </c>
      <c r="AT11" t="s">
        <v>63</v>
      </c>
      <c r="AU11">
        <v>0.154</v>
      </c>
      <c r="AW11">
        <v>24</v>
      </c>
      <c r="AX11">
        <v>6.493506</v>
      </c>
      <c r="AY11">
        <v>43.506489999999999</v>
      </c>
      <c r="AZ11">
        <v>21</v>
      </c>
      <c r="BA11">
        <v>1.1904760000000001</v>
      </c>
      <c r="BB11" t="s">
        <v>110</v>
      </c>
      <c r="BC11" t="s">
        <v>111</v>
      </c>
      <c r="BD11" t="s">
        <v>112</v>
      </c>
    </row>
    <row r="12" spans="1:56" x14ac:dyDescent="0.2">
      <c r="A12" t="s">
        <v>113</v>
      </c>
      <c r="B12" t="s">
        <v>68</v>
      </c>
      <c r="C12" t="s">
        <v>106</v>
      </c>
      <c r="D12" t="s">
        <v>107</v>
      </c>
      <c r="E12" s="1">
        <v>44090</v>
      </c>
      <c r="F12" s="1">
        <v>44180</v>
      </c>
      <c r="G12" s="1">
        <v>43974</v>
      </c>
      <c r="H12" s="1">
        <v>43997</v>
      </c>
      <c r="I12" s="1">
        <v>44000</v>
      </c>
      <c r="J12" s="1">
        <v>44008</v>
      </c>
      <c r="N12" s="1">
        <v>45064</v>
      </c>
      <c r="Q12">
        <v>0</v>
      </c>
      <c r="R12">
        <v>0</v>
      </c>
      <c r="S12">
        <f t="shared" si="0"/>
        <v>34.733333333333334</v>
      </c>
      <c r="T12">
        <f t="shared" si="1"/>
        <v>34.733333333333334</v>
      </c>
      <c r="U12" s="2">
        <v>34.733333330000001</v>
      </c>
      <c r="V12" s="2">
        <v>34.733333330000001</v>
      </c>
      <c r="Y12" s="2">
        <v>53.975304199550543</v>
      </c>
      <c r="Z12" s="2">
        <v>53.632725738415814</v>
      </c>
      <c r="AA12">
        <v>2</v>
      </c>
      <c r="AB12" t="s">
        <v>51</v>
      </c>
      <c r="AC12" t="s">
        <v>52</v>
      </c>
      <c r="AD12">
        <v>0</v>
      </c>
      <c r="AE12">
        <v>4</v>
      </c>
      <c r="AF12">
        <v>75</v>
      </c>
      <c r="AG12" t="s">
        <v>80</v>
      </c>
      <c r="AH12" t="s">
        <v>54</v>
      </c>
      <c r="AI12" t="s">
        <v>55</v>
      </c>
      <c r="AJ12" t="s">
        <v>56</v>
      </c>
      <c r="AK12" t="s">
        <v>57</v>
      </c>
      <c r="AL12" t="s">
        <v>108</v>
      </c>
      <c r="AM12" t="s">
        <v>109</v>
      </c>
      <c r="AN12" t="s">
        <v>60</v>
      </c>
      <c r="AO12">
        <v>1</v>
      </c>
      <c r="AP12">
        <v>1</v>
      </c>
      <c r="AQ12" t="str">
        <f t="shared" si="4"/>
        <v>Responder</v>
      </c>
      <c r="AR12" t="s">
        <v>82</v>
      </c>
      <c r="AS12" t="s">
        <v>62</v>
      </c>
      <c r="AT12" t="s">
        <v>63</v>
      </c>
      <c r="AU12">
        <v>0.21199999999999999</v>
      </c>
      <c r="AW12">
        <v>24</v>
      </c>
      <c r="AX12">
        <v>4.7169809999999996</v>
      </c>
      <c r="AY12">
        <v>45.28302</v>
      </c>
      <c r="AZ12">
        <v>18.5</v>
      </c>
      <c r="BA12">
        <v>1.351351</v>
      </c>
      <c r="BB12" t="s">
        <v>114</v>
      </c>
      <c r="BC12" t="s">
        <v>115</v>
      </c>
      <c r="BD12" t="s">
        <v>116</v>
      </c>
    </row>
    <row r="13" spans="1:56" x14ac:dyDescent="0.2">
      <c r="A13" t="s">
        <v>117</v>
      </c>
      <c r="B13" t="s">
        <v>48</v>
      </c>
      <c r="C13" t="s">
        <v>49</v>
      </c>
      <c r="D13" t="s">
        <v>118</v>
      </c>
      <c r="E13" s="1">
        <v>44090</v>
      </c>
      <c r="F13" s="1">
        <v>44180</v>
      </c>
      <c r="G13" s="1">
        <v>42774</v>
      </c>
      <c r="H13" s="1">
        <v>42900</v>
      </c>
      <c r="I13" s="1">
        <v>42908</v>
      </c>
      <c r="J13" s="1">
        <v>42921</v>
      </c>
      <c r="K13" s="1">
        <v>42962</v>
      </c>
      <c r="L13" s="1">
        <v>43004</v>
      </c>
      <c r="M13" s="1">
        <v>42955</v>
      </c>
      <c r="N13" s="1">
        <v>43625</v>
      </c>
      <c r="O13" s="1">
        <v>43220</v>
      </c>
      <c r="P13" s="1">
        <v>43626</v>
      </c>
      <c r="Q13">
        <v>1</v>
      </c>
      <c r="R13">
        <v>1</v>
      </c>
      <c r="S13">
        <f t="shared" si="0"/>
        <v>9.806451612903226</v>
      </c>
      <c r="T13">
        <f t="shared" si="1"/>
        <v>23.161290322580644</v>
      </c>
      <c r="U13" s="2">
        <v>9.8064516130000001</v>
      </c>
      <c r="V13" s="2">
        <v>23.161290319999999</v>
      </c>
      <c r="W13">
        <f t="shared" si="2"/>
        <v>8.7096774193548381</v>
      </c>
      <c r="X13">
        <f t="shared" si="3"/>
        <v>22.06451612903226</v>
      </c>
      <c r="Y13" s="2">
        <v>8.7096774190000001</v>
      </c>
      <c r="Z13" s="2">
        <v>22.064516130000001</v>
      </c>
      <c r="AA13">
        <v>2</v>
      </c>
      <c r="AB13" t="s">
        <v>69</v>
      </c>
      <c r="AC13" t="s">
        <v>119</v>
      </c>
      <c r="AD13">
        <v>0</v>
      </c>
      <c r="AE13">
        <v>5</v>
      </c>
      <c r="AF13">
        <v>70</v>
      </c>
      <c r="AG13" t="s">
        <v>53</v>
      </c>
      <c r="AH13" t="s">
        <v>54</v>
      </c>
      <c r="AI13" t="s">
        <v>57</v>
      </c>
      <c r="AJ13" t="s">
        <v>56</v>
      </c>
      <c r="AK13" t="s">
        <v>57</v>
      </c>
      <c r="AL13" t="s">
        <v>120</v>
      </c>
      <c r="AM13" t="s">
        <v>59</v>
      </c>
      <c r="AN13" t="s">
        <v>60</v>
      </c>
      <c r="AO13">
        <v>1</v>
      </c>
      <c r="AP13">
        <v>0</v>
      </c>
      <c r="AQ13" t="str">
        <f t="shared" si="4"/>
        <v>Non-Responder</v>
      </c>
      <c r="AR13" t="s">
        <v>61</v>
      </c>
      <c r="AS13" t="s">
        <v>62</v>
      </c>
      <c r="AT13" t="s">
        <v>63</v>
      </c>
      <c r="AU13">
        <v>0.21</v>
      </c>
      <c r="AW13">
        <v>24</v>
      </c>
      <c r="AX13">
        <v>4.7619049999999996</v>
      </c>
      <c r="AY13">
        <v>45.238100000000003</v>
      </c>
      <c r="AZ13">
        <v>14</v>
      </c>
      <c r="BA13">
        <v>1.785714</v>
      </c>
      <c r="BB13" t="s">
        <v>114</v>
      </c>
      <c r="BC13" t="s">
        <v>115</v>
      </c>
      <c r="BD13" t="s">
        <v>116</v>
      </c>
    </row>
    <row r="14" spans="1:56" x14ac:dyDescent="0.2">
      <c r="A14" t="s">
        <v>121</v>
      </c>
      <c r="B14" t="s">
        <v>68</v>
      </c>
      <c r="C14" t="s">
        <v>49</v>
      </c>
      <c r="D14" t="s">
        <v>118</v>
      </c>
      <c r="E14" s="1">
        <v>44090</v>
      </c>
      <c r="F14" s="1">
        <v>44180</v>
      </c>
      <c r="G14" s="1">
        <v>42774</v>
      </c>
      <c r="H14" s="1">
        <v>42900</v>
      </c>
      <c r="I14" s="1">
        <v>42908</v>
      </c>
      <c r="J14" s="1">
        <v>42921</v>
      </c>
      <c r="K14" s="1">
        <v>42962</v>
      </c>
      <c r="L14" s="1">
        <v>43004</v>
      </c>
      <c r="M14" s="1">
        <v>42955</v>
      </c>
      <c r="N14" s="1">
        <v>43625</v>
      </c>
      <c r="O14" s="1">
        <v>43220</v>
      </c>
      <c r="P14" s="1">
        <v>43626</v>
      </c>
      <c r="Q14">
        <v>1</v>
      </c>
      <c r="R14">
        <v>1</v>
      </c>
      <c r="S14">
        <f t="shared" si="0"/>
        <v>9.806451612903226</v>
      </c>
      <c r="T14">
        <f t="shared" si="1"/>
        <v>23.161290322580644</v>
      </c>
      <c r="U14" s="2">
        <v>9.8064516130000001</v>
      </c>
      <c r="V14" s="2">
        <v>23.161290319999999</v>
      </c>
      <c r="W14">
        <f t="shared" si="2"/>
        <v>8.7096774193548381</v>
      </c>
      <c r="X14">
        <f t="shared" si="3"/>
        <v>22.06451612903226</v>
      </c>
      <c r="Y14" s="2">
        <v>8.7096774190000001</v>
      </c>
      <c r="Z14" s="2">
        <v>22.064516130000001</v>
      </c>
      <c r="AA14">
        <v>2</v>
      </c>
      <c r="AB14" t="s">
        <v>51</v>
      </c>
      <c r="AC14" t="s">
        <v>119</v>
      </c>
      <c r="AD14">
        <v>0</v>
      </c>
      <c r="AE14">
        <v>5</v>
      </c>
      <c r="AF14">
        <v>70</v>
      </c>
      <c r="AG14" t="s">
        <v>53</v>
      </c>
      <c r="AH14" t="s">
        <v>54</v>
      </c>
      <c r="AI14" t="s">
        <v>57</v>
      </c>
      <c r="AJ14" t="s">
        <v>56</v>
      </c>
      <c r="AK14" t="s">
        <v>57</v>
      </c>
      <c r="AL14" t="s">
        <v>120</v>
      </c>
      <c r="AM14" t="s">
        <v>59</v>
      </c>
      <c r="AN14" t="s">
        <v>60</v>
      </c>
      <c r="AO14">
        <v>1</v>
      </c>
      <c r="AP14">
        <v>0</v>
      </c>
      <c r="AQ14" t="str">
        <f t="shared" si="4"/>
        <v>Non-Responder</v>
      </c>
      <c r="AR14" t="s">
        <v>61</v>
      </c>
      <c r="AS14" t="s">
        <v>62</v>
      </c>
      <c r="AT14" t="s">
        <v>63</v>
      </c>
      <c r="AU14">
        <v>0.41599999999999998</v>
      </c>
      <c r="AW14">
        <v>24</v>
      </c>
      <c r="AX14">
        <v>2.4038460000000001</v>
      </c>
      <c r="AY14">
        <v>47.596150000000002</v>
      </c>
      <c r="AZ14">
        <v>14.9</v>
      </c>
      <c r="BA14">
        <v>1.6778519999999999</v>
      </c>
      <c r="BB14" t="s">
        <v>122</v>
      </c>
      <c r="BC14" t="s">
        <v>123</v>
      </c>
      <c r="BD14" t="s">
        <v>124</v>
      </c>
    </row>
    <row r="15" spans="1:56" x14ac:dyDescent="0.2">
      <c r="A15" t="s">
        <v>125</v>
      </c>
      <c r="B15" t="s">
        <v>48</v>
      </c>
      <c r="C15" t="s">
        <v>49</v>
      </c>
      <c r="D15" t="s">
        <v>126</v>
      </c>
      <c r="E15" s="1">
        <v>44090</v>
      </c>
      <c r="F15" s="1">
        <v>44179</v>
      </c>
      <c r="G15" s="1">
        <v>43362</v>
      </c>
      <c r="H15" s="1">
        <v>43374</v>
      </c>
      <c r="I15" s="1">
        <v>43377</v>
      </c>
      <c r="J15" s="1">
        <v>43388</v>
      </c>
      <c r="K15" s="1">
        <v>43438</v>
      </c>
      <c r="L15" s="1">
        <v>43479</v>
      </c>
      <c r="M15" s="1">
        <v>43430</v>
      </c>
      <c r="N15" s="1">
        <v>44323</v>
      </c>
      <c r="O15" s="1">
        <v>43756</v>
      </c>
      <c r="Q15">
        <v>1</v>
      </c>
      <c r="R15">
        <v>0</v>
      </c>
      <c r="S15">
        <f t="shared" si="0"/>
        <v>12.096774193548388</v>
      </c>
      <c r="T15">
        <f t="shared" si="1"/>
        <v>30.70967741935484</v>
      </c>
      <c r="U15" s="2">
        <v>12.09677419</v>
      </c>
      <c r="V15" s="2">
        <v>30.709677419999998</v>
      </c>
      <c r="W15">
        <f t="shared" si="2"/>
        <v>10.733333333333333</v>
      </c>
      <c r="X15">
        <f t="shared" si="3"/>
        <v>29.366666666666667</v>
      </c>
      <c r="Y15" s="2">
        <v>10.733333330000001</v>
      </c>
      <c r="Z15" s="2">
        <v>29.366666670000001</v>
      </c>
      <c r="AA15">
        <v>2</v>
      </c>
      <c r="AB15" t="s">
        <v>69</v>
      </c>
      <c r="AC15" t="s">
        <v>119</v>
      </c>
      <c r="AD15">
        <v>0</v>
      </c>
      <c r="AE15">
        <v>6</v>
      </c>
      <c r="AF15">
        <v>55</v>
      </c>
      <c r="AG15" t="s">
        <v>80</v>
      </c>
      <c r="AH15" t="s">
        <v>54</v>
      </c>
      <c r="AI15" t="s">
        <v>55</v>
      </c>
      <c r="AJ15" t="s">
        <v>56</v>
      </c>
      <c r="AK15" t="s">
        <v>55</v>
      </c>
      <c r="AL15" t="s">
        <v>127</v>
      </c>
      <c r="AM15" t="s">
        <v>109</v>
      </c>
      <c r="AN15" t="s">
        <v>60</v>
      </c>
      <c r="AO15">
        <v>0</v>
      </c>
      <c r="AP15">
        <v>0</v>
      </c>
      <c r="AQ15" t="str">
        <f t="shared" si="4"/>
        <v>Non-Responder</v>
      </c>
      <c r="AR15" t="s">
        <v>61</v>
      </c>
      <c r="AS15" t="s">
        <v>62</v>
      </c>
      <c r="AT15" t="s">
        <v>63</v>
      </c>
      <c r="AU15">
        <v>3.8</v>
      </c>
      <c r="AW15">
        <v>24</v>
      </c>
      <c r="AX15">
        <v>0.263158</v>
      </c>
      <c r="AY15">
        <v>49.736840000000001</v>
      </c>
      <c r="AZ15">
        <v>7.08</v>
      </c>
      <c r="BA15">
        <v>3.5310730000000001</v>
      </c>
      <c r="BB15" t="s">
        <v>128</v>
      </c>
      <c r="BC15" t="s">
        <v>129</v>
      </c>
      <c r="BD15" t="s">
        <v>130</v>
      </c>
    </row>
    <row r="16" spans="1:56" x14ac:dyDescent="0.2">
      <c r="A16" t="s">
        <v>131</v>
      </c>
      <c r="B16" t="s">
        <v>68</v>
      </c>
      <c r="C16" t="s">
        <v>49</v>
      </c>
      <c r="D16" t="s">
        <v>126</v>
      </c>
      <c r="E16" s="1">
        <v>44090</v>
      </c>
      <c r="F16" s="1">
        <v>44180</v>
      </c>
      <c r="G16" s="1">
        <v>43362</v>
      </c>
      <c r="H16" s="1">
        <v>43374</v>
      </c>
      <c r="I16" s="1">
        <v>43377</v>
      </c>
      <c r="J16" s="1">
        <v>43388</v>
      </c>
      <c r="K16" s="1">
        <v>43438</v>
      </c>
      <c r="L16" s="1">
        <v>43479</v>
      </c>
      <c r="M16" s="1">
        <v>43430</v>
      </c>
      <c r="N16" s="1">
        <v>44323</v>
      </c>
      <c r="O16" s="1">
        <v>43756</v>
      </c>
      <c r="Q16">
        <v>1</v>
      </c>
      <c r="R16">
        <v>0</v>
      </c>
      <c r="S16">
        <f t="shared" si="0"/>
        <v>12.096774193548388</v>
      </c>
      <c r="T16">
        <f t="shared" si="1"/>
        <v>30.70967741935484</v>
      </c>
      <c r="U16" s="2">
        <v>12.09677419</v>
      </c>
      <c r="V16" s="2">
        <v>30.709677419999998</v>
      </c>
      <c r="W16">
        <f t="shared" si="2"/>
        <v>10.733333333333333</v>
      </c>
      <c r="X16">
        <f t="shared" si="3"/>
        <v>29.366666666666667</v>
      </c>
      <c r="Y16" s="2">
        <v>10.733333330000001</v>
      </c>
      <c r="Z16" s="2">
        <v>29.366666670000001</v>
      </c>
      <c r="AA16">
        <v>2</v>
      </c>
      <c r="AB16" t="s">
        <v>51</v>
      </c>
      <c r="AC16" t="s">
        <v>119</v>
      </c>
      <c r="AD16">
        <v>0</v>
      </c>
      <c r="AE16">
        <v>6</v>
      </c>
      <c r="AF16">
        <v>55</v>
      </c>
      <c r="AG16" t="s">
        <v>80</v>
      </c>
      <c r="AH16" t="s">
        <v>54</v>
      </c>
      <c r="AI16" t="s">
        <v>55</v>
      </c>
      <c r="AJ16" t="s">
        <v>56</v>
      </c>
      <c r="AK16" t="s">
        <v>55</v>
      </c>
      <c r="AL16" t="s">
        <v>127</v>
      </c>
      <c r="AM16" t="s">
        <v>109</v>
      </c>
      <c r="AN16" t="s">
        <v>60</v>
      </c>
      <c r="AO16">
        <v>0</v>
      </c>
      <c r="AP16">
        <v>0</v>
      </c>
      <c r="AQ16" t="str">
        <f t="shared" si="4"/>
        <v>Non-Responder</v>
      </c>
      <c r="AR16" t="s">
        <v>61</v>
      </c>
      <c r="AS16" t="s">
        <v>62</v>
      </c>
      <c r="AT16" t="s">
        <v>63</v>
      </c>
      <c r="AU16">
        <v>1.05</v>
      </c>
      <c r="AW16">
        <v>24</v>
      </c>
      <c r="AX16">
        <v>0.95238100000000003</v>
      </c>
      <c r="AY16">
        <v>49.047620000000002</v>
      </c>
      <c r="AZ16">
        <v>8.9</v>
      </c>
      <c r="BA16">
        <v>2.808989</v>
      </c>
      <c r="BB16" t="s">
        <v>132</v>
      </c>
      <c r="BC16" t="s">
        <v>133</v>
      </c>
      <c r="BD16" t="s">
        <v>134</v>
      </c>
    </row>
    <row r="17" spans="1:56" x14ac:dyDescent="0.2">
      <c r="A17" t="s">
        <v>135</v>
      </c>
      <c r="B17" t="s">
        <v>74</v>
      </c>
      <c r="C17" t="s">
        <v>49</v>
      </c>
      <c r="D17" t="s">
        <v>126</v>
      </c>
      <c r="E17" s="1">
        <v>44090</v>
      </c>
      <c r="F17" s="1">
        <v>44179</v>
      </c>
      <c r="G17" s="1">
        <v>43362</v>
      </c>
      <c r="H17" s="1">
        <v>43374</v>
      </c>
      <c r="I17" s="1">
        <v>43377</v>
      </c>
      <c r="J17" s="1">
        <v>43388</v>
      </c>
      <c r="K17" s="1">
        <v>43438</v>
      </c>
      <c r="L17" s="1">
        <v>43479</v>
      </c>
      <c r="M17" s="1">
        <v>43430</v>
      </c>
      <c r="N17" s="1">
        <v>44323</v>
      </c>
      <c r="O17" s="1">
        <v>43756</v>
      </c>
      <c r="Q17">
        <v>1</v>
      </c>
      <c r="R17">
        <v>0</v>
      </c>
      <c r="S17">
        <f t="shared" si="0"/>
        <v>12.096774193548388</v>
      </c>
      <c r="T17">
        <f t="shared" si="1"/>
        <v>30.70967741935484</v>
      </c>
      <c r="U17" s="2">
        <v>12.09677419</v>
      </c>
      <c r="V17" s="2">
        <v>30.709677419999998</v>
      </c>
      <c r="W17">
        <f t="shared" si="2"/>
        <v>10.733333333333333</v>
      </c>
      <c r="X17">
        <f t="shared" si="3"/>
        <v>29.366666666666667</v>
      </c>
      <c r="Y17" s="2">
        <v>10.733333330000001</v>
      </c>
      <c r="Z17" s="2">
        <v>29.366666670000001</v>
      </c>
      <c r="AA17">
        <v>2</v>
      </c>
      <c r="AB17" t="s">
        <v>69</v>
      </c>
      <c r="AC17" t="s">
        <v>119</v>
      </c>
      <c r="AD17">
        <v>0</v>
      </c>
      <c r="AE17">
        <v>6</v>
      </c>
      <c r="AF17">
        <v>55</v>
      </c>
      <c r="AG17" t="s">
        <v>80</v>
      </c>
      <c r="AH17" t="s">
        <v>54</v>
      </c>
      <c r="AI17" t="s">
        <v>55</v>
      </c>
      <c r="AJ17" t="s">
        <v>56</v>
      </c>
      <c r="AK17" t="s">
        <v>55</v>
      </c>
      <c r="AL17" t="s">
        <v>127</v>
      </c>
      <c r="AM17" t="s">
        <v>109</v>
      </c>
      <c r="AN17" t="s">
        <v>60</v>
      </c>
      <c r="AO17">
        <v>0</v>
      </c>
      <c r="AP17">
        <v>0</v>
      </c>
      <c r="AQ17" t="str">
        <f t="shared" si="4"/>
        <v>Non-Responder</v>
      </c>
      <c r="AR17" t="s">
        <v>61</v>
      </c>
      <c r="AS17" t="s">
        <v>62</v>
      </c>
      <c r="AT17" t="s">
        <v>63</v>
      </c>
      <c r="AU17">
        <v>0.47799999999999998</v>
      </c>
      <c r="AW17">
        <v>24</v>
      </c>
      <c r="AX17">
        <v>2.09205</v>
      </c>
      <c r="AY17">
        <v>47.90795</v>
      </c>
      <c r="AZ17">
        <v>8.3000000000000007</v>
      </c>
      <c r="BA17">
        <v>3.0120480000000001</v>
      </c>
      <c r="BB17" t="s">
        <v>136</v>
      </c>
      <c r="BC17" t="s">
        <v>137</v>
      </c>
      <c r="BD17" t="s">
        <v>138</v>
      </c>
    </row>
    <row r="18" spans="1:56" x14ac:dyDescent="0.2">
      <c r="A18" t="s">
        <v>139</v>
      </c>
      <c r="B18" t="s">
        <v>48</v>
      </c>
      <c r="C18" t="s">
        <v>49</v>
      </c>
      <c r="D18" t="s">
        <v>140</v>
      </c>
      <c r="E18" s="1">
        <v>44090</v>
      </c>
      <c r="F18" s="1">
        <v>44180</v>
      </c>
      <c r="G18" s="1">
        <v>43385</v>
      </c>
      <c r="H18" s="1">
        <v>43433</v>
      </c>
      <c r="I18" s="1">
        <v>43440</v>
      </c>
      <c r="J18" s="1">
        <v>43454</v>
      </c>
      <c r="K18" s="1">
        <v>43494</v>
      </c>
      <c r="L18" s="1">
        <v>43538</v>
      </c>
      <c r="M18" s="1">
        <v>43487</v>
      </c>
      <c r="N18" s="1">
        <v>43822</v>
      </c>
      <c r="O18" s="1">
        <v>43803</v>
      </c>
      <c r="P18" s="1">
        <v>43823</v>
      </c>
      <c r="Q18">
        <v>1</v>
      </c>
      <c r="R18">
        <v>1</v>
      </c>
      <c r="S18">
        <f t="shared" si="0"/>
        <v>11.451612903225806</v>
      </c>
      <c r="T18">
        <f t="shared" si="1"/>
        <v>12.129032258064516</v>
      </c>
      <c r="U18" s="2">
        <v>11.451612900000001</v>
      </c>
      <c r="V18" s="2">
        <v>12.129032260000001</v>
      </c>
      <c r="W18">
        <f t="shared" si="2"/>
        <v>10.387096774193548</v>
      </c>
      <c r="X18">
        <f t="shared" si="3"/>
        <v>11.064516129032258</v>
      </c>
      <c r="Y18" s="2">
        <v>10.387096769999999</v>
      </c>
      <c r="Z18" s="2">
        <v>11.064516129999999</v>
      </c>
      <c r="AA18">
        <v>2</v>
      </c>
      <c r="AB18" t="s">
        <v>51</v>
      </c>
      <c r="AC18" t="s">
        <v>119</v>
      </c>
      <c r="AD18">
        <v>0</v>
      </c>
      <c r="AE18">
        <v>7</v>
      </c>
      <c r="AF18">
        <v>49</v>
      </c>
      <c r="AG18" t="s">
        <v>80</v>
      </c>
      <c r="AH18" t="s">
        <v>54</v>
      </c>
      <c r="AI18" t="s">
        <v>55</v>
      </c>
      <c r="AJ18" t="s">
        <v>56</v>
      </c>
      <c r="AK18" t="s">
        <v>57</v>
      </c>
      <c r="AL18" t="s">
        <v>141</v>
      </c>
      <c r="AM18" t="s">
        <v>59</v>
      </c>
      <c r="AN18" t="s">
        <v>60</v>
      </c>
      <c r="AO18">
        <v>0</v>
      </c>
      <c r="AP18">
        <v>3</v>
      </c>
      <c r="AQ18" t="str">
        <f t="shared" si="4"/>
        <v>Responder</v>
      </c>
      <c r="AR18">
        <v>0.3</v>
      </c>
      <c r="AS18" t="s">
        <v>142</v>
      </c>
      <c r="AT18" t="s">
        <v>143</v>
      </c>
      <c r="AU18">
        <v>0.44600000000000001</v>
      </c>
      <c r="AW18">
        <v>24</v>
      </c>
      <c r="AX18">
        <v>2.2421519999999999</v>
      </c>
      <c r="AY18">
        <v>47.757849999999998</v>
      </c>
      <c r="AZ18">
        <v>15.8</v>
      </c>
      <c r="BA18">
        <v>1.5822780000000001</v>
      </c>
      <c r="BB18" t="s">
        <v>144</v>
      </c>
      <c r="BC18" t="s">
        <v>145</v>
      </c>
      <c r="BD18" t="s">
        <v>146</v>
      </c>
    </row>
    <row r="19" spans="1:56" x14ac:dyDescent="0.2">
      <c r="A19" t="s">
        <v>147</v>
      </c>
      <c r="B19" t="s">
        <v>68</v>
      </c>
      <c r="C19" t="s">
        <v>49</v>
      </c>
      <c r="D19" t="s">
        <v>140</v>
      </c>
      <c r="E19" s="1">
        <v>44090</v>
      </c>
      <c r="F19" s="1">
        <v>44180</v>
      </c>
      <c r="G19" s="1">
        <v>43385</v>
      </c>
      <c r="H19" s="1">
        <v>43433</v>
      </c>
      <c r="I19" s="1">
        <v>43440</v>
      </c>
      <c r="J19" s="1">
        <v>43454</v>
      </c>
      <c r="K19" s="1">
        <v>43494</v>
      </c>
      <c r="L19" s="1">
        <v>43538</v>
      </c>
      <c r="M19" s="1">
        <v>43487</v>
      </c>
      <c r="N19" s="1">
        <v>43822</v>
      </c>
      <c r="O19" s="1">
        <v>43803</v>
      </c>
      <c r="P19" s="1">
        <v>43823</v>
      </c>
      <c r="Q19">
        <v>1</v>
      </c>
      <c r="R19">
        <v>1</v>
      </c>
      <c r="S19">
        <f t="shared" si="0"/>
        <v>11.451612903225806</v>
      </c>
      <c r="T19">
        <f t="shared" si="1"/>
        <v>12.129032258064516</v>
      </c>
      <c r="U19" s="2">
        <v>11.451612900000001</v>
      </c>
      <c r="V19" s="2">
        <v>12.129032260000001</v>
      </c>
      <c r="W19">
        <f t="shared" si="2"/>
        <v>10.387096774193548</v>
      </c>
      <c r="X19">
        <f t="shared" si="3"/>
        <v>11.064516129032258</v>
      </c>
      <c r="Y19" s="2">
        <v>10.387096769999999</v>
      </c>
      <c r="Z19" s="2">
        <v>11.064516129999999</v>
      </c>
      <c r="AA19">
        <v>2</v>
      </c>
      <c r="AB19" t="s">
        <v>69</v>
      </c>
      <c r="AC19" t="s">
        <v>119</v>
      </c>
      <c r="AD19">
        <v>0</v>
      </c>
      <c r="AE19">
        <v>7</v>
      </c>
      <c r="AF19">
        <v>49</v>
      </c>
      <c r="AG19" t="s">
        <v>80</v>
      </c>
      <c r="AH19" t="s">
        <v>54</v>
      </c>
      <c r="AI19" t="s">
        <v>55</v>
      </c>
      <c r="AJ19" t="s">
        <v>56</v>
      </c>
      <c r="AK19" t="s">
        <v>57</v>
      </c>
      <c r="AL19" t="s">
        <v>141</v>
      </c>
      <c r="AM19" t="s">
        <v>59</v>
      </c>
      <c r="AN19" t="s">
        <v>60</v>
      </c>
      <c r="AO19">
        <v>0</v>
      </c>
      <c r="AP19">
        <v>3</v>
      </c>
      <c r="AQ19" t="str">
        <f t="shared" si="4"/>
        <v>Responder</v>
      </c>
      <c r="AR19">
        <v>0.3</v>
      </c>
      <c r="AS19" t="s">
        <v>142</v>
      </c>
      <c r="AT19" t="s">
        <v>143</v>
      </c>
      <c r="AU19">
        <v>1.1200000000000001</v>
      </c>
      <c r="AW19">
        <v>24</v>
      </c>
      <c r="AX19">
        <v>0.89285700000000001</v>
      </c>
      <c r="AY19">
        <v>49.107140000000001</v>
      </c>
      <c r="AZ19">
        <v>6.8</v>
      </c>
      <c r="BA19">
        <v>3.6764709999999998</v>
      </c>
      <c r="BB19" t="s">
        <v>148</v>
      </c>
      <c r="BC19" t="s">
        <v>149</v>
      </c>
      <c r="BD19" t="s">
        <v>150</v>
      </c>
    </row>
    <row r="20" spans="1:56" x14ac:dyDescent="0.2">
      <c r="A20" t="s">
        <v>151</v>
      </c>
      <c r="B20" t="s">
        <v>74</v>
      </c>
      <c r="C20" t="s">
        <v>49</v>
      </c>
      <c r="D20" t="s">
        <v>140</v>
      </c>
      <c r="E20" s="1">
        <v>44090</v>
      </c>
      <c r="F20" s="1">
        <v>44180</v>
      </c>
      <c r="G20" s="1">
        <v>43385</v>
      </c>
      <c r="H20" s="1">
        <v>43433</v>
      </c>
      <c r="I20" s="1">
        <v>43440</v>
      </c>
      <c r="J20" s="1">
        <v>43454</v>
      </c>
      <c r="K20" s="1">
        <v>43494</v>
      </c>
      <c r="L20" s="1">
        <v>43538</v>
      </c>
      <c r="M20" s="1">
        <v>43487</v>
      </c>
      <c r="N20" s="1">
        <v>43822</v>
      </c>
      <c r="O20" s="1">
        <v>43803</v>
      </c>
      <c r="P20" s="1">
        <v>43823</v>
      </c>
      <c r="Q20">
        <v>1</v>
      </c>
      <c r="R20">
        <v>1</v>
      </c>
      <c r="S20">
        <f t="shared" si="0"/>
        <v>11.451612903225806</v>
      </c>
      <c r="T20">
        <f t="shared" si="1"/>
        <v>12.129032258064516</v>
      </c>
      <c r="U20" s="2">
        <v>11.451612900000001</v>
      </c>
      <c r="V20" s="2">
        <v>12.129032260000001</v>
      </c>
      <c r="W20">
        <f t="shared" si="2"/>
        <v>10.387096774193548</v>
      </c>
      <c r="X20">
        <f t="shared" si="3"/>
        <v>11.064516129032258</v>
      </c>
      <c r="Y20" s="2">
        <v>10.387096769999999</v>
      </c>
      <c r="Z20" s="2">
        <v>11.064516129999999</v>
      </c>
      <c r="AA20">
        <v>2</v>
      </c>
      <c r="AB20" t="s">
        <v>69</v>
      </c>
      <c r="AC20" t="s">
        <v>119</v>
      </c>
      <c r="AD20">
        <v>0</v>
      </c>
      <c r="AE20">
        <v>7</v>
      </c>
      <c r="AF20">
        <v>49</v>
      </c>
      <c r="AG20" t="s">
        <v>80</v>
      </c>
      <c r="AH20" t="s">
        <v>54</v>
      </c>
      <c r="AI20" t="s">
        <v>55</v>
      </c>
      <c r="AJ20" t="s">
        <v>56</v>
      </c>
      <c r="AK20" t="s">
        <v>57</v>
      </c>
      <c r="AL20" t="s">
        <v>141</v>
      </c>
      <c r="AM20" t="s">
        <v>59</v>
      </c>
      <c r="AN20" t="s">
        <v>60</v>
      </c>
      <c r="AO20">
        <v>0</v>
      </c>
      <c r="AP20">
        <v>3</v>
      </c>
      <c r="AQ20" t="str">
        <f t="shared" si="4"/>
        <v>Responder</v>
      </c>
      <c r="AR20">
        <v>0.3</v>
      </c>
      <c r="AS20" t="s">
        <v>142</v>
      </c>
      <c r="AT20" t="s">
        <v>143</v>
      </c>
      <c r="AU20">
        <v>0.93600000000000005</v>
      </c>
      <c r="AW20">
        <v>24</v>
      </c>
      <c r="AX20">
        <v>1.068376</v>
      </c>
      <c r="AY20">
        <v>48.931620000000002</v>
      </c>
      <c r="AZ20">
        <v>8.48</v>
      </c>
      <c r="BA20">
        <v>2.9481130000000002</v>
      </c>
      <c r="BB20" t="s">
        <v>152</v>
      </c>
      <c r="BC20" t="s">
        <v>153</v>
      </c>
      <c r="BD20" t="s">
        <v>154</v>
      </c>
    </row>
    <row r="21" spans="1:56" x14ac:dyDescent="0.2">
      <c r="A21" t="s">
        <v>155</v>
      </c>
      <c r="B21" t="s">
        <v>48</v>
      </c>
      <c r="C21" t="s">
        <v>49</v>
      </c>
      <c r="D21" t="s">
        <v>156</v>
      </c>
      <c r="E21" s="1">
        <v>44090</v>
      </c>
      <c r="F21" s="1">
        <v>44179</v>
      </c>
      <c r="G21" s="1">
        <v>42867</v>
      </c>
      <c r="H21" s="1">
        <v>42878</v>
      </c>
      <c r="I21" s="1">
        <v>42901</v>
      </c>
      <c r="J21" s="1">
        <v>42908</v>
      </c>
      <c r="K21" s="1">
        <v>42965</v>
      </c>
      <c r="L21" s="1">
        <v>43018</v>
      </c>
      <c r="M21" s="1">
        <v>42958</v>
      </c>
      <c r="N21" s="1">
        <v>45020</v>
      </c>
      <c r="Q21">
        <v>0</v>
      </c>
      <c r="R21">
        <v>0</v>
      </c>
      <c r="S21">
        <f t="shared" si="0"/>
        <v>69.433333333333337</v>
      </c>
      <c r="T21">
        <f t="shared" si="1"/>
        <v>69.433333333333337</v>
      </c>
      <c r="U21" s="2">
        <v>69.433333329999996</v>
      </c>
      <c r="V21" s="2">
        <v>69.433333329999996</v>
      </c>
      <c r="W21">
        <f t="shared" si="2"/>
        <v>67.774193548387103</v>
      </c>
      <c r="X21">
        <f t="shared" si="3"/>
        <v>67.774193548387103</v>
      </c>
      <c r="Y21" s="2">
        <v>67.774193550000007</v>
      </c>
      <c r="Z21" s="2">
        <v>67.774193550000007</v>
      </c>
      <c r="AA21">
        <v>2</v>
      </c>
      <c r="AB21" t="s">
        <v>69</v>
      </c>
      <c r="AC21" t="s">
        <v>157</v>
      </c>
      <c r="AD21">
        <v>0</v>
      </c>
      <c r="AE21">
        <v>8</v>
      </c>
      <c r="AF21">
        <v>38</v>
      </c>
      <c r="AG21" t="s">
        <v>53</v>
      </c>
      <c r="AH21" t="s">
        <v>54</v>
      </c>
      <c r="AI21" t="s">
        <v>55</v>
      </c>
      <c r="AJ21" t="s">
        <v>56</v>
      </c>
      <c r="AK21" t="s">
        <v>57</v>
      </c>
      <c r="AL21" t="s">
        <v>158</v>
      </c>
      <c r="AM21" t="s">
        <v>59</v>
      </c>
      <c r="AN21" t="s">
        <v>57</v>
      </c>
      <c r="AO21">
        <v>0</v>
      </c>
      <c r="AP21">
        <v>0</v>
      </c>
      <c r="AQ21" t="str">
        <f t="shared" si="4"/>
        <v>Non-Responder</v>
      </c>
      <c r="AR21" t="s">
        <v>61</v>
      </c>
      <c r="AS21" t="s">
        <v>62</v>
      </c>
      <c r="AT21" t="s">
        <v>63</v>
      </c>
      <c r="AU21">
        <v>5.92</v>
      </c>
      <c r="AW21">
        <v>24</v>
      </c>
      <c r="AX21">
        <v>0.16891900000000001</v>
      </c>
      <c r="AY21">
        <v>49.83108</v>
      </c>
      <c r="AZ21">
        <v>2.6</v>
      </c>
      <c r="BA21">
        <v>9.6153849999999998</v>
      </c>
      <c r="BB21" t="s">
        <v>159</v>
      </c>
      <c r="BC21" t="s">
        <v>160</v>
      </c>
      <c r="BD21" t="s">
        <v>161</v>
      </c>
    </row>
    <row r="22" spans="1:56" x14ac:dyDescent="0.2">
      <c r="A22" t="s">
        <v>162</v>
      </c>
      <c r="B22" t="s">
        <v>68</v>
      </c>
      <c r="C22" t="s">
        <v>49</v>
      </c>
      <c r="D22" t="s">
        <v>156</v>
      </c>
      <c r="E22" s="1">
        <v>44090</v>
      </c>
      <c r="F22" s="1">
        <v>44179</v>
      </c>
      <c r="G22" s="1">
        <v>42867</v>
      </c>
      <c r="H22" s="1">
        <v>42878</v>
      </c>
      <c r="I22" s="1">
        <v>42901</v>
      </c>
      <c r="J22" s="1">
        <v>42908</v>
      </c>
      <c r="K22" s="1">
        <v>42965</v>
      </c>
      <c r="L22" s="1">
        <v>43018</v>
      </c>
      <c r="M22" s="1">
        <v>42958</v>
      </c>
      <c r="N22" s="1">
        <v>45020</v>
      </c>
      <c r="Q22">
        <v>0</v>
      </c>
      <c r="R22">
        <v>0</v>
      </c>
      <c r="S22">
        <f t="shared" si="0"/>
        <v>69.433333333333337</v>
      </c>
      <c r="T22">
        <f t="shared" si="1"/>
        <v>69.433333333333337</v>
      </c>
      <c r="U22" s="2">
        <v>69.433333329999996</v>
      </c>
      <c r="V22" s="2">
        <v>69.433333329999996</v>
      </c>
      <c r="W22">
        <f t="shared" si="2"/>
        <v>67.774193548387103</v>
      </c>
      <c r="X22">
        <f t="shared" si="3"/>
        <v>67.774193548387103</v>
      </c>
      <c r="Y22" s="2">
        <v>67.774193550000007</v>
      </c>
      <c r="Z22" s="2">
        <v>67.774193550000007</v>
      </c>
      <c r="AA22">
        <v>2</v>
      </c>
      <c r="AB22" t="s">
        <v>51</v>
      </c>
      <c r="AC22" t="s">
        <v>157</v>
      </c>
      <c r="AD22">
        <v>0</v>
      </c>
      <c r="AE22">
        <v>8</v>
      </c>
      <c r="AF22">
        <v>38</v>
      </c>
      <c r="AG22" t="s">
        <v>53</v>
      </c>
      <c r="AH22" t="s">
        <v>54</v>
      </c>
      <c r="AI22" t="s">
        <v>55</v>
      </c>
      <c r="AJ22" t="s">
        <v>56</v>
      </c>
      <c r="AK22" t="s">
        <v>57</v>
      </c>
      <c r="AL22" t="s">
        <v>158</v>
      </c>
      <c r="AM22" t="s">
        <v>59</v>
      </c>
      <c r="AN22" t="s">
        <v>57</v>
      </c>
      <c r="AO22">
        <v>0</v>
      </c>
      <c r="AP22">
        <v>0</v>
      </c>
      <c r="AQ22" t="str">
        <f t="shared" si="4"/>
        <v>Non-Responder</v>
      </c>
      <c r="AR22" t="s">
        <v>61</v>
      </c>
      <c r="AS22" t="s">
        <v>62</v>
      </c>
      <c r="AT22" t="s">
        <v>63</v>
      </c>
      <c r="AU22">
        <v>3.08</v>
      </c>
      <c r="AW22">
        <v>24</v>
      </c>
      <c r="AX22">
        <v>0.32467499999999999</v>
      </c>
      <c r="AY22">
        <v>49.675319999999999</v>
      </c>
      <c r="AZ22">
        <v>9.32</v>
      </c>
      <c r="BA22">
        <v>2.6824029999999999</v>
      </c>
      <c r="BB22" t="s">
        <v>163</v>
      </c>
      <c r="BC22" t="s">
        <v>164</v>
      </c>
      <c r="BD22" t="s">
        <v>165</v>
      </c>
    </row>
    <row r="23" spans="1:56" x14ac:dyDescent="0.2">
      <c r="A23" t="s">
        <v>166</v>
      </c>
      <c r="B23" t="s">
        <v>74</v>
      </c>
      <c r="C23" t="s">
        <v>49</v>
      </c>
      <c r="D23" t="s">
        <v>156</v>
      </c>
      <c r="E23" s="1">
        <v>44090</v>
      </c>
      <c r="F23" s="1">
        <v>44179</v>
      </c>
      <c r="G23" s="1">
        <v>42867</v>
      </c>
      <c r="H23" s="1">
        <v>42878</v>
      </c>
      <c r="I23" s="1">
        <v>42901</v>
      </c>
      <c r="J23" s="1">
        <v>42908</v>
      </c>
      <c r="K23" s="1">
        <v>42965</v>
      </c>
      <c r="L23" s="1">
        <v>43018</v>
      </c>
      <c r="M23" s="1">
        <v>42958</v>
      </c>
      <c r="N23" s="1">
        <v>45020</v>
      </c>
      <c r="Q23">
        <v>0</v>
      </c>
      <c r="R23">
        <v>0</v>
      </c>
      <c r="S23">
        <f t="shared" si="0"/>
        <v>69.433333333333337</v>
      </c>
      <c r="T23">
        <f t="shared" si="1"/>
        <v>69.433333333333337</v>
      </c>
      <c r="U23" s="2">
        <v>69.433333329999996</v>
      </c>
      <c r="V23" s="2">
        <v>69.433333329999996</v>
      </c>
      <c r="W23">
        <f t="shared" si="2"/>
        <v>67.774193548387103</v>
      </c>
      <c r="X23">
        <f t="shared" si="3"/>
        <v>67.774193548387103</v>
      </c>
      <c r="Y23" s="2">
        <v>67.774193550000007</v>
      </c>
      <c r="Z23" s="2">
        <v>67.774193550000007</v>
      </c>
      <c r="AA23">
        <v>2</v>
      </c>
      <c r="AB23" t="s">
        <v>69</v>
      </c>
      <c r="AC23" t="s">
        <v>157</v>
      </c>
      <c r="AD23">
        <v>0</v>
      </c>
      <c r="AE23">
        <v>8</v>
      </c>
      <c r="AF23">
        <v>38</v>
      </c>
      <c r="AG23" t="s">
        <v>53</v>
      </c>
      <c r="AH23" t="s">
        <v>54</v>
      </c>
      <c r="AI23" t="s">
        <v>55</v>
      </c>
      <c r="AJ23" t="s">
        <v>56</v>
      </c>
      <c r="AK23" t="s">
        <v>57</v>
      </c>
      <c r="AL23" t="s">
        <v>158</v>
      </c>
      <c r="AM23" t="s">
        <v>59</v>
      </c>
      <c r="AN23" t="s">
        <v>57</v>
      </c>
      <c r="AO23">
        <v>0</v>
      </c>
      <c r="AP23">
        <v>0</v>
      </c>
      <c r="AQ23" t="str">
        <f t="shared" si="4"/>
        <v>Non-Responder</v>
      </c>
      <c r="AR23" t="s">
        <v>61</v>
      </c>
      <c r="AS23" t="s">
        <v>62</v>
      </c>
      <c r="AT23" t="s">
        <v>63</v>
      </c>
      <c r="AU23">
        <v>3.98</v>
      </c>
      <c r="AW23">
        <v>24</v>
      </c>
      <c r="AX23">
        <v>0.25125599999999998</v>
      </c>
      <c r="AY23">
        <v>49.748739999999998</v>
      </c>
      <c r="AZ23">
        <v>5</v>
      </c>
      <c r="BA23">
        <v>5</v>
      </c>
      <c r="BB23" t="s">
        <v>167</v>
      </c>
      <c r="BC23" t="s">
        <v>168</v>
      </c>
      <c r="BD23" t="s">
        <v>169</v>
      </c>
    </row>
    <row r="24" spans="1:56" x14ac:dyDescent="0.2">
      <c r="A24" t="s">
        <v>170</v>
      </c>
      <c r="B24" t="s">
        <v>48</v>
      </c>
      <c r="C24" t="s">
        <v>106</v>
      </c>
      <c r="D24" t="s">
        <v>171</v>
      </c>
      <c r="E24" s="1">
        <v>44090</v>
      </c>
      <c r="F24" s="1">
        <v>44179</v>
      </c>
      <c r="G24" s="1">
        <v>43544</v>
      </c>
      <c r="H24" s="1">
        <v>43591</v>
      </c>
      <c r="I24" s="1">
        <v>43598</v>
      </c>
      <c r="J24" s="1">
        <v>43621</v>
      </c>
      <c r="K24" s="1">
        <v>43664</v>
      </c>
      <c r="L24" s="1">
        <v>43707</v>
      </c>
      <c r="M24" s="1">
        <v>43654</v>
      </c>
      <c r="N24" s="1">
        <v>44781</v>
      </c>
      <c r="P24" s="1">
        <v>44782</v>
      </c>
      <c r="Q24">
        <v>1</v>
      </c>
      <c r="R24">
        <v>1</v>
      </c>
      <c r="S24">
        <v>38.133333333333333</v>
      </c>
      <c r="T24">
        <f t="shared" si="1"/>
        <v>38.133333333333333</v>
      </c>
      <c r="U24" s="2">
        <v>38.133333329999999</v>
      </c>
      <c r="V24" s="2">
        <v>38.133333329999999</v>
      </c>
      <c r="W24">
        <v>37.032258064516128</v>
      </c>
      <c r="X24">
        <f t="shared" si="3"/>
        <v>37.032258064516128</v>
      </c>
      <c r="Y24" s="2">
        <v>37.032258059999997</v>
      </c>
      <c r="Z24" s="2">
        <v>37.032258059999997</v>
      </c>
      <c r="AA24">
        <v>2</v>
      </c>
      <c r="AB24" t="s">
        <v>51</v>
      </c>
      <c r="AC24" t="s">
        <v>157</v>
      </c>
      <c r="AD24">
        <v>0</v>
      </c>
      <c r="AE24">
        <v>9</v>
      </c>
      <c r="AF24">
        <v>63</v>
      </c>
      <c r="AG24" t="s">
        <v>80</v>
      </c>
      <c r="AH24" t="s">
        <v>54</v>
      </c>
      <c r="AI24" t="s">
        <v>55</v>
      </c>
      <c r="AJ24" t="s">
        <v>56</v>
      </c>
      <c r="AK24" t="s">
        <v>55</v>
      </c>
      <c r="AL24" t="s">
        <v>172</v>
      </c>
      <c r="AM24" t="s">
        <v>59</v>
      </c>
      <c r="AN24" t="s">
        <v>60</v>
      </c>
      <c r="AO24">
        <v>1</v>
      </c>
      <c r="AP24">
        <v>3</v>
      </c>
      <c r="AQ24" t="str">
        <f t="shared" si="4"/>
        <v>Responder</v>
      </c>
      <c r="AR24">
        <v>0.3</v>
      </c>
      <c r="AS24" t="s">
        <v>142</v>
      </c>
      <c r="AT24" t="s">
        <v>143</v>
      </c>
      <c r="AU24">
        <v>0.53400000000000003</v>
      </c>
      <c r="AW24">
        <v>24</v>
      </c>
      <c r="AX24">
        <v>1.8726590000000001</v>
      </c>
      <c r="AY24">
        <v>48.127339999999997</v>
      </c>
      <c r="AZ24">
        <v>10.6</v>
      </c>
      <c r="BA24">
        <v>2.3584909999999999</v>
      </c>
      <c r="BB24" t="s">
        <v>173</v>
      </c>
      <c r="BC24" t="s">
        <v>174</v>
      </c>
      <c r="BD24" t="s">
        <v>175</v>
      </c>
    </row>
    <row r="25" spans="1:56" x14ac:dyDescent="0.2">
      <c r="A25" t="s">
        <v>176</v>
      </c>
      <c r="B25" t="s">
        <v>68</v>
      </c>
      <c r="C25" t="s">
        <v>106</v>
      </c>
      <c r="D25" t="s">
        <v>171</v>
      </c>
      <c r="E25" s="1">
        <v>44091</v>
      </c>
      <c r="F25" s="1">
        <v>44180</v>
      </c>
      <c r="G25" s="1">
        <v>43544</v>
      </c>
      <c r="H25" s="1">
        <v>43591</v>
      </c>
      <c r="I25" s="1">
        <v>43598</v>
      </c>
      <c r="J25" s="1">
        <v>43621</v>
      </c>
      <c r="K25" s="1">
        <v>43664</v>
      </c>
      <c r="L25" s="1">
        <v>43707</v>
      </c>
      <c r="M25" s="1">
        <v>43654</v>
      </c>
      <c r="N25" s="1">
        <v>44781</v>
      </c>
      <c r="P25" s="1">
        <v>44782</v>
      </c>
      <c r="Q25">
        <v>1</v>
      </c>
      <c r="R25">
        <v>1</v>
      </c>
      <c r="S25">
        <v>38.133333333333333</v>
      </c>
      <c r="T25">
        <f t="shared" si="1"/>
        <v>38.133333333333333</v>
      </c>
      <c r="U25" s="2">
        <v>38.133333329999999</v>
      </c>
      <c r="V25" s="2">
        <v>38.133333329999999</v>
      </c>
      <c r="W25">
        <v>37.032258064516128</v>
      </c>
      <c r="X25">
        <f t="shared" si="3"/>
        <v>37.032258064516128</v>
      </c>
      <c r="Y25" s="2">
        <v>37.032258059999997</v>
      </c>
      <c r="Z25" s="2">
        <v>37.032258059999997</v>
      </c>
      <c r="AA25">
        <v>2</v>
      </c>
      <c r="AB25" t="s">
        <v>69</v>
      </c>
      <c r="AC25" t="s">
        <v>157</v>
      </c>
      <c r="AD25">
        <v>0</v>
      </c>
      <c r="AE25">
        <v>9</v>
      </c>
      <c r="AF25">
        <v>63</v>
      </c>
      <c r="AG25" t="s">
        <v>80</v>
      </c>
      <c r="AH25" t="s">
        <v>54</v>
      </c>
      <c r="AI25" t="s">
        <v>55</v>
      </c>
      <c r="AJ25" t="s">
        <v>56</v>
      </c>
      <c r="AK25" t="s">
        <v>55</v>
      </c>
      <c r="AL25" t="s">
        <v>172</v>
      </c>
      <c r="AM25" t="s">
        <v>59</v>
      </c>
      <c r="AN25" t="s">
        <v>60</v>
      </c>
      <c r="AO25">
        <v>1</v>
      </c>
      <c r="AP25">
        <v>3</v>
      </c>
      <c r="AQ25" t="str">
        <f t="shared" si="4"/>
        <v>Responder</v>
      </c>
      <c r="AR25">
        <v>0.3</v>
      </c>
      <c r="AS25" t="s">
        <v>142</v>
      </c>
      <c r="AT25" t="s">
        <v>143</v>
      </c>
      <c r="AU25">
        <v>1.43</v>
      </c>
      <c r="AW25">
        <v>24</v>
      </c>
      <c r="AX25">
        <v>0.69930099999999995</v>
      </c>
      <c r="AY25">
        <v>49.300699999999999</v>
      </c>
      <c r="AZ25">
        <v>7.26</v>
      </c>
      <c r="BA25">
        <v>3.4435259999999999</v>
      </c>
      <c r="BB25" t="s">
        <v>177</v>
      </c>
      <c r="BC25" t="s">
        <v>178</v>
      </c>
      <c r="BD25" t="s">
        <v>179</v>
      </c>
    </row>
    <row r="26" spans="1:56" x14ac:dyDescent="0.2">
      <c r="A26" t="s">
        <v>180</v>
      </c>
      <c r="B26" t="s">
        <v>74</v>
      </c>
      <c r="C26" t="s">
        <v>106</v>
      </c>
      <c r="D26" t="s">
        <v>171</v>
      </c>
      <c r="E26" s="1">
        <v>44091</v>
      </c>
      <c r="F26" s="1">
        <v>44179</v>
      </c>
      <c r="G26" s="1">
        <v>43544</v>
      </c>
      <c r="H26" s="1">
        <v>43591</v>
      </c>
      <c r="I26" s="1">
        <v>43598</v>
      </c>
      <c r="J26" s="1">
        <v>43621</v>
      </c>
      <c r="K26" s="1">
        <v>43664</v>
      </c>
      <c r="L26" s="1">
        <v>43707</v>
      </c>
      <c r="M26" s="1">
        <v>43654</v>
      </c>
      <c r="N26" s="1">
        <v>44781</v>
      </c>
      <c r="P26" s="1">
        <v>44782</v>
      </c>
      <c r="Q26">
        <v>1</v>
      </c>
      <c r="R26">
        <v>1</v>
      </c>
      <c r="S26">
        <v>38.133333333333333</v>
      </c>
      <c r="T26">
        <f t="shared" si="1"/>
        <v>38.133333333333333</v>
      </c>
      <c r="U26" s="2">
        <v>38.133333329999999</v>
      </c>
      <c r="V26" s="2">
        <v>38.133333329999999</v>
      </c>
      <c r="W26">
        <v>37.032258064516128</v>
      </c>
      <c r="X26">
        <f t="shared" si="3"/>
        <v>37.032258064516128</v>
      </c>
      <c r="Y26" s="2">
        <v>37.032258059999997</v>
      </c>
      <c r="Z26" s="2">
        <v>37.032258059999997</v>
      </c>
      <c r="AA26">
        <v>2</v>
      </c>
      <c r="AB26" t="s">
        <v>69</v>
      </c>
      <c r="AC26" t="s">
        <v>157</v>
      </c>
      <c r="AD26">
        <v>0</v>
      </c>
      <c r="AE26">
        <v>9</v>
      </c>
      <c r="AF26">
        <v>63</v>
      </c>
      <c r="AG26" t="s">
        <v>80</v>
      </c>
      <c r="AH26" t="s">
        <v>54</v>
      </c>
      <c r="AI26" t="s">
        <v>55</v>
      </c>
      <c r="AJ26" t="s">
        <v>56</v>
      </c>
      <c r="AK26" t="s">
        <v>55</v>
      </c>
      <c r="AL26" t="s">
        <v>172</v>
      </c>
      <c r="AM26" t="s">
        <v>59</v>
      </c>
      <c r="AN26" t="s">
        <v>60</v>
      </c>
      <c r="AO26">
        <v>1</v>
      </c>
      <c r="AP26">
        <v>3</v>
      </c>
      <c r="AQ26" t="str">
        <f t="shared" si="4"/>
        <v>Responder</v>
      </c>
      <c r="AR26">
        <v>0.3</v>
      </c>
      <c r="AS26" t="s">
        <v>142</v>
      </c>
      <c r="AT26" t="s">
        <v>143</v>
      </c>
      <c r="AU26">
        <v>1.08</v>
      </c>
      <c r="AW26">
        <v>24</v>
      </c>
      <c r="AX26">
        <v>0.92592600000000003</v>
      </c>
      <c r="AY26">
        <v>49.074069999999999</v>
      </c>
      <c r="AZ26">
        <v>4.9400000000000004</v>
      </c>
      <c r="BA26">
        <v>5.0607290000000003</v>
      </c>
      <c r="BB26" t="s">
        <v>181</v>
      </c>
      <c r="BC26" t="s">
        <v>182</v>
      </c>
      <c r="BD26" t="s">
        <v>183</v>
      </c>
    </row>
    <row r="27" spans="1:56" x14ac:dyDescent="0.2">
      <c r="A27" t="s">
        <v>184</v>
      </c>
      <c r="B27" t="s">
        <v>48</v>
      </c>
      <c r="C27" t="s">
        <v>185</v>
      </c>
      <c r="D27" t="s">
        <v>186</v>
      </c>
      <c r="E27" s="1">
        <v>44091</v>
      </c>
      <c r="F27" s="1">
        <v>44179</v>
      </c>
      <c r="G27" s="1">
        <v>43677</v>
      </c>
      <c r="H27" s="1">
        <v>43707</v>
      </c>
      <c r="I27" s="1">
        <v>43727</v>
      </c>
      <c r="J27" s="1">
        <v>43740</v>
      </c>
      <c r="K27" s="1">
        <v>43776</v>
      </c>
      <c r="L27" s="1">
        <v>43826</v>
      </c>
      <c r="M27" s="1">
        <v>43769</v>
      </c>
      <c r="N27" s="1">
        <v>44465</v>
      </c>
      <c r="P27" s="1">
        <v>44466</v>
      </c>
      <c r="Q27">
        <v>1</v>
      </c>
      <c r="R27">
        <v>1</v>
      </c>
      <c r="S27">
        <v>23.806451612903224</v>
      </c>
      <c r="T27">
        <f t="shared" si="1"/>
        <v>23.806451612903224</v>
      </c>
      <c r="U27" s="2">
        <v>23.80645161</v>
      </c>
      <c r="V27" s="2">
        <v>23.80645161</v>
      </c>
      <c r="W27">
        <v>22.870967741935484</v>
      </c>
      <c r="X27">
        <f t="shared" si="3"/>
        <v>22.870967741935484</v>
      </c>
      <c r="Y27" s="2">
        <v>22.870967740000001</v>
      </c>
      <c r="Z27" s="2">
        <v>22.870967740000001</v>
      </c>
      <c r="AA27">
        <v>2</v>
      </c>
      <c r="AB27" t="s">
        <v>69</v>
      </c>
      <c r="AC27" t="s">
        <v>157</v>
      </c>
      <c r="AD27">
        <v>0</v>
      </c>
      <c r="AE27">
        <v>10</v>
      </c>
      <c r="AF27">
        <v>49</v>
      </c>
      <c r="AG27" t="s">
        <v>80</v>
      </c>
      <c r="AH27" t="s">
        <v>54</v>
      </c>
      <c r="AI27" t="s">
        <v>55</v>
      </c>
      <c r="AJ27" t="s">
        <v>56</v>
      </c>
      <c r="AK27" t="s">
        <v>55</v>
      </c>
      <c r="AL27" t="s">
        <v>96</v>
      </c>
      <c r="AM27" t="s">
        <v>59</v>
      </c>
      <c r="AN27" t="s">
        <v>57</v>
      </c>
      <c r="AO27">
        <v>0</v>
      </c>
      <c r="AP27">
        <v>0</v>
      </c>
      <c r="AQ27" t="str">
        <f t="shared" si="4"/>
        <v>Non-Responder</v>
      </c>
      <c r="AR27" t="s">
        <v>61</v>
      </c>
      <c r="AS27" t="s">
        <v>62</v>
      </c>
      <c r="AT27" t="s">
        <v>63</v>
      </c>
      <c r="AU27">
        <v>1.29</v>
      </c>
      <c r="AW27">
        <v>24</v>
      </c>
      <c r="AX27">
        <v>0.77519400000000005</v>
      </c>
      <c r="AY27">
        <v>49.224809999999998</v>
      </c>
      <c r="AZ27">
        <v>4.68</v>
      </c>
      <c r="BA27">
        <v>5.3418799999999997</v>
      </c>
      <c r="BB27" t="s">
        <v>187</v>
      </c>
      <c r="BC27" t="s">
        <v>188</v>
      </c>
      <c r="BD27" t="s">
        <v>189</v>
      </c>
    </row>
    <row r="28" spans="1:56" x14ac:dyDescent="0.2">
      <c r="A28" t="s">
        <v>190</v>
      </c>
      <c r="B28" t="s">
        <v>74</v>
      </c>
      <c r="C28" t="s">
        <v>185</v>
      </c>
      <c r="D28" t="s">
        <v>186</v>
      </c>
      <c r="E28" s="1">
        <v>44091</v>
      </c>
      <c r="F28" s="1">
        <v>44179</v>
      </c>
      <c r="G28" s="1">
        <v>43677</v>
      </c>
      <c r="H28" s="1">
        <v>43707</v>
      </c>
      <c r="I28" s="1">
        <v>43727</v>
      </c>
      <c r="J28" s="1">
        <v>43740</v>
      </c>
      <c r="K28" s="1">
        <v>43776</v>
      </c>
      <c r="L28" s="1">
        <v>43826</v>
      </c>
      <c r="M28" s="1">
        <v>43769</v>
      </c>
      <c r="N28" s="1">
        <v>44465</v>
      </c>
      <c r="P28" s="1">
        <v>44466</v>
      </c>
      <c r="Q28">
        <v>1</v>
      </c>
      <c r="R28">
        <v>1</v>
      </c>
      <c r="S28">
        <v>23.806451612903224</v>
      </c>
      <c r="T28">
        <f t="shared" si="1"/>
        <v>23.806451612903224</v>
      </c>
      <c r="U28" s="2">
        <v>23.80645161</v>
      </c>
      <c r="V28" s="2">
        <v>23.80645161</v>
      </c>
      <c r="W28">
        <v>22.870967741935484</v>
      </c>
      <c r="X28">
        <f t="shared" si="3"/>
        <v>22.870967741935484</v>
      </c>
      <c r="Y28" s="2">
        <v>22.870967740000001</v>
      </c>
      <c r="Z28" s="2">
        <v>22.870967740000001</v>
      </c>
      <c r="AA28">
        <v>2</v>
      </c>
      <c r="AB28" t="s">
        <v>51</v>
      </c>
      <c r="AC28" t="s">
        <v>157</v>
      </c>
      <c r="AD28">
        <v>0</v>
      </c>
      <c r="AE28">
        <v>10</v>
      </c>
      <c r="AF28">
        <v>49</v>
      </c>
      <c r="AG28" t="s">
        <v>80</v>
      </c>
      <c r="AH28" t="s">
        <v>54</v>
      </c>
      <c r="AI28" t="s">
        <v>55</v>
      </c>
      <c r="AJ28" t="s">
        <v>56</v>
      </c>
      <c r="AK28" t="s">
        <v>55</v>
      </c>
      <c r="AL28" t="s">
        <v>96</v>
      </c>
      <c r="AM28" t="s">
        <v>59</v>
      </c>
      <c r="AN28" t="s">
        <v>57</v>
      </c>
      <c r="AO28">
        <v>0</v>
      </c>
      <c r="AP28">
        <v>0</v>
      </c>
      <c r="AQ28" t="str">
        <f t="shared" si="4"/>
        <v>Non-Responder</v>
      </c>
      <c r="AR28" t="s">
        <v>61</v>
      </c>
      <c r="AS28" t="s">
        <v>62</v>
      </c>
      <c r="AT28" t="s">
        <v>63</v>
      </c>
      <c r="AU28">
        <v>1.2</v>
      </c>
      <c r="AW28">
        <v>24</v>
      </c>
      <c r="AX28">
        <v>0.83333299999999999</v>
      </c>
      <c r="AY28">
        <v>49.166670000000003</v>
      </c>
      <c r="AZ28">
        <v>6.42</v>
      </c>
      <c r="BA28">
        <v>3.8940809999999999</v>
      </c>
      <c r="BB28" t="s">
        <v>191</v>
      </c>
      <c r="BC28" t="s">
        <v>192</v>
      </c>
      <c r="BD28" t="s">
        <v>193</v>
      </c>
    </row>
    <row r="29" spans="1:56" x14ac:dyDescent="0.2">
      <c r="A29" t="s">
        <v>194</v>
      </c>
      <c r="B29" t="s">
        <v>48</v>
      </c>
      <c r="C29" t="s">
        <v>106</v>
      </c>
      <c r="D29" t="s">
        <v>195</v>
      </c>
      <c r="E29" s="1">
        <v>44091</v>
      </c>
      <c r="F29" s="1">
        <v>44179</v>
      </c>
      <c r="G29" s="1">
        <v>42892</v>
      </c>
      <c r="H29" s="1">
        <v>42914</v>
      </c>
      <c r="I29" s="1">
        <v>42919</v>
      </c>
      <c r="J29" s="1">
        <v>42926</v>
      </c>
      <c r="K29" s="1">
        <v>42962</v>
      </c>
      <c r="L29" s="1">
        <v>42997</v>
      </c>
      <c r="M29" s="1">
        <v>42955</v>
      </c>
      <c r="N29" s="1">
        <v>44887</v>
      </c>
      <c r="Q29">
        <v>0</v>
      </c>
      <c r="R29">
        <v>0</v>
      </c>
      <c r="S29">
        <f t="shared" si="0"/>
        <v>64.387096774193552</v>
      </c>
      <c r="T29">
        <f t="shared" si="1"/>
        <v>64.387096774193552</v>
      </c>
      <c r="U29" s="2">
        <v>64.387096769999999</v>
      </c>
      <c r="V29" s="2">
        <v>64.387096769999999</v>
      </c>
      <c r="W29">
        <f t="shared" si="2"/>
        <v>63.451612903225808</v>
      </c>
      <c r="X29">
        <f t="shared" si="3"/>
        <v>63.451612903225808</v>
      </c>
      <c r="Y29" s="2">
        <v>63.451612900000001</v>
      </c>
      <c r="Z29" s="2">
        <v>63.451612900000001</v>
      </c>
      <c r="AA29">
        <v>2</v>
      </c>
      <c r="AB29" t="s">
        <v>51</v>
      </c>
      <c r="AC29" t="s">
        <v>196</v>
      </c>
      <c r="AD29">
        <v>0</v>
      </c>
      <c r="AE29">
        <v>11</v>
      </c>
      <c r="AF29">
        <v>45</v>
      </c>
      <c r="AG29" t="s">
        <v>80</v>
      </c>
      <c r="AH29" t="s">
        <v>54</v>
      </c>
      <c r="AI29" t="s">
        <v>55</v>
      </c>
      <c r="AJ29" t="s">
        <v>56</v>
      </c>
      <c r="AK29" t="s">
        <v>57</v>
      </c>
      <c r="AL29" t="s">
        <v>197</v>
      </c>
      <c r="AM29" t="s">
        <v>109</v>
      </c>
      <c r="AN29" t="s">
        <v>60</v>
      </c>
      <c r="AO29">
        <v>1</v>
      </c>
      <c r="AP29">
        <v>0</v>
      </c>
      <c r="AQ29" t="str">
        <f t="shared" si="4"/>
        <v>Non-Responder</v>
      </c>
      <c r="AR29" t="s">
        <v>61</v>
      </c>
      <c r="AS29" t="s">
        <v>62</v>
      </c>
      <c r="AT29" t="s">
        <v>63</v>
      </c>
      <c r="AU29">
        <v>0.93600000000000005</v>
      </c>
      <c r="AW29">
        <v>24</v>
      </c>
      <c r="AX29">
        <v>1.068376</v>
      </c>
      <c r="AY29">
        <v>48.931620000000002</v>
      </c>
      <c r="AZ29">
        <v>6.02</v>
      </c>
      <c r="BA29">
        <v>4.1528239999999998</v>
      </c>
      <c r="BB29" t="s">
        <v>198</v>
      </c>
      <c r="BC29" t="s">
        <v>199</v>
      </c>
      <c r="BD29" t="s">
        <v>200</v>
      </c>
    </row>
    <row r="30" spans="1:56" x14ac:dyDescent="0.2">
      <c r="A30" t="s">
        <v>201</v>
      </c>
      <c r="B30" t="s">
        <v>74</v>
      </c>
      <c r="C30" t="s">
        <v>106</v>
      </c>
      <c r="D30" t="s">
        <v>195</v>
      </c>
      <c r="E30" s="1">
        <v>44091</v>
      </c>
      <c r="F30" s="1">
        <v>44180</v>
      </c>
      <c r="G30" s="1">
        <v>42892</v>
      </c>
      <c r="H30" s="1">
        <v>42914</v>
      </c>
      <c r="I30" s="1">
        <v>42919</v>
      </c>
      <c r="J30" s="1">
        <v>42926</v>
      </c>
      <c r="K30" s="1">
        <v>42962</v>
      </c>
      <c r="L30" s="1">
        <v>42997</v>
      </c>
      <c r="M30" s="1">
        <v>42955</v>
      </c>
      <c r="N30" s="1">
        <v>44887</v>
      </c>
      <c r="Q30">
        <v>0</v>
      </c>
      <c r="R30">
        <v>0</v>
      </c>
      <c r="S30">
        <f t="shared" si="0"/>
        <v>64.387096774193552</v>
      </c>
      <c r="T30">
        <f t="shared" si="1"/>
        <v>64.387096774193552</v>
      </c>
      <c r="U30" s="2">
        <v>64.387096769999999</v>
      </c>
      <c r="V30" s="2">
        <v>64.387096769999999</v>
      </c>
      <c r="W30">
        <f t="shared" si="2"/>
        <v>63.451612903225808</v>
      </c>
      <c r="X30">
        <f t="shared" si="3"/>
        <v>63.451612903225808</v>
      </c>
      <c r="Y30" s="2">
        <v>63.451612900000001</v>
      </c>
      <c r="Z30" s="2">
        <v>63.451612900000001</v>
      </c>
      <c r="AA30">
        <v>2</v>
      </c>
      <c r="AB30" t="s">
        <v>51</v>
      </c>
      <c r="AC30" t="s">
        <v>196</v>
      </c>
      <c r="AD30">
        <v>0</v>
      </c>
      <c r="AE30">
        <v>11</v>
      </c>
      <c r="AF30">
        <v>45</v>
      </c>
      <c r="AG30" t="s">
        <v>80</v>
      </c>
      <c r="AH30" t="s">
        <v>54</v>
      </c>
      <c r="AI30" t="s">
        <v>55</v>
      </c>
      <c r="AJ30" t="s">
        <v>56</v>
      </c>
      <c r="AK30" t="s">
        <v>57</v>
      </c>
      <c r="AL30" t="s">
        <v>197</v>
      </c>
      <c r="AM30" t="s">
        <v>109</v>
      </c>
      <c r="AN30" t="s">
        <v>60</v>
      </c>
      <c r="AO30">
        <v>1</v>
      </c>
      <c r="AP30">
        <v>0</v>
      </c>
      <c r="AQ30" t="str">
        <f t="shared" si="4"/>
        <v>Non-Responder</v>
      </c>
      <c r="AR30" t="s">
        <v>61</v>
      </c>
      <c r="AS30" t="s">
        <v>62</v>
      </c>
      <c r="AT30" t="s">
        <v>63</v>
      </c>
      <c r="AU30">
        <v>0.28599999999999998</v>
      </c>
      <c r="AW30">
        <v>24</v>
      </c>
      <c r="AX30">
        <v>3.4965030000000001</v>
      </c>
      <c r="AY30">
        <v>46.503500000000003</v>
      </c>
      <c r="AZ30">
        <v>13.5</v>
      </c>
      <c r="BA30">
        <v>1.8518520000000001</v>
      </c>
      <c r="BB30" t="s">
        <v>202</v>
      </c>
      <c r="BC30" t="s">
        <v>203</v>
      </c>
      <c r="BD30" t="s">
        <v>204</v>
      </c>
    </row>
    <row r="31" spans="1:56" x14ac:dyDescent="0.2">
      <c r="A31" t="s">
        <v>205</v>
      </c>
      <c r="B31" t="s">
        <v>48</v>
      </c>
      <c r="C31" t="s">
        <v>49</v>
      </c>
      <c r="D31" t="s">
        <v>206</v>
      </c>
      <c r="E31" s="1">
        <v>44090</v>
      </c>
      <c r="F31" s="1">
        <v>44180</v>
      </c>
      <c r="G31" s="1">
        <v>42887</v>
      </c>
      <c r="H31" s="1">
        <v>43250</v>
      </c>
      <c r="I31" s="1">
        <v>43257</v>
      </c>
      <c r="J31" s="1">
        <v>43265</v>
      </c>
      <c r="K31" s="1">
        <v>43313</v>
      </c>
      <c r="L31" s="1">
        <v>43355</v>
      </c>
      <c r="M31" s="1">
        <v>43306</v>
      </c>
      <c r="N31" s="1">
        <v>45237</v>
      </c>
      <c r="Q31">
        <v>0</v>
      </c>
      <c r="R31">
        <v>0</v>
      </c>
      <c r="S31">
        <f t="shared" si="0"/>
        <v>64.8</v>
      </c>
      <c r="T31">
        <f t="shared" si="1"/>
        <v>64.8</v>
      </c>
      <c r="U31" s="2">
        <v>64.8</v>
      </c>
      <c r="V31" s="2">
        <v>64.8</v>
      </c>
      <c r="W31">
        <f t="shared" si="2"/>
        <v>63.41935483870968</v>
      </c>
      <c r="X31">
        <f t="shared" si="3"/>
        <v>63.41935483870968</v>
      </c>
      <c r="Y31" s="2">
        <v>63.419354839999997</v>
      </c>
      <c r="Z31" s="2">
        <v>63.419354839999997</v>
      </c>
      <c r="AA31">
        <v>2</v>
      </c>
      <c r="AB31" t="s">
        <v>51</v>
      </c>
      <c r="AC31" t="s">
        <v>196</v>
      </c>
      <c r="AD31">
        <v>1</v>
      </c>
      <c r="AE31">
        <v>12</v>
      </c>
      <c r="AF31">
        <v>61</v>
      </c>
      <c r="AG31" t="s">
        <v>80</v>
      </c>
      <c r="AH31" t="s">
        <v>54</v>
      </c>
      <c r="AI31" t="s">
        <v>57</v>
      </c>
      <c r="AJ31" t="s">
        <v>56</v>
      </c>
      <c r="AK31" t="s">
        <v>57</v>
      </c>
      <c r="AL31" t="s">
        <v>207</v>
      </c>
      <c r="AM31" t="s">
        <v>109</v>
      </c>
      <c r="AN31" t="s">
        <v>57</v>
      </c>
      <c r="AO31">
        <v>0</v>
      </c>
      <c r="AP31">
        <v>0</v>
      </c>
      <c r="AQ31" t="str">
        <f t="shared" si="4"/>
        <v>Non-Responder</v>
      </c>
      <c r="AR31" t="s">
        <v>61</v>
      </c>
      <c r="AS31" t="s">
        <v>62</v>
      </c>
      <c r="AT31" t="s">
        <v>63</v>
      </c>
      <c r="AU31">
        <v>0.98</v>
      </c>
      <c r="AW31">
        <v>24</v>
      </c>
      <c r="AX31">
        <v>1.020408</v>
      </c>
      <c r="AY31">
        <v>48.979590000000002</v>
      </c>
      <c r="AZ31">
        <v>1.66</v>
      </c>
      <c r="BA31">
        <v>15.06024</v>
      </c>
      <c r="BB31" t="s">
        <v>181</v>
      </c>
      <c r="BC31" t="s">
        <v>182</v>
      </c>
      <c r="BD31" t="s">
        <v>183</v>
      </c>
    </row>
    <row r="32" spans="1:56" x14ac:dyDescent="0.2">
      <c r="A32" t="s">
        <v>208</v>
      </c>
      <c r="B32" t="s">
        <v>74</v>
      </c>
      <c r="C32" t="s">
        <v>49</v>
      </c>
      <c r="D32" t="s">
        <v>206</v>
      </c>
      <c r="E32" s="1">
        <v>44091</v>
      </c>
      <c r="F32" s="1">
        <v>44179</v>
      </c>
      <c r="G32" s="1">
        <v>42887</v>
      </c>
      <c r="H32" s="1">
        <v>43250</v>
      </c>
      <c r="I32" s="1">
        <v>43257</v>
      </c>
      <c r="J32" s="1">
        <v>43265</v>
      </c>
      <c r="K32" s="1">
        <v>43313</v>
      </c>
      <c r="L32" s="1">
        <v>43355</v>
      </c>
      <c r="M32" s="1">
        <v>43306</v>
      </c>
      <c r="N32" s="1">
        <v>45237</v>
      </c>
      <c r="Q32">
        <v>0</v>
      </c>
      <c r="R32">
        <v>0</v>
      </c>
      <c r="S32">
        <f t="shared" si="0"/>
        <v>64.8</v>
      </c>
      <c r="T32">
        <f t="shared" si="1"/>
        <v>64.8</v>
      </c>
      <c r="U32" s="2">
        <v>64.8</v>
      </c>
      <c r="V32" s="2">
        <v>64.8</v>
      </c>
      <c r="W32">
        <f t="shared" si="2"/>
        <v>63.41935483870968</v>
      </c>
      <c r="X32">
        <f t="shared" si="3"/>
        <v>63.41935483870968</v>
      </c>
      <c r="Y32" s="2">
        <v>63.419354839999997</v>
      </c>
      <c r="Z32" s="2">
        <v>63.419354839999997</v>
      </c>
      <c r="AA32">
        <v>2</v>
      </c>
      <c r="AB32" t="s">
        <v>51</v>
      </c>
      <c r="AC32" t="s">
        <v>196</v>
      </c>
      <c r="AD32">
        <v>1</v>
      </c>
      <c r="AE32">
        <v>12</v>
      </c>
      <c r="AF32">
        <v>61</v>
      </c>
      <c r="AG32" t="s">
        <v>80</v>
      </c>
      <c r="AH32" t="s">
        <v>54</v>
      </c>
      <c r="AI32" t="s">
        <v>57</v>
      </c>
      <c r="AJ32" t="s">
        <v>56</v>
      </c>
      <c r="AK32" t="s">
        <v>57</v>
      </c>
      <c r="AL32" t="s">
        <v>207</v>
      </c>
      <c r="AM32" t="s">
        <v>109</v>
      </c>
      <c r="AN32" t="s">
        <v>57</v>
      </c>
      <c r="AO32">
        <v>0</v>
      </c>
      <c r="AP32">
        <v>0</v>
      </c>
      <c r="AQ32" t="str">
        <f>IF(AP32=0, "Non-Responder", "Responder")</f>
        <v>Non-Responder</v>
      </c>
      <c r="AR32" t="s">
        <v>61</v>
      </c>
      <c r="AS32" t="s">
        <v>62</v>
      </c>
      <c r="AT32" t="s">
        <v>63</v>
      </c>
      <c r="AU32">
        <v>0.42599999999999999</v>
      </c>
      <c r="AW32">
        <v>24</v>
      </c>
      <c r="AX32">
        <v>2.3474179999999998</v>
      </c>
      <c r="AY32">
        <v>12.4</v>
      </c>
      <c r="AZ32">
        <v>12.4</v>
      </c>
      <c r="BA32">
        <v>2.0161289999999998</v>
      </c>
      <c r="BB32" t="s">
        <v>209</v>
      </c>
      <c r="BC32" t="s">
        <v>210</v>
      </c>
      <c r="BD32" t="s">
        <v>211</v>
      </c>
    </row>
    <row r="33" spans="1:56" x14ac:dyDescent="0.2">
      <c r="A33" t="s">
        <v>212</v>
      </c>
      <c r="B33" t="s">
        <v>48</v>
      </c>
      <c r="C33" t="s">
        <v>49</v>
      </c>
      <c r="D33" t="s">
        <v>213</v>
      </c>
      <c r="E33" s="1">
        <v>44091</v>
      </c>
      <c r="F33" s="1">
        <v>44179</v>
      </c>
      <c r="G33" s="1">
        <v>43322</v>
      </c>
      <c r="H33" s="1">
        <v>43349</v>
      </c>
      <c r="I33" s="1">
        <v>43354</v>
      </c>
      <c r="J33" s="1">
        <v>43361</v>
      </c>
      <c r="K33" s="1">
        <v>43416</v>
      </c>
      <c r="L33" s="1">
        <v>43458</v>
      </c>
      <c r="M33" s="1">
        <v>43409</v>
      </c>
      <c r="N33" s="1">
        <v>44754</v>
      </c>
      <c r="Q33">
        <v>0</v>
      </c>
      <c r="R33">
        <v>0</v>
      </c>
      <c r="S33">
        <f t="shared" si="0"/>
        <v>45.8</v>
      </c>
      <c r="T33">
        <f t="shared" si="1"/>
        <v>45.8</v>
      </c>
      <c r="U33" s="2">
        <v>45.8</v>
      </c>
      <c r="V33" s="2">
        <v>45.8</v>
      </c>
      <c r="W33">
        <f t="shared" si="2"/>
        <v>44.233333333333334</v>
      </c>
      <c r="X33">
        <f t="shared" si="3"/>
        <v>44.233333333333334</v>
      </c>
      <c r="Y33" s="2">
        <v>44.233333330000001</v>
      </c>
      <c r="Z33" s="2">
        <v>44.233333330000001</v>
      </c>
      <c r="AA33">
        <v>2</v>
      </c>
      <c r="AB33" t="s">
        <v>51</v>
      </c>
      <c r="AC33" t="s">
        <v>196</v>
      </c>
      <c r="AD33">
        <v>0</v>
      </c>
      <c r="AE33">
        <v>13</v>
      </c>
      <c r="AF33">
        <v>60</v>
      </c>
      <c r="AG33" t="s">
        <v>80</v>
      </c>
      <c r="AH33" t="s">
        <v>54</v>
      </c>
      <c r="AI33" t="s">
        <v>57</v>
      </c>
      <c r="AJ33" t="s">
        <v>56</v>
      </c>
      <c r="AK33" t="s">
        <v>57</v>
      </c>
      <c r="AL33" t="s">
        <v>214</v>
      </c>
      <c r="AM33" t="s">
        <v>109</v>
      </c>
      <c r="AN33" t="s">
        <v>57</v>
      </c>
      <c r="AO33">
        <v>1</v>
      </c>
      <c r="AP33">
        <v>2</v>
      </c>
      <c r="AQ33" t="str">
        <f t="shared" si="4"/>
        <v>Responder</v>
      </c>
      <c r="AR33">
        <v>0.2</v>
      </c>
      <c r="AS33" t="s">
        <v>142</v>
      </c>
      <c r="AT33" t="s">
        <v>143</v>
      </c>
      <c r="AU33">
        <v>3.12</v>
      </c>
      <c r="AW33">
        <v>24</v>
      </c>
      <c r="AX33">
        <v>0.32051299999999999</v>
      </c>
      <c r="AY33">
        <v>49.679490000000001</v>
      </c>
      <c r="AZ33">
        <v>9.6</v>
      </c>
      <c r="BA33">
        <v>2.6041669999999999</v>
      </c>
      <c r="BB33" t="s">
        <v>215</v>
      </c>
      <c r="BC33" t="s">
        <v>216</v>
      </c>
      <c r="BD33" t="s">
        <v>217</v>
      </c>
    </row>
    <row r="34" spans="1:56" x14ac:dyDescent="0.2">
      <c r="A34" t="s">
        <v>218</v>
      </c>
      <c r="B34" t="s">
        <v>68</v>
      </c>
      <c r="C34" t="s">
        <v>49</v>
      </c>
      <c r="D34" t="s">
        <v>213</v>
      </c>
      <c r="E34" s="1">
        <v>44091</v>
      </c>
      <c r="F34" s="1">
        <v>44179</v>
      </c>
      <c r="G34" s="1">
        <v>43322</v>
      </c>
      <c r="H34" s="1">
        <v>43349</v>
      </c>
      <c r="I34" s="1">
        <v>43354</v>
      </c>
      <c r="J34" s="1">
        <v>43361</v>
      </c>
      <c r="K34" s="1">
        <v>43416</v>
      </c>
      <c r="L34" s="1">
        <v>43458</v>
      </c>
      <c r="M34" s="1">
        <v>43409</v>
      </c>
      <c r="N34" s="1">
        <v>44754</v>
      </c>
      <c r="Q34">
        <v>0</v>
      </c>
      <c r="R34">
        <v>0</v>
      </c>
      <c r="S34">
        <f t="shared" si="0"/>
        <v>45.8</v>
      </c>
      <c r="T34">
        <f t="shared" si="1"/>
        <v>45.8</v>
      </c>
      <c r="U34" s="2">
        <v>45.8</v>
      </c>
      <c r="V34" s="2">
        <v>45.8</v>
      </c>
      <c r="W34">
        <f t="shared" si="2"/>
        <v>44.233333333333334</v>
      </c>
      <c r="X34">
        <f t="shared" si="3"/>
        <v>44.233333333333334</v>
      </c>
      <c r="Y34" s="2">
        <v>44.233333330000001</v>
      </c>
      <c r="Z34" s="2">
        <v>44.233333330000001</v>
      </c>
      <c r="AA34">
        <v>2</v>
      </c>
      <c r="AB34" t="s">
        <v>69</v>
      </c>
      <c r="AC34" t="s">
        <v>196</v>
      </c>
      <c r="AD34">
        <v>0</v>
      </c>
      <c r="AE34">
        <v>13</v>
      </c>
      <c r="AF34">
        <v>60</v>
      </c>
      <c r="AG34" t="s">
        <v>80</v>
      </c>
      <c r="AH34" t="s">
        <v>54</v>
      </c>
      <c r="AI34" t="s">
        <v>57</v>
      </c>
      <c r="AJ34" t="s">
        <v>56</v>
      </c>
      <c r="AK34" t="s">
        <v>57</v>
      </c>
      <c r="AL34" t="s">
        <v>214</v>
      </c>
      <c r="AM34" t="s">
        <v>109</v>
      </c>
      <c r="AN34" t="s">
        <v>57</v>
      </c>
      <c r="AO34">
        <v>1</v>
      </c>
      <c r="AP34">
        <v>2</v>
      </c>
      <c r="AQ34" t="str">
        <f t="shared" si="4"/>
        <v>Responder</v>
      </c>
      <c r="AR34">
        <v>0.2</v>
      </c>
      <c r="AS34" t="s">
        <v>142</v>
      </c>
      <c r="AT34" t="s">
        <v>143</v>
      </c>
      <c r="AU34">
        <v>0.17</v>
      </c>
      <c r="AW34">
        <v>24</v>
      </c>
      <c r="AX34">
        <v>5.8823530000000002</v>
      </c>
      <c r="AY34">
        <v>44.117649999999998</v>
      </c>
      <c r="AZ34">
        <v>10.8</v>
      </c>
      <c r="BA34">
        <v>2.3148149999999998</v>
      </c>
      <c r="BB34" t="s">
        <v>219</v>
      </c>
      <c r="BC34" t="s">
        <v>220</v>
      </c>
      <c r="BD34" t="s">
        <v>221</v>
      </c>
    </row>
    <row r="35" spans="1:56" x14ac:dyDescent="0.2">
      <c r="A35" t="s">
        <v>222</v>
      </c>
      <c r="B35" t="s">
        <v>74</v>
      </c>
      <c r="C35" t="s">
        <v>49</v>
      </c>
      <c r="D35" t="s">
        <v>213</v>
      </c>
      <c r="E35" s="1">
        <v>44091</v>
      </c>
      <c r="F35" s="1">
        <v>44179</v>
      </c>
      <c r="G35" s="1">
        <v>43322</v>
      </c>
      <c r="H35" s="1">
        <v>43349</v>
      </c>
      <c r="I35" s="1">
        <v>43354</v>
      </c>
      <c r="J35" s="1">
        <v>43361</v>
      </c>
      <c r="K35" s="1">
        <v>43416</v>
      </c>
      <c r="L35" s="1">
        <v>43458</v>
      </c>
      <c r="M35" s="1">
        <v>43409</v>
      </c>
      <c r="N35" s="1">
        <v>44754</v>
      </c>
      <c r="Q35">
        <v>0</v>
      </c>
      <c r="R35">
        <v>0</v>
      </c>
      <c r="S35">
        <f t="shared" si="0"/>
        <v>45.8</v>
      </c>
      <c r="T35">
        <f t="shared" si="1"/>
        <v>45.8</v>
      </c>
      <c r="U35" s="2">
        <v>45.8</v>
      </c>
      <c r="V35" s="2">
        <v>45.8</v>
      </c>
      <c r="W35">
        <f t="shared" si="2"/>
        <v>44.233333333333334</v>
      </c>
      <c r="X35">
        <f t="shared" si="3"/>
        <v>44.233333333333334</v>
      </c>
      <c r="Y35" s="2">
        <v>44.233333330000001</v>
      </c>
      <c r="Z35" s="2">
        <v>44.233333330000001</v>
      </c>
      <c r="AA35">
        <v>2</v>
      </c>
      <c r="AB35" t="s">
        <v>69</v>
      </c>
      <c r="AC35" t="s">
        <v>196</v>
      </c>
      <c r="AD35">
        <v>0</v>
      </c>
      <c r="AE35">
        <v>13</v>
      </c>
      <c r="AF35">
        <v>60</v>
      </c>
      <c r="AG35" t="s">
        <v>80</v>
      </c>
      <c r="AH35" t="s">
        <v>54</v>
      </c>
      <c r="AI35" t="s">
        <v>57</v>
      </c>
      <c r="AJ35" t="s">
        <v>56</v>
      </c>
      <c r="AK35" t="s">
        <v>57</v>
      </c>
      <c r="AL35" t="s">
        <v>214</v>
      </c>
      <c r="AM35" t="s">
        <v>109</v>
      </c>
      <c r="AN35" t="s">
        <v>57</v>
      </c>
      <c r="AO35">
        <v>1</v>
      </c>
      <c r="AP35">
        <v>2</v>
      </c>
      <c r="AQ35" t="str">
        <f t="shared" si="4"/>
        <v>Responder</v>
      </c>
      <c r="AR35">
        <v>0.2</v>
      </c>
      <c r="AS35" t="s">
        <v>142</v>
      </c>
      <c r="AT35" t="s">
        <v>143</v>
      </c>
      <c r="AU35">
        <v>0.57599999999999996</v>
      </c>
      <c r="AW35">
        <v>24</v>
      </c>
      <c r="AX35">
        <v>1.736111</v>
      </c>
      <c r="AY35">
        <v>48.263890000000004</v>
      </c>
      <c r="AZ35">
        <v>6.56</v>
      </c>
      <c r="BA35">
        <v>3.8109760000000001</v>
      </c>
      <c r="BB35" t="s">
        <v>223</v>
      </c>
      <c r="BC35" t="s">
        <v>224</v>
      </c>
      <c r="BD35" t="s">
        <v>225</v>
      </c>
    </row>
    <row r="36" spans="1:56" x14ac:dyDescent="0.2">
      <c r="A36" t="s">
        <v>226</v>
      </c>
      <c r="B36" t="s">
        <v>48</v>
      </c>
      <c r="C36" t="s">
        <v>106</v>
      </c>
      <c r="D36" t="s">
        <v>227</v>
      </c>
      <c r="E36" s="1">
        <v>44091</v>
      </c>
      <c r="F36" s="1">
        <v>44180</v>
      </c>
      <c r="G36" s="1">
        <v>43371</v>
      </c>
      <c r="H36" s="1">
        <v>43404</v>
      </c>
      <c r="I36" s="1">
        <v>43406</v>
      </c>
      <c r="J36" s="1">
        <v>43413</v>
      </c>
      <c r="K36" s="1">
        <v>43475</v>
      </c>
      <c r="L36" s="1">
        <v>43516</v>
      </c>
      <c r="M36" s="1">
        <v>43467</v>
      </c>
      <c r="N36" s="1">
        <v>45251</v>
      </c>
      <c r="P36" s="1">
        <v>45252</v>
      </c>
      <c r="Q36">
        <v>1</v>
      </c>
      <c r="R36">
        <v>1</v>
      </c>
      <c r="S36">
        <v>60.43333333333333</v>
      </c>
      <c r="T36">
        <f t="shared" si="1"/>
        <v>60.43333333333333</v>
      </c>
      <c r="U36" s="2">
        <v>60.433333330000004</v>
      </c>
      <c r="V36" s="2">
        <v>60.433333330000004</v>
      </c>
      <c r="W36" s="2">
        <v>58.645161289999997</v>
      </c>
      <c r="X36">
        <f t="shared" si="3"/>
        <v>58.645161290322584</v>
      </c>
      <c r="Y36" s="2">
        <v>58.645161289999997</v>
      </c>
      <c r="Z36" s="2">
        <v>58.645161289999997</v>
      </c>
      <c r="AA36">
        <v>2</v>
      </c>
      <c r="AB36" t="s">
        <v>69</v>
      </c>
      <c r="AC36" t="s">
        <v>196</v>
      </c>
      <c r="AD36">
        <v>0</v>
      </c>
      <c r="AE36">
        <v>14</v>
      </c>
      <c r="AF36">
        <v>62</v>
      </c>
      <c r="AG36" t="s">
        <v>80</v>
      </c>
      <c r="AH36" t="s">
        <v>54</v>
      </c>
      <c r="AI36" t="s">
        <v>57</v>
      </c>
      <c r="AJ36" t="s">
        <v>56</v>
      </c>
      <c r="AK36" t="s">
        <v>57</v>
      </c>
      <c r="AL36" t="s">
        <v>228</v>
      </c>
      <c r="AM36" t="s">
        <v>109</v>
      </c>
      <c r="AN36" t="s">
        <v>57</v>
      </c>
      <c r="AO36">
        <v>0</v>
      </c>
      <c r="AP36">
        <v>5</v>
      </c>
      <c r="AQ36" t="str">
        <f t="shared" si="4"/>
        <v>Responder</v>
      </c>
      <c r="AR36">
        <v>0.5</v>
      </c>
      <c r="AS36" t="s">
        <v>142</v>
      </c>
      <c r="AT36" t="s">
        <v>143</v>
      </c>
      <c r="AU36">
        <v>0.84799999999999998</v>
      </c>
      <c r="AW36">
        <v>24</v>
      </c>
      <c r="AX36">
        <v>1.1792450000000001</v>
      </c>
      <c r="AY36">
        <v>48.820749999999997</v>
      </c>
      <c r="AZ36">
        <v>12.5</v>
      </c>
      <c r="BA36">
        <v>2</v>
      </c>
      <c r="BB36" t="s">
        <v>229</v>
      </c>
      <c r="BC36" t="s">
        <v>230</v>
      </c>
      <c r="BD36" t="s">
        <v>231</v>
      </c>
    </row>
    <row r="37" spans="1:56" x14ac:dyDescent="0.2">
      <c r="A37" t="s">
        <v>232</v>
      </c>
      <c r="B37" t="s">
        <v>68</v>
      </c>
      <c r="C37" t="s">
        <v>106</v>
      </c>
      <c r="D37" t="s">
        <v>227</v>
      </c>
      <c r="E37" s="1">
        <v>44091</v>
      </c>
      <c r="F37" s="1">
        <v>44180</v>
      </c>
      <c r="G37" s="1">
        <v>43371</v>
      </c>
      <c r="H37" s="1">
        <v>43404</v>
      </c>
      <c r="I37" s="1">
        <v>43406</v>
      </c>
      <c r="J37" s="1">
        <v>43413</v>
      </c>
      <c r="K37" s="1">
        <v>43475</v>
      </c>
      <c r="L37" s="1">
        <v>43516</v>
      </c>
      <c r="M37" s="1">
        <v>43467</v>
      </c>
      <c r="N37" s="1">
        <v>45251</v>
      </c>
      <c r="P37" s="1">
        <v>45252</v>
      </c>
      <c r="Q37">
        <v>1</v>
      </c>
      <c r="R37">
        <v>1</v>
      </c>
      <c r="S37">
        <v>60.43333333333333</v>
      </c>
      <c r="T37">
        <f t="shared" si="1"/>
        <v>60.43333333333333</v>
      </c>
      <c r="U37" s="2">
        <v>60.433333330000004</v>
      </c>
      <c r="V37" s="2">
        <v>60.433333330000004</v>
      </c>
      <c r="W37" s="2">
        <v>58.645161289999997</v>
      </c>
      <c r="X37">
        <f t="shared" si="3"/>
        <v>58.645161290322584</v>
      </c>
      <c r="Y37" s="2">
        <v>58.645161289999997</v>
      </c>
      <c r="Z37" s="2">
        <v>58.645161289999997</v>
      </c>
      <c r="AA37">
        <v>2</v>
      </c>
      <c r="AB37" t="s">
        <v>51</v>
      </c>
      <c r="AC37" t="s">
        <v>196</v>
      </c>
      <c r="AD37">
        <v>0</v>
      </c>
      <c r="AE37">
        <v>14</v>
      </c>
      <c r="AF37">
        <v>62</v>
      </c>
      <c r="AG37" t="s">
        <v>80</v>
      </c>
      <c r="AH37" t="s">
        <v>54</v>
      </c>
      <c r="AI37" t="s">
        <v>57</v>
      </c>
      <c r="AJ37" t="s">
        <v>56</v>
      </c>
      <c r="AK37" t="s">
        <v>57</v>
      </c>
      <c r="AL37" t="s">
        <v>228</v>
      </c>
      <c r="AM37" t="s">
        <v>109</v>
      </c>
      <c r="AN37" t="s">
        <v>57</v>
      </c>
      <c r="AO37">
        <v>0</v>
      </c>
      <c r="AP37">
        <v>5</v>
      </c>
      <c r="AQ37" t="str">
        <f t="shared" si="4"/>
        <v>Responder</v>
      </c>
      <c r="AR37">
        <v>0.5</v>
      </c>
      <c r="AS37" t="s">
        <v>142</v>
      </c>
      <c r="AT37" t="s">
        <v>143</v>
      </c>
      <c r="AU37">
        <v>0.42</v>
      </c>
      <c r="AW37">
        <v>24</v>
      </c>
      <c r="AX37">
        <v>2.3809520000000002</v>
      </c>
      <c r="AY37">
        <v>7.08</v>
      </c>
      <c r="AZ37">
        <v>7.08</v>
      </c>
      <c r="BA37">
        <v>3.5310730000000001</v>
      </c>
      <c r="BB37" t="s">
        <v>223</v>
      </c>
      <c r="BC37" t="s">
        <v>224</v>
      </c>
      <c r="BD37" t="s">
        <v>225</v>
      </c>
    </row>
    <row r="38" spans="1:56" x14ac:dyDescent="0.2">
      <c r="A38" t="s">
        <v>233</v>
      </c>
      <c r="B38" t="s">
        <v>74</v>
      </c>
      <c r="C38" t="s">
        <v>106</v>
      </c>
      <c r="D38" t="s">
        <v>227</v>
      </c>
      <c r="E38" s="1">
        <v>44091</v>
      </c>
      <c r="F38" s="1">
        <v>44179</v>
      </c>
      <c r="G38" s="1">
        <v>43371</v>
      </c>
      <c r="H38" s="1">
        <v>43404</v>
      </c>
      <c r="I38" s="1">
        <v>43406</v>
      </c>
      <c r="J38" s="1">
        <v>43413</v>
      </c>
      <c r="K38" s="1">
        <v>43475</v>
      </c>
      <c r="L38" s="1">
        <v>43516</v>
      </c>
      <c r="M38" s="1">
        <v>43467</v>
      </c>
      <c r="N38" s="1">
        <v>45251</v>
      </c>
      <c r="P38" s="1">
        <v>45252</v>
      </c>
      <c r="Q38">
        <v>1</v>
      </c>
      <c r="R38">
        <v>1</v>
      </c>
      <c r="S38">
        <v>60.43333333333333</v>
      </c>
      <c r="T38">
        <f t="shared" si="1"/>
        <v>60.43333333333333</v>
      </c>
      <c r="U38" s="2">
        <v>60.433333330000004</v>
      </c>
      <c r="V38" s="2">
        <v>60.433333330000004</v>
      </c>
      <c r="W38" s="2">
        <v>58.645161289999997</v>
      </c>
      <c r="X38">
        <f t="shared" si="3"/>
        <v>58.645161290322584</v>
      </c>
      <c r="Y38" s="2">
        <v>58.645161289999997</v>
      </c>
      <c r="Z38" s="2">
        <v>58.645161289999997</v>
      </c>
      <c r="AA38">
        <v>2</v>
      </c>
      <c r="AB38" t="s">
        <v>51</v>
      </c>
      <c r="AC38" t="s">
        <v>196</v>
      </c>
      <c r="AD38">
        <v>0</v>
      </c>
      <c r="AE38">
        <v>14</v>
      </c>
      <c r="AF38">
        <v>62</v>
      </c>
      <c r="AG38" t="s">
        <v>80</v>
      </c>
      <c r="AH38" t="s">
        <v>54</v>
      </c>
      <c r="AI38" t="s">
        <v>57</v>
      </c>
      <c r="AJ38" t="s">
        <v>56</v>
      </c>
      <c r="AK38" t="s">
        <v>57</v>
      </c>
      <c r="AL38" t="s">
        <v>228</v>
      </c>
      <c r="AM38" t="s">
        <v>109</v>
      </c>
      <c r="AN38" t="s">
        <v>57</v>
      </c>
      <c r="AO38">
        <v>0</v>
      </c>
      <c r="AP38">
        <v>5</v>
      </c>
      <c r="AQ38" t="str">
        <f t="shared" si="4"/>
        <v>Responder</v>
      </c>
      <c r="AR38">
        <v>0.5</v>
      </c>
      <c r="AS38" t="s">
        <v>142</v>
      </c>
      <c r="AT38" t="s">
        <v>143</v>
      </c>
      <c r="AU38">
        <v>0.3</v>
      </c>
      <c r="AW38">
        <v>24</v>
      </c>
      <c r="AX38">
        <v>3.3333330000000001</v>
      </c>
      <c r="AY38">
        <v>46.666670000000003</v>
      </c>
      <c r="AZ38">
        <v>21.8</v>
      </c>
      <c r="BA38">
        <v>1.1467890000000001</v>
      </c>
      <c r="BB38" t="s">
        <v>234</v>
      </c>
      <c r="BC38" t="s">
        <v>235</v>
      </c>
      <c r="BD38" t="s">
        <v>236</v>
      </c>
    </row>
    <row r="39" spans="1:56" x14ac:dyDescent="0.2">
      <c r="A39" t="s">
        <v>237</v>
      </c>
      <c r="B39" t="s">
        <v>48</v>
      </c>
      <c r="C39" t="s">
        <v>49</v>
      </c>
      <c r="D39" t="s">
        <v>238</v>
      </c>
      <c r="E39" s="1">
        <v>44091</v>
      </c>
      <c r="F39" s="1">
        <v>44179</v>
      </c>
      <c r="G39" s="1">
        <v>43580</v>
      </c>
      <c r="H39" s="1">
        <v>43613</v>
      </c>
      <c r="I39" s="1">
        <v>43615</v>
      </c>
      <c r="J39" s="1">
        <v>43627</v>
      </c>
      <c r="K39" s="1">
        <v>43711</v>
      </c>
      <c r="L39" s="1">
        <v>43711</v>
      </c>
      <c r="M39" s="1">
        <v>43668</v>
      </c>
      <c r="N39" s="1">
        <v>45236</v>
      </c>
      <c r="Q39">
        <v>0</v>
      </c>
      <c r="R39">
        <v>0</v>
      </c>
      <c r="S39">
        <f t="shared" si="0"/>
        <v>52.866666666666667</v>
      </c>
      <c r="T39">
        <f t="shared" si="1"/>
        <v>52.866666666666667</v>
      </c>
      <c r="U39" s="2">
        <v>52.866666670000001</v>
      </c>
      <c r="V39" s="2">
        <v>52.866666670000001</v>
      </c>
      <c r="W39">
        <f t="shared" si="2"/>
        <v>51.483870967741936</v>
      </c>
      <c r="X39">
        <f t="shared" si="3"/>
        <v>51.483870967741936</v>
      </c>
      <c r="Y39" s="2">
        <v>51.483870969999998</v>
      </c>
      <c r="Z39" s="2">
        <v>51.483870969999998</v>
      </c>
      <c r="AA39">
        <v>2</v>
      </c>
      <c r="AB39" t="s">
        <v>51</v>
      </c>
      <c r="AC39" t="s">
        <v>196</v>
      </c>
      <c r="AD39">
        <v>1</v>
      </c>
      <c r="AE39">
        <v>15</v>
      </c>
      <c r="AF39">
        <v>59</v>
      </c>
      <c r="AG39" t="s">
        <v>53</v>
      </c>
      <c r="AH39" t="s">
        <v>54</v>
      </c>
      <c r="AI39" t="s">
        <v>55</v>
      </c>
      <c r="AJ39" t="s">
        <v>56</v>
      </c>
      <c r="AK39" t="s">
        <v>57</v>
      </c>
      <c r="AL39" t="s">
        <v>81</v>
      </c>
      <c r="AM39" t="s">
        <v>109</v>
      </c>
      <c r="AN39" t="s">
        <v>60</v>
      </c>
      <c r="AO39">
        <v>0</v>
      </c>
      <c r="AP39">
        <v>1</v>
      </c>
      <c r="AQ39" t="str">
        <f t="shared" si="4"/>
        <v>Responder</v>
      </c>
      <c r="AR39">
        <v>0.1</v>
      </c>
      <c r="AS39" t="s">
        <v>62</v>
      </c>
      <c r="AT39" t="s">
        <v>63</v>
      </c>
      <c r="AU39">
        <v>1.27</v>
      </c>
      <c r="AW39">
        <v>24</v>
      </c>
      <c r="AX39">
        <v>0.78740200000000005</v>
      </c>
      <c r="AY39">
        <v>49.212600000000002</v>
      </c>
      <c r="AZ39">
        <v>10.1</v>
      </c>
      <c r="BA39">
        <v>2.4752480000000001</v>
      </c>
      <c r="BB39" t="s">
        <v>239</v>
      </c>
      <c r="BC39" t="s">
        <v>240</v>
      </c>
      <c r="BD39" t="s">
        <v>241</v>
      </c>
    </row>
    <row r="40" spans="1:56" x14ac:dyDescent="0.2">
      <c r="A40" t="s">
        <v>242</v>
      </c>
      <c r="B40" t="s">
        <v>68</v>
      </c>
      <c r="C40" t="s">
        <v>49</v>
      </c>
      <c r="D40" t="s">
        <v>238</v>
      </c>
      <c r="E40" s="1">
        <v>44091</v>
      </c>
      <c r="F40" s="1">
        <v>44179</v>
      </c>
      <c r="G40" s="1">
        <v>43580</v>
      </c>
      <c r="H40" s="1">
        <v>43613</v>
      </c>
      <c r="I40" s="1">
        <v>43615</v>
      </c>
      <c r="J40" s="1">
        <v>43627</v>
      </c>
      <c r="K40" s="1">
        <v>43711</v>
      </c>
      <c r="L40" s="1">
        <v>43711</v>
      </c>
      <c r="M40" s="1">
        <v>43668</v>
      </c>
      <c r="N40" s="1">
        <v>45236</v>
      </c>
      <c r="Q40">
        <v>0</v>
      </c>
      <c r="R40">
        <v>0</v>
      </c>
      <c r="S40">
        <f t="shared" si="0"/>
        <v>52.866666666666667</v>
      </c>
      <c r="T40">
        <f t="shared" si="1"/>
        <v>52.866666666666667</v>
      </c>
      <c r="U40" s="2">
        <v>52.866666670000001</v>
      </c>
      <c r="V40" s="2">
        <v>52.866666670000001</v>
      </c>
      <c r="W40">
        <f t="shared" si="2"/>
        <v>51.483870967741936</v>
      </c>
      <c r="X40">
        <f t="shared" si="3"/>
        <v>51.483870967741936</v>
      </c>
      <c r="Y40" s="2">
        <v>51.483870969999998</v>
      </c>
      <c r="Z40" s="2">
        <v>51.483870969999998</v>
      </c>
      <c r="AA40">
        <v>2</v>
      </c>
      <c r="AB40" t="s">
        <v>51</v>
      </c>
      <c r="AC40" t="s">
        <v>196</v>
      </c>
      <c r="AD40">
        <v>1</v>
      </c>
      <c r="AE40">
        <v>15</v>
      </c>
      <c r="AF40">
        <v>59</v>
      </c>
      <c r="AG40" t="s">
        <v>53</v>
      </c>
      <c r="AH40" t="s">
        <v>54</v>
      </c>
      <c r="AI40" t="s">
        <v>55</v>
      </c>
      <c r="AJ40" t="s">
        <v>56</v>
      </c>
      <c r="AK40" t="s">
        <v>57</v>
      </c>
      <c r="AL40" t="s">
        <v>81</v>
      </c>
      <c r="AM40" t="s">
        <v>109</v>
      </c>
      <c r="AN40" t="s">
        <v>60</v>
      </c>
      <c r="AO40">
        <v>0</v>
      </c>
      <c r="AP40">
        <v>1</v>
      </c>
      <c r="AQ40" t="str">
        <f t="shared" si="4"/>
        <v>Responder</v>
      </c>
      <c r="AR40">
        <v>0.1</v>
      </c>
      <c r="AS40" t="s">
        <v>62</v>
      </c>
      <c r="AT40" t="s">
        <v>63</v>
      </c>
      <c r="AU40">
        <v>1.04</v>
      </c>
      <c r="AW40">
        <v>24</v>
      </c>
      <c r="AX40">
        <v>0.961538</v>
      </c>
      <c r="AY40">
        <v>49.038460000000001</v>
      </c>
      <c r="AZ40">
        <v>10.3</v>
      </c>
      <c r="BA40">
        <v>2.427184</v>
      </c>
      <c r="BB40" t="s">
        <v>148</v>
      </c>
      <c r="BC40" t="s">
        <v>149</v>
      </c>
      <c r="BD40" t="s">
        <v>150</v>
      </c>
    </row>
    <row r="41" spans="1:56" x14ac:dyDescent="0.2">
      <c r="A41" t="s">
        <v>243</v>
      </c>
      <c r="B41" t="s">
        <v>74</v>
      </c>
      <c r="C41" t="s">
        <v>49</v>
      </c>
      <c r="D41" t="s">
        <v>238</v>
      </c>
      <c r="E41" s="1">
        <v>44091</v>
      </c>
      <c r="F41" s="1">
        <v>44179</v>
      </c>
      <c r="G41" s="1">
        <v>43580</v>
      </c>
      <c r="H41" s="1">
        <v>43613</v>
      </c>
      <c r="I41" s="1">
        <v>43615</v>
      </c>
      <c r="J41" s="1">
        <v>43627</v>
      </c>
      <c r="K41" s="1">
        <v>43711</v>
      </c>
      <c r="L41" s="1">
        <v>43711</v>
      </c>
      <c r="M41" s="1">
        <v>43668</v>
      </c>
      <c r="N41" s="1">
        <v>45236</v>
      </c>
      <c r="Q41">
        <v>0</v>
      </c>
      <c r="R41">
        <v>0</v>
      </c>
      <c r="S41">
        <f t="shared" si="0"/>
        <v>52.866666666666667</v>
      </c>
      <c r="T41">
        <f t="shared" si="1"/>
        <v>52.866666666666667</v>
      </c>
      <c r="U41" s="2">
        <v>52.866666670000001</v>
      </c>
      <c r="V41" s="2">
        <v>52.866666670000001</v>
      </c>
      <c r="W41">
        <f t="shared" si="2"/>
        <v>51.483870967741936</v>
      </c>
      <c r="X41">
        <f t="shared" si="3"/>
        <v>51.483870967741936</v>
      </c>
      <c r="Y41" s="2">
        <v>51.483870969999998</v>
      </c>
      <c r="Z41" s="2">
        <v>51.483870969999998</v>
      </c>
      <c r="AA41">
        <v>2</v>
      </c>
      <c r="AB41" t="s">
        <v>69</v>
      </c>
      <c r="AC41" t="s">
        <v>196</v>
      </c>
      <c r="AD41">
        <v>1</v>
      </c>
      <c r="AE41">
        <v>15</v>
      </c>
      <c r="AF41">
        <v>59</v>
      </c>
      <c r="AG41" t="s">
        <v>53</v>
      </c>
      <c r="AH41" t="s">
        <v>54</v>
      </c>
      <c r="AI41" t="s">
        <v>55</v>
      </c>
      <c r="AJ41" t="s">
        <v>56</v>
      </c>
      <c r="AK41" t="s">
        <v>57</v>
      </c>
      <c r="AL41" t="s">
        <v>81</v>
      </c>
      <c r="AM41" t="s">
        <v>109</v>
      </c>
      <c r="AN41" t="s">
        <v>60</v>
      </c>
      <c r="AO41">
        <v>0</v>
      </c>
      <c r="AP41">
        <v>1</v>
      </c>
      <c r="AQ41" t="str">
        <f t="shared" si="4"/>
        <v>Responder</v>
      </c>
      <c r="AR41">
        <v>0.1</v>
      </c>
      <c r="AS41" t="s">
        <v>62</v>
      </c>
      <c r="AT41" t="s">
        <v>63</v>
      </c>
      <c r="AU41">
        <v>0.32400000000000001</v>
      </c>
      <c r="AW41">
        <v>24</v>
      </c>
      <c r="AX41">
        <v>3.0864199999999999</v>
      </c>
      <c r="AY41">
        <v>46.913580000000003</v>
      </c>
      <c r="AZ41">
        <v>14.3</v>
      </c>
      <c r="BA41">
        <v>1.7482519999999999</v>
      </c>
      <c r="BB41" t="s">
        <v>244</v>
      </c>
      <c r="BC41" t="s">
        <v>245</v>
      </c>
      <c r="BD41" t="s">
        <v>246</v>
      </c>
    </row>
    <row r="42" spans="1:56" x14ac:dyDescent="0.2">
      <c r="A42" t="s">
        <v>247</v>
      </c>
      <c r="B42" t="s">
        <v>48</v>
      </c>
      <c r="C42" t="s">
        <v>49</v>
      </c>
      <c r="D42" t="s">
        <v>248</v>
      </c>
      <c r="E42" s="1">
        <v>44090</v>
      </c>
      <c r="F42" s="1">
        <v>44179</v>
      </c>
      <c r="G42" s="1">
        <v>43721</v>
      </c>
      <c r="H42" s="1">
        <v>43774</v>
      </c>
      <c r="I42" s="1">
        <v>43795</v>
      </c>
      <c r="J42" s="1">
        <v>43802</v>
      </c>
      <c r="K42" s="1">
        <v>43837</v>
      </c>
      <c r="L42" s="1">
        <v>43880</v>
      </c>
      <c r="M42" s="1">
        <v>43830</v>
      </c>
      <c r="N42" s="1">
        <v>45379</v>
      </c>
      <c r="Q42">
        <v>0</v>
      </c>
      <c r="R42">
        <v>0</v>
      </c>
      <c r="S42">
        <f t="shared" si="0"/>
        <v>51.806451612903224</v>
      </c>
      <c r="T42">
        <f t="shared" si="1"/>
        <v>51.806451612903224</v>
      </c>
      <c r="U42" s="2">
        <v>51.806451610000003</v>
      </c>
      <c r="V42" s="2">
        <v>51.806451610000003</v>
      </c>
      <c r="W42">
        <f t="shared" si="2"/>
        <v>50.838709677419352</v>
      </c>
      <c r="X42">
        <f t="shared" si="3"/>
        <v>50.838709677419352</v>
      </c>
      <c r="Y42" s="2">
        <v>50.838709680000001</v>
      </c>
      <c r="Z42" s="2">
        <v>50.838709680000001</v>
      </c>
      <c r="AA42">
        <v>2</v>
      </c>
      <c r="AB42" t="s">
        <v>69</v>
      </c>
      <c r="AC42" t="s">
        <v>196</v>
      </c>
      <c r="AD42">
        <v>1</v>
      </c>
      <c r="AE42">
        <v>16</v>
      </c>
      <c r="AF42">
        <v>44</v>
      </c>
      <c r="AG42" t="s">
        <v>80</v>
      </c>
      <c r="AH42" t="s">
        <v>54</v>
      </c>
      <c r="AI42" t="s">
        <v>55</v>
      </c>
      <c r="AJ42" t="s">
        <v>56</v>
      </c>
      <c r="AK42" t="s">
        <v>57</v>
      </c>
      <c r="AL42" t="s">
        <v>249</v>
      </c>
      <c r="AM42" t="s">
        <v>109</v>
      </c>
      <c r="AN42" t="s">
        <v>57</v>
      </c>
      <c r="AO42">
        <v>1</v>
      </c>
      <c r="AP42">
        <v>1</v>
      </c>
      <c r="AQ42" t="str">
        <f t="shared" si="4"/>
        <v>Responder</v>
      </c>
      <c r="AR42" t="s">
        <v>82</v>
      </c>
      <c r="AS42" t="s">
        <v>62</v>
      </c>
      <c r="AT42" t="s">
        <v>63</v>
      </c>
      <c r="AU42">
        <v>0.28000000000000003</v>
      </c>
      <c r="AW42">
        <v>24</v>
      </c>
      <c r="AX42">
        <v>3.5714290000000002</v>
      </c>
      <c r="AY42">
        <v>46.428570000000001</v>
      </c>
      <c r="AZ42">
        <v>13.8</v>
      </c>
      <c r="BA42">
        <v>1.8115939999999999</v>
      </c>
      <c r="BB42" t="s">
        <v>250</v>
      </c>
      <c r="BC42" t="s">
        <v>251</v>
      </c>
      <c r="BD42" t="s">
        <v>252</v>
      </c>
    </row>
    <row r="43" spans="1:56" x14ac:dyDescent="0.2">
      <c r="A43" t="s">
        <v>253</v>
      </c>
      <c r="B43" t="s">
        <v>74</v>
      </c>
      <c r="C43" t="s">
        <v>49</v>
      </c>
      <c r="D43" t="s">
        <v>248</v>
      </c>
      <c r="E43" s="1">
        <v>44091</v>
      </c>
      <c r="F43" s="1">
        <v>44180</v>
      </c>
      <c r="G43" s="1">
        <v>43721</v>
      </c>
      <c r="H43" s="1">
        <v>43774</v>
      </c>
      <c r="I43" s="1">
        <v>43795</v>
      </c>
      <c r="J43" s="1">
        <v>43802</v>
      </c>
      <c r="K43" s="1">
        <v>43837</v>
      </c>
      <c r="L43" s="1">
        <v>43880</v>
      </c>
      <c r="M43" s="1">
        <v>43830</v>
      </c>
      <c r="N43" s="1">
        <v>45379</v>
      </c>
      <c r="Q43">
        <v>0</v>
      </c>
      <c r="R43">
        <v>0</v>
      </c>
      <c r="S43">
        <f t="shared" si="0"/>
        <v>51.806451612903224</v>
      </c>
      <c r="T43">
        <f t="shared" si="1"/>
        <v>51.806451612903224</v>
      </c>
      <c r="U43" s="2">
        <v>51.806451610000003</v>
      </c>
      <c r="V43" s="2">
        <v>51.806451610000003</v>
      </c>
      <c r="W43">
        <f t="shared" si="2"/>
        <v>50.838709677419352</v>
      </c>
      <c r="X43">
        <f t="shared" si="3"/>
        <v>50.838709677419352</v>
      </c>
      <c r="Y43" s="2">
        <v>50.838709680000001</v>
      </c>
      <c r="Z43" s="2">
        <v>50.838709680000001</v>
      </c>
      <c r="AA43">
        <v>2</v>
      </c>
      <c r="AB43" t="s">
        <v>51</v>
      </c>
      <c r="AC43" t="s">
        <v>196</v>
      </c>
      <c r="AD43">
        <v>1</v>
      </c>
      <c r="AE43">
        <v>16</v>
      </c>
      <c r="AF43">
        <v>44</v>
      </c>
      <c r="AG43" t="s">
        <v>80</v>
      </c>
      <c r="AH43" t="s">
        <v>54</v>
      </c>
      <c r="AI43" t="s">
        <v>55</v>
      </c>
      <c r="AJ43" t="s">
        <v>56</v>
      </c>
      <c r="AK43" t="s">
        <v>57</v>
      </c>
      <c r="AL43" t="s">
        <v>249</v>
      </c>
      <c r="AM43" t="s">
        <v>109</v>
      </c>
      <c r="AN43" t="s">
        <v>57</v>
      </c>
      <c r="AO43">
        <v>1</v>
      </c>
      <c r="AP43">
        <v>1</v>
      </c>
      <c r="AQ43" t="str">
        <f t="shared" si="4"/>
        <v>Responder</v>
      </c>
      <c r="AR43" t="s">
        <v>82</v>
      </c>
      <c r="AS43" t="s">
        <v>62</v>
      </c>
      <c r="AT43" t="s">
        <v>63</v>
      </c>
      <c r="AU43">
        <v>0.23400000000000001</v>
      </c>
      <c r="AW43">
        <v>24</v>
      </c>
      <c r="AX43">
        <v>4.273504</v>
      </c>
      <c r="AY43">
        <v>45.726500000000001</v>
      </c>
      <c r="AZ43">
        <v>14.6</v>
      </c>
      <c r="BA43">
        <v>1.712329</v>
      </c>
      <c r="BB43" t="s">
        <v>250</v>
      </c>
      <c r="BC43" t="s">
        <v>251</v>
      </c>
      <c r="BD43" t="s">
        <v>252</v>
      </c>
    </row>
    <row r="44" spans="1:56" x14ac:dyDescent="0.2">
      <c r="A44" t="s">
        <v>254</v>
      </c>
      <c r="B44" t="s">
        <v>48</v>
      </c>
      <c r="C44" t="s">
        <v>49</v>
      </c>
      <c r="D44" t="s">
        <v>255</v>
      </c>
      <c r="E44" s="1">
        <v>44091</v>
      </c>
      <c r="F44" s="1">
        <v>44180</v>
      </c>
      <c r="G44" s="1">
        <v>44054</v>
      </c>
      <c r="H44" s="1">
        <v>44063</v>
      </c>
      <c r="I44" s="1">
        <v>44067</v>
      </c>
      <c r="J44" s="1">
        <v>44074</v>
      </c>
      <c r="K44" s="1">
        <v>44109</v>
      </c>
      <c r="L44" s="1">
        <v>44154</v>
      </c>
      <c r="M44" s="1">
        <v>44102</v>
      </c>
      <c r="N44" s="1">
        <v>45531</v>
      </c>
      <c r="Q44">
        <v>0</v>
      </c>
      <c r="R44">
        <v>0</v>
      </c>
      <c r="S44">
        <f t="shared" si="0"/>
        <v>47.87096774193548</v>
      </c>
      <c r="T44">
        <f t="shared" si="1"/>
        <v>47.87096774193548</v>
      </c>
      <c r="U44" s="2">
        <v>47.870967739999998</v>
      </c>
      <c r="V44" s="2">
        <v>47.870967739999998</v>
      </c>
      <c r="W44">
        <f t="shared" si="2"/>
        <v>47</v>
      </c>
      <c r="X44">
        <f t="shared" si="3"/>
        <v>47</v>
      </c>
      <c r="Y44" s="2">
        <v>47</v>
      </c>
      <c r="Z44" s="2">
        <v>47</v>
      </c>
      <c r="AA44">
        <v>2</v>
      </c>
      <c r="AB44" t="s">
        <v>51</v>
      </c>
      <c r="AC44" t="s">
        <v>196</v>
      </c>
      <c r="AD44">
        <v>0</v>
      </c>
      <c r="AE44">
        <v>17</v>
      </c>
      <c r="AF44">
        <v>50</v>
      </c>
      <c r="AG44" t="s">
        <v>80</v>
      </c>
      <c r="AH44" t="s">
        <v>54</v>
      </c>
      <c r="AI44" t="s">
        <v>55</v>
      </c>
      <c r="AJ44" t="s">
        <v>56</v>
      </c>
      <c r="AK44" t="s">
        <v>55</v>
      </c>
      <c r="AL44" t="s">
        <v>256</v>
      </c>
      <c r="AM44" t="s">
        <v>59</v>
      </c>
      <c r="AN44" t="s">
        <v>60</v>
      </c>
      <c r="AO44">
        <v>1</v>
      </c>
      <c r="AP44">
        <v>0</v>
      </c>
      <c r="AQ44" t="str">
        <f t="shared" si="4"/>
        <v>Non-Responder</v>
      </c>
      <c r="AR44" t="s">
        <v>61</v>
      </c>
      <c r="AS44" t="s">
        <v>62</v>
      </c>
      <c r="AT44" t="s">
        <v>63</v>
      </c>
      <c r="AU44">
        <v>0.23599999999999999</v>
      </c>
      <c r="AW44">
        <v>24</v>
      </c>
      <c r="AX44">
        <v>4.2372880000000004</v>
      </c>
      <c r="AY44">
        <v>45.762709999999998</v>
      </c>
      <c r="AZ44">
        <v>26</v>
      </c>
      <c r="BA44">
        <v>0.961538</v>
      </c>
      <c r="BB44" t="s">
        <v>87</v>
      </c>
      <c r="BC44" t="s">
        <v>88</v>
      </c>
      <c r="BD44" t="s">
        <v>89</v>
      </c>
    </row>
    <row r="45" spans="1:56" x14ac:dyDescent="0.2">
      <c r="A45" t="s">
        <v>257</v>
      </c>
      <c r="B45" t="s">
        <v>68</v>
      </c>
      <c r="C45" t="s">
        <v>49</v>
      </c>
      <c r="D45" t="s">
        <v>255</v>
      </c>
      <c r="E45" s="1">
        <v>44091</v>
      </c>
      <c r="F45" s="1">
        <v>44179</v>
      </c>
      <c r="G45" s="1">
        <v>44054</v>
      </c>
      <c r="H45" s="1">
        <v>44063</v>
      </c>
      <c r="I45" s="1">
        <v>44067</v>
      </c>
      <c r="J45" s="1">
        <v>44074</v>
      </c>
      <c r="K45" s="1">
        <v>44109</v>
      </c>
      <c r="L45" s="1">
        <v>44154</v>
      </c>
      <c r="M45" s="1">
        <v>44102</v>
      </c>
      <c r="N45" s="1">
        <v>45531</v>
      </c>
      <c r="Q45">
        <v>0</v>
      </c>
      <c r="R45">
        <v>0</v>
      </c>
      <c r="S45">
        <f t="shared" si="0"/>
        <v>47.87096774193548</v>
      </c>
      <c r="T45">
        <f t="shared" si="1"/>
        <v>47.87096774193548</v>
      </c>
      <c r="U45" s="2">
        <v>47.870967739999998</v>
      </c>
      <c r="V45" s="2">
        <v>47.870967739999998</v>
      </c>
      <c r="W45">
        <f t="shared" si="2"/>
        <v>47</v>
      </c>
      <c r="X45">
        <f t="shared" si="3"/>
        <v>47</v>
      </c>
      <c r="Y45" s="2">
        <v>47</v>
      </c>
      <c r="Z45" s="2">
        <v>47</v>
      </c>
      <c r="AA45">
        <v>2</v>
      </c>
      <c r="AB45" t="s">
        <v>51</v>
      </c>
      <c r="AC45" t="s">
        <v>196</v>
      </c>
      <c r="AD45">
        <v>0</v>
      </c>
      <c r="AE45">
        <v>17</v>
      </c>
      <c r="AF45">
        <v>50</v>
      </c>
      <c r="AG45" t="s">
        <v>80</v>
      </c>
      <c r="AH45" t="s">
        <v>54</v>
      </c>
      <c r="AI45" t="s">
        <v>55</v>
      </c>
      <c r="AJ45" t="s">
        <v>56</v>
      </c>
      <c r="AK45" t="s">
        <v>55</v>
      </c>
      <c r="AL45" t="s">
        <v>256</v>
      </c>
      <c r="AM45" t="s">
        <v>59</v>
      </c>
      <c r="AN45" t="s">
        <v>60</v>
      </c>
      <c r="AO45">
        <v>1</v>
      </c>
      <c r="AP45">
        <v>0</v>
      </c>
      <c r="AQ45" t="str">
        <f t="shared" si="4"/>
        <v>Non-Responder</v>
      </c>
      <c r="AR45" t="s">
        <v>61</v>
      </c>
      <c r="AS45" t="s">
        <v>62</v>
      </c>
      <c r="AT45" t="s">
        <v>63</v>
      </c>
      <c r="AU45">
        <v>0.36</v>
      </c>
      <c r="AW45">
        <v>24</v>
      </c>
      <c r="AX45">
        <v>2.7777780000000001</v>
      </c>
      <c r="AY45">
        <v>47.22222</v>
      </c>
      <c r="AZ45">
        <v>26.2</v>
      </c>
      <c r="BA45">
        <v>0.95419799999999999</v>
      </c>
      <c r="BB45" t="s">
        <v>136</v>
      </c>
      <c r="BC45" t="s">
        <v>137</v>
      </c>
      <c r="BD45" t="s">
        <v>138</v>
      </c>
    </row>
    <row r="46" spans="1:56" x14ac:dyDescent="0.2">
      <c r="A46" t="s">
        <v>258</v>
      </c>
      <c r="B46" t="s">
        <v>48</v>
      </c>
      <c r="C46" t="s">
        <v>49</v>
      </c>
      <c r="D46" t="s">
        <v>259</v>
      </c>
      <c r="E46" s="1">
        <v>44091</v>
      </c>
      <c r="F46" s="1">
        <v>44180</v>
      </c>
      <c r="G46" s="1">
        <v>43473</v>
      </c>
      <c r="H46" s="1">
        <v>43490</v>
      </c>
      <c r="I46" s="1">
        <v>43496</v>
      </c>
      <c r="J46" s="1">
        <v>43508</v>
      </c>
      <c r="K46" s="1">
        <v>43550</v>
      </c>
      <c r="L46" s="1">
        <v>43588</v>
      </c>
      <c r="M46" s="1">
        <v>43542</v>
      </c>
      <c r="N46" s="1">
        <v>45317</v>
      </c>
      <c r="Q46">
        <v>0</v>
      </c>
      <c r="R46">
        <v>0</v>
      </c>
      <c r="S46">
        <f t="shared" si="0"/>
        <v>59.5</v>
      </c>
      <c r="T46">
        <f t="shared" si="1"/>
        <v>59.5</v>
      </c>
      <c r="U46" s="2">
        <v>59.5</v>
      </c>
      <c r="V46" s="2">
        <v>59.5</v>
      </c>
      <c r="W46">
        <f t="shared" si="2"/>
        <v>58.258064516129032</v>
      </c>
      <c r="X46">
        <f t="shared" si="3"/>
        <v>58.258064516129032</v>
      </c>
      <c r="Y46" s="2">
        <v>58.258064519999998</v>
      </c>
      <c r="Z46" s="2">
        <v>58.258064519999998</v>
      </c>
      <c r="AA46">
        <v>2</v>
      </c>
      <c r="AB46" t="s">
        <v>51</v>
      </c>
      <c r="AC46" t="s">
        <v>260</v>
      </c>
      <c r="AD46">
        <v>0</v>
      </c>
      <c r="AE46">
        <v>18</v>
      </c>
      <c r="AF46">
        <v>35</v>
      </c>
      <c r="AG46" t="s">
        <v>80</v>
      </c>
      <c r="AH46" t="s">
        <v>54</v>
      </c>
      <c r="AI46" t="s">
        <v>57</v>
      </c>
      <c r="AJ46" t="s">
        <v>56</v>
      </c>
      <c r="AK46" t="s">
        <v>57</v>
      </c>
      <c r="AL46" t="s">
        <v>261</v>
      </c>
      <c r="AM46" t="s">
        <v>109</v>
      </c>
      <c r="AN46" t="s">
        <v>60</v>
      </c>
      <c r="AO46">
        <v>1</v>
      </c>
      <c r="AP46">
        <v>1</v>
      </c>
      <c r="AQ46" t="str">
        <f t="shared" si="4"/>
        <v>Responder</v>
      </c>
      <c r="AR46" t="s">
        <v>262</v>
      </c>
      <c r="AS46" t="s">
        <v>62</v>
      </c>
      <c r="AT46" t="s">
        <v>143</v>
      </c>
      <c r="AU46">
        <v>0.254</v>
      </c>
      <c r="AW46">
        <v>24</v>
      </c>
      <c r="AX46">
        <v>3.9370080000000001</v>
      </c>
      <c r="AY46">
        <v>46.062989999999999</v>
      </c>
      <c r="AZ46">
        <v>13.7</v>
      </c>
      <c r="BA46">
        <v>1.8248180000000001</v>
      </c>
      <c r="BB46" t="s">
        <v>244</v>
      </c>
      <c r="BC46" t="s">
        <v>245</v>
      </c>
      <c r="BD46" t="s">
        <v>246</v>
      </c>
    </row>
    <row r="47" spans="1:56" x14ac:dyDescent="0.2">
      <c r="A47" t="s">
        <v>263</v>
      </c>
      <c r="B47" t="s">
        <v>68</v>
      </c>
      <c r="C47" t="s">
        <v>49</v>
      </c>
      <c r="D47" t="s">
        <v>259</v>
      </c>
      <c r="E47" s="1">
        <v>44091</v>
      </c>
      <c r="F47" s="1">
        <v>44179</v>
      </c>
      <c r="G47" s="1">
        <v>43473</v>
      </c>
      <c r="H47" s="1">
        <v>43490</v>
      </c>
      <c r="I47" s="1">
        <v>43496</v>
      </c>
      <c r="J47" s="1">
        <v>43508</v>
      </c>
      <c r="K47" s="1">
        <v>43550</v>
      </c>
      <c r="L47" s="1">
        <v>43588</v>
      </c>
      <c r="M47" s="1">
        <v>43542</v>
      </c>
      <c r="N47" s="1">
        <v>45317</v>
      </c>
      <c r="Q47">
        <v>0</v>
      </c>
      <c r="R47">
        <v>0</v>
      </c>
      <c r="S47">
        <f t="shared" si="0"/>
        <v>59.5</v>
      </c>
      <c r="T47">
        <f t="shared" si="1"/>
        <v>59.5</v>
      </c>
      <c r="U47" s="2">
        <v>59.5</v>
      </c>
      <c r="V47" s="2">
        <v>59.5</v>
      </c>
      <c r="W47">
        <f t="shared" si="2"/>
        <v>58.258064516129032</v>
      </c>
      <c r="X47">
        <f t="shared" si="3"/>
        <v>58.258064516129032</v>
      </c>
      <c r="Y47" s="2">
        <v>58.258064519999998</v>
      </c>
      <c r="Z47" s="2">
        <v>58.258064519999998</v>
      </c>
      <c r="AA47">
        <v>2</v>
      </c>
      <c r="AB47" t="s">
        <v>69</v>
      </c>
      <c r="AC47" t="s">
        <v>260</v>
      </c>
      <c r="AD47">
        <v>0</v>
      </c>
      <c r="AE47">
        <v>18</v>
      </c>
      <c r="AF47">
        <v>35</v>
      </c>
      <c r="AG47" t="s">
        <v>80</v>
      </c>
      <c r="AH47" t="s">
        <v>54</v>
      </c>
      <c r="AI47" t="s">
        <v>57</v>
      </c>
      <c r="AJ47" t="s">
        <v>56</v>
      </c>
      <c r="AK47" t="s">
        <v>57</v>
      </c>
      <c r="AL47" t="s">
        <v>261</v>
      </c>
      <c r="AM47" t="s">
        <v>109</v>
      </c>
      <c r="AN47" t="s">
        <v>60</v>
      </c>
      <c r="AO47">
        <v>1</v>
      </c>
      <c r="AP47">
        <v>1</v>
      </c>
      <c r="AQ47" t="str">
        <f t="shared" si="4"/>
        <v>Responder</v>
      </c>
      <c r="AR47" t="s">
        <v>262</v>
      </c>
      <c r="AS47" t="s">
        <v>62</v>
      </c>
      <c r="AT47" t="s">
        <v>143</v>
      </c>
      <c r="AU47">
        <v>0.88400000000000001</v>
      </c>
      <c r="AW47">
        <v>24</v>
      </c>
      <c r="AX47">
        <v>1.1312219999999999</v>
      </c>
      <c r="AY47">
        <v>48.868780000000001</v>
      </c>
      <c r="AZ47">
        <v>8.58</v>
      </c>
      <c r="BA47">
        <v>2.9137529999999998</v>
      </c>
      <c r="BB47" t="s">
        <v>264</v>
      </c>
      <c r="BC47" t="s">
        <v>265</v>
      </c>
      <c r="BD47" t="s">
        <v>266</v>
      </c>
    </row>
    <row r="48" spans="1:56" x14ac:dyDescent="0.2">
      <c r="A48" t="s">
        <v>267</v>
      </c>
      <c r="B48" t="s">
        <v>48</v>
      </c>
      <c r="C48" t="s">
        <v>49</v>
      </c>
      <c r="D48" t="s">
        <v>268</v>
      </c>
      <c r="E48" s="1">
        <v>44091</v>
      </c>
      <c r="F48" s="1">
        <v>44180</v>
      </c>
      <c r="G48" s="1">
        <v>43405</v>
      </c>
      <c r="H48" s="1">
        <v>43525</v>
      </c>
      <c r="I48" s="1">
        <v>43537</v>
      </c>
      <c r="J48" s="1">
        <v>43552</v>
      </c>
      <c r="K48" s="1">
        <v>43591</v>
      </c>
      <c r="L48" s="1">
        <v>43636</v>
      </c>
      <c r="M48" s="1">
        <v>43584</v>
      </c>
      <c r="N48" s="1">
        <v>44092</v>
      </c>
      <c r="O48" s="1">
        <v>43725</v>
      </c>
      <c r="P48" s="1">
        <v>44093</v>
      </c>
      <c r="Q48">
        <v>1</v>
      </c>
      <c r="R48">
        <v>1</v>
      </c>
      <c r="S48">
        <f t="shared" si="0"/>
        <v>5.645161290322581</v>
      </c>
      <c r="T48">
        <f t="shared" si="1"/>
        <v>17.70967741935484</v>
      </c>
      <c r="U48" s="2">
        <v>5.6451612899999999</v>
      </c>
      <c r="V48" s="2">
        <v>17.709677419999998</v>
      </c>
      <c r="W48">
        <f t="shared" si="2"/>
        <v>4.6333333333333329</v>
      </c>
      <c r="X48">
        <f t="shared" si="3"/>
        <v>16.7</v>
      </c>
      <c r="Y48" s="2">
        <v>4.6333333330000004</v>
      </c>
      <c r="Z48" s="2">
        <v>16.7</v>
      </c>
      <c r="AA48">
        <v>2</v>
      </c>
      <c r="AB48" t="s">
        <v>69</v>
      </c>
      <c r="AC48" t="s">
        <v>260</v>
      </c>
      <c r="AD48">
        <v>1</v>
      </c>
      <c r="AE48">
        <v>19</v>
      </c>
      <c r="AF48">
        <v>33</v>
      </c>
      <c r="AG48" t="s">
        <v>80</v>
      </c>
      <c r="AH48" t="s">
        <v>54</v>
      </c>
      <c r="AI48" t="s">
        <v>55</v>
      </c>
      <c r="AJ48" t="s">
        <v>56</v>
      </c>
      <c r="AK48" t="s">
        <v>57</v>
      </c>
      <c r="AL48" t="s">
        <v>269</v>
      </c>
      <c r="AM48" t="s">
        <v>59</v>
      </c>
      <c r="AN48" t="s">
        <v>60</v>
      </c>
      <c r="AO48">
        <v>1</v>
      </c>
      <c r="AP48">
        <v>0</v>
      </c>
      <c r="AQ48" t="str">
        <f t="shared" si="4"/>
        <v>Non-Responder</v>
      </c>
      <c r="AR48" t="s">
        <v>61</v>
      </c>
      <c r="AS48" t="s">
        <v>62</v>
      </c>
      <c r="AT48" t="s">
        <v>63</v>
      </c>
      <c r="AU48">
        <v>1.43</v>
      </c>
      <c r="AW48">
        <v>24</v>
      </c>
      <c r="AX48">
        <v>0.69930099999999995</v>
      </c>
      <c r="AY48">
        <v>49.300699999999999</v>
      </c>
      <c r="AZ48">
        <v>6.86</v>
      </c>
      <c r="BA48">
        <v>3.6443150000000002</v>
      </c>
      <c r="BB48" t="s">
        <v>270</v>
      </c>
      <c r="BC48" t="s">
        <v>271</v>
      </c>
      <c r="BD48" t="s">
        <v>272</v>
      </c>
    </row>
    <row r="49" spans="1:56" x14ac:dyDescent="0.2">
      <c r="A49" t="s">
        <v>273</v>
      </c>
      <c r="B49" t="s">
        <v>68</v>
      </c>
      <c r="C49" t="s">
        <v>49</v>
      </c>
      <c r="D49" t="s">
        <v>268</v>
      </c>
      <c r="E49" s="1">
        <v>44091</v>
      </c>
      <c r="F49" s="1">
        <v>44179</v>
      </c>
      <c r="G49" s="1">
        <v>43405</v>
      </c>
      <c r="H49" s="1">
        <v>43525</v>
      </c>
      <c r="I49" s="1">
        <v>43537</v>
      </c>
      <c r="J49" s="1">
        <v>43552</v>
      </c>
      <c r="K49" s="1">
        <v>43591</v>
      </c>
      <c r="L49" s="1">
        <v>43636</v>
      </c>
      <c r="M49" s="1">
        <v>43584</v>
      </c>
      <c r="N49" s="1">
        <v>44092</v>
      </c>
      <c r="O49" s="1">
        <v>43725</v>
      </c>
      <c r="P49" s="1">
        <v>44093</v>
      </c>
      <c r="Q49">
        <v>1</v>
      </c>
      <c r="R49">
        <v>1</v>
      </c>
      <c r="S49">
        <f t="shared" si="0"/>
        <v>5.645161290322581</v>
      </c>
      <c r="T49">
        <f t="shared" si="1"/>
        <v>17.70967741935484</v>
      </c>
      <c r="U49" s="2">
        <v>5.6451612899999999</v>
      </c>
      <c r="V49" s="2">
        <v>17.709677419999998</v>
      </c>
      <c r="W49">
        <f t="shared" si="2"/>
        <v>4.6333333333333329</v>
      </c>
      <c r="X49">
        <f t="shared" si="3"/>
        <v>16.7</v>
      </c>
      <c r="Y49" s="2">
        <v>4.6333333330000004</v>
      </c>
      <c r="Z49" s="2">
        <v>16.7</v>
      </c>
      <c r="AA49">
        <v>2</v>
      </c>
      <c r="AB49" t="s">
        <v>51</v>
      </c>
      <c r="AC49" t="s">
        <v>260</v>
      </c>
      <c r="AD49">
        <v>1</v>
      </c>
      <c r="AE49">
        <v>19</v>
      </c>
      <c r="AF49">
        <v>33</v>
      </c>
      <c r="AG49" t="s">
        <v>80</v>
      </c>
      <c r="AH49" t="s">
        <v>54</v>
      </c>
      <c r="AI49" t="s">
        <v>55</v>
      </c>
      <c r="AJ49" t="s">
        <v>56</v>
      </c>
      <c r="AK49" t="s">
        <v>57</v>
      </c>
      <c r="AL49" t="s">
        <v>269</v>
      </c>
      <c r="AM49" t="s">
        <v>59</v>
      </c>
      <c r="AN49" t="s">
        <v>60</v>
      </c>
      <c r="AO49">
        <v>1</v>
      </c>
      <c r="AP49">
        <v>0</v>
      </c>
      <c r="AQ49" t="str">
        <f t="shared" si="4"/>
        <v>Non-Responder</v>
      </c>
      <c r="AR49" t="s">
        <v>61</v>
      </c>
      <c r="AS49" t="s">
        <v>62</v>
      </c>
      <c r="AT49" t="s">
        <v>63</v>
      </c>
      <c r="AU49">
        <v>0.60799999999999998</v>
      </c>
      <c r="AW49">
        <v>24</v>
      </c>
      <c r="AX49">
        <v>1.6447369999999999</v>
      </c>
      <c r="AY49">
        <v>48.355260000000001</v>
      </c>
      <c r="AZ49">
        <v>10.7</v>
      </c>
      <c r="BA49">
        <v>2.336449</v>
      </c>
      <c r="BB49" t="s">
        <v>274</v>
      </c>
      <c r="BC49" t="s">
        <v>275</v>
      </c>
      <c r="BD49" t="s">
        <v>276</v>
      </c>
    </row>
    <row r="50" spans="1:56" x14ac:dyDescent="0.2">
      <c r="A50" t="s">
        <v>277</v>
      </c>
      <c r="B50" t="s">
        <v>74</v>
      </c>
      <c r="C50" t="s">
        <v>49</v>
      </c>
      <c r="D50" t="s">
        <v>268</v>
      </c>
      <c r="E50" s="1">
        <v>44091</v>
      </c>
      <c r="F50" s="1">
        <v>44180</v>
      </c>
      <c r="G50" s="1">
        <v>43405</v>
      </c>
      <c r="H50" s="1">
        <v>43525</v>
      </c>
      <c r="I50" s="1">
        <v>43537</v>
      </c>
      <c r="J50" s="1">
        <v>43552</v>
      </c>
      <c r="K50" s="1">
        <v>43591</v>
      </c>
      <c r="L50" s="1">
        <v>43636</v>
      </c>
      <c r="M50" s="1">
        <v>43584</v>
      </c>
      <c r="N50" s="1">
        <v>44092</v>
      </c>
      <c r="O50" s="1">
        <v>43725</v>
      </c>
      <c r="P50" s="1">
        <v>44093</v>
      </c>
      <c r="Q50">
        <v>1</v>
      </c>
      <c r="R50">
        <v>1</v>
      </c>
      <c r="S50">
        <f t="shared" si="0"/>
        <v>5.645161290322581</v>
      </c>
      <c r="T50">
        <f t="shared" si="1"/>
        <v>17.70967741935484</v>
      </c>
      <c r="U50" s="2">
        <v>5.6451612899999999</v>
      </c>
      <c r="V50" s="2">
        <v>17.709677419999998</v>
      </c>
      <c r="W50">
        <f t="shared" si="2"/>
        <v>4.6333333333333329</v>
      </c>
      <c r="X50">
        <f t="shared" si="3"/>
        <v>16.7</v>
      </c>
      <c r="Y50" s="2">
        <v>4.6333333330000004</v>
      </c>
      <c r="Z50" s="2">
        <v>16.7</v>
      </c>
      <c r="AA50">
        <v>2</v>
      </c>
      <c r="AB50" t="s">
        <v>69</v>
      </c>
      <c r="AC50" t="s">
        <v>260</v>
      </c>
      <c r="AD50">
        <v>1</v>
      </c>
      <c r="AE50">
        <v>19</v>
      </c>
      <c r="AF50">
        <v>33</v>
      </c>
      <c r="AG50" t="s">
        <v>80</v>
      </c>
      <c r="AH50" t="s">
        <v>54</v>
      </c>
      <c r="AI50" t="s">
        <v>55</v>
      </c>
      <c r="AJ50" t="s">
        <v>56</v>
      </c>
      <c r="AK50" t="s">
        <v>57</v>
      </c>
      <c r="AL50" t="s">
        <v>269</v>
      </c>
      <c r="AM50" t="s">
        <v>59</v>
      </c>
      <c r="AN50" t="s">
        <v>60</v>
      </c>
      <c r="AO50">
        <v>1</v>
      </c>
      <c r="AP50">
        <v>0</v>
      </c>
      <c r="AQ50" t="str">
        <f t="shared" si="4"/>
        <v>Non-Responder</v>
      </c>
      <c r="AR50" t="s">
        <v>61</v>
      </c>
      <c r="AS50" t="s">
        <v>62</v>
      </c>
      <c r="AT50" t="s">
        <v>63</v>
      </c>
      <c r="AU50">
        <v>1.2</v>
      </c>
      <c r="AW50">
        <v>24</v>
      </c>
      <c r="AX50">
        <v>0.83333299999999999</v>
      </c>
      <c r="AY50">
        <v>49.166670000000003</v>
      </c>
      <c r="AZ50">
        <v>8.6999999999999993</v>
      </c>
      <c r="BA50">
        <v>2.8735629999999999</v>
      </c>
      <c r="BB50" t="s">
        <v>132</v>
      </c>
      <c r="BC50" t="s">
        <v>133</v>
      </c>
      <c r="BD50" t="s">
        <v>134</v>
      </c>
    </row>
    <row r="51" spans="1:56" x14ac:dyDescent="0.2">
      <c r="A51" t="s">
        <v>278</v>
      </c>
      <c r="B51" t="s">
        <v>48</v>
      </c>
      <c r="C51" t="s">
        <v>49</v>
      </c>
      <c r="D51" t="s">
        <v>279</v>
      </c>
      <c r="E51" s="1">
        <v>44091</v>
      </c>
      <c r="F51" s="1">
        <v>44179</v>
      </c>
      <c r="G51" s="1">
        <v>43510</v>
      </c>
      <c r="H51" s="1">
        <v>43532</v>
      </c>
      <c r="I51" s="1">
        <v>43542</v>
      </c>
      <c r="J51" s="1">
        <v>43549</v>
      </c>
      <c r="K51" s="1">
        <v>43593</v>
      </c>
      <c r="L51" s="1">
        <v>43636</v>
      </c>
      <c r="M51" s="1">
        <v>43586</v>
      </c>
      <c r="N51" s="1">
        <v>43914</v>
      </c>
      <c r="O51" s="1">
        <v>43908</v>
      </c>
      <c r="P51" s="1">
        <v>43915</v>
      </c>
      <c r="Q51">
        <v>1</v>
      </c>
      <c r="R51">
        <v>1</v>
      </c>
      <c r="S51">
        <f t="shared" si="0"/>
        <v>11.709677419354838</v>
      </c>
      <c r="T51">
        <f t="shared" si="1"/>
        <v>12</v>
      </c>
      <c r="U51" s="2">
        <v>11.70967742</v>
      </c>
      <c r="V51" s="2">
        <v>12</v>
      </c>
      <c r="W51">
        <f t="shared" si="2"/>
        <v>10.548387096774194</v>
      </c>
      <c r="X51">
        <f t="shared" si="3"/>
        <v>10.774193548387096</v>
      </c>
      <c r="Y51" s="2">
        <v>10.548387099999999</v>
      </c>
      <c r="Z51" s="2">
        <v>10.77419355</v>
      </c>
      <c r="AA51">
        <v>2</v>
      </c>
      <c r="AB51" t="s">
        <v>51</v>
      </c>
      <c r="AC51" t="s">
        <v>260</v>
      </c>
      <c r="AD51">
        <v>0</v>
      </c>
      <c r="AE51">
        <v>20</v>
      </c>
      <c r="AF51">
        <v>55</v>
      </c>
      <c r="AG51" t="s">
        <v>80</v>
      </c>
      <c r="AH51" t="s">
        <v>54</v>
      </c>
      <c r="AI51" t="s">
        <v>55</v>
      </c>
      <c r="AJ51" t="s">
        <v>60</v>
      </c>
      <c r="AK51" t="s">
        <v>57</v>
      </c>
      <c r="AL51" t="s">
        <v>280</v>
      </c>
      <c r="AM51" t="s">
        <v>59</v>
      </c>
      <c r="AN51" t="s">
        <v>60</v>
      </c>
      <c r="AO51">
        <v>0</v>
      </c>
      <c r="AP51">
        <v>0</v>
      </c>
      <c r="AQ51" t="str">
        <f t="shared" si="4"/>
        <v>Non-Responder</v>
      </c>
      <c r="AR51" t="s">
        <v>61</v>
      </c>
      <c r="AS51" t="s">
        <v>62</v>
      </c>
      <c r="AT51" t="s">
        <v>63</v>
      </c>
      <c r="AU51">
        <v>0.192</v>
      </c>
      <c r="AW51">
        <v>24</v>
      </c>
      <c r="AX51">
        <v>5.2083329999999997</v>
      </c>
      <c r="AY51">
        <v>44.791670000000003</v>
      </c>
      <c r="AZ51">
        <v>15.4</v>
      </c>
      <c r="BA51">
        <v>1.6233770000000001</v>
      </c>
      <c r="BB51" t="s">
        <v>219</v>
      </c>
      <c r="BC51" t="s">
        <v>220</v>
      </c>
      <c r="BD51" t="s">
        <v>221</v>
      </c>
    </row>
    <row r="52" spans="1:56" x14ac:dyDescent="0.2">
      <c r="A52" t="s">
        <v>281</v>
      </c>
      <c r="B52" t="s">
        <v>68</v>
      </c>
      <c r="C52" t="s">
        <v>49</v>
      </c>
      <c r="D52" t="s">
        <v>279</v>
      </c>
      <c r="E52" s="1">
        <v>44091</v>
      </c>
      <c r="F52" s="1">
        <v>44179</v>
      </c>
      <c r="G52" s="1">
        <v>43510</v>
      </c>
      <c r="H52" s="1">
        <v>43532</v>
      </c>
      <c r="I52" s="1">
        <v>43542</v>
      </c>
      <c r="J52" s="1">
        <v>43549</v>
      </c>
      <c r="K52" s="1">
        <v>43593</v>
      </c>
      <c r="L52" s="1">
        <v>43636</v>
      </c>
      <c r="M52" s="1">
        <v>43586</v>
      </c>
      <c r="N52" s="1">
        <v>43914</v>
      </c>
      <c r="O52" s="1">
        <v>43908</v>
      </c>
      <c r="P52" s="1">
        <v>43915</v>
      </c>
      <c r="Q52">
        <v>1</v>
      </c>
      <c r="R52">
        <v>1</v>
      </c>
      <c r="S52">
        <f t="shared" si="0"/>
        <v>11.709677419354838</v>
      </c>
      <c r="T52">
        <f t="shared" si="1"/>
        <v>12</v>
      </c>
      <c r="U52" s="2">
        <v>11.70967742</v>
      </c>
      <c r="V52" s="2">
        <v>12</v>
      </c>
      <c r="W52">
        <f t="shared" si="2"/>
        <v>10.548387096774194</v>
      </c>
      <c r="X52">
        <f>IF(R52=0, DATEDIF(M52,N52,"M")+DATEDIF(M52,N52,"MD")/DAY(EOMONTH(M52,0)), DATEDIF(M52,P52,"M")+DATEDIF(M52,P52,"MD")/DAY(EOMONTH(M52,0)))</f>
        <v>10.774193548387096</v>
      </c>
      <c r="Y52" s="2">
        <v>10.548387099999999</v>
      </c>
      <c r="Z52" s="2">
        <v>10.77419355</v>
      </c>
      <c r="AA52">
        <v>2</v>
      </c>
      <c r="AB52" t="s">
        <v>69</v>
      </c>
      <c r="AC52" t="s">
        <v>260</v>
      </c>
      <c r="AD52">
        <v>0</v>
      </c>
      <c r="AE52">
        <v>20</v>
      </c>
      <c r="AF52">
        <v>55</v>
      </c>
      <c r="AG52" t="s">
        <v>80</v>
      </c>
      <c r="AH52" t="s">
        <v>54</v>
      </c>
      <c r="AI52" t="s">
        <v>55</v>
      </c>
      <c r="AJ52" t="s">
        <v>60</v>
      </c>
      <c r="AK52" t="s">
        <v>57</v>
      </c>
      <c r="AL52" t="s">
        <v>280</v>
      </c>
      <c r="AM52" t="s">
        <v>59</v>
      </c>
      <c r="AN52" t="s">
        <v>60</v>
      </c>
      <c r="AO52">
        <v>0</v>
      </c>
      <c r="AP52">
        <v>0</v>
      </c>
      <c r="AQ52" t="str">
        <f t="shared" si="4"/>
        <v>Non-Responder</v>
      </c>
      <c r="AR52" t="s">
        <v>61</v>
      </c>
      <c r="AS52" t="s">
        <v>62</v>
      </c>
      <c r="AT52" t="s">
        <v>63</v>
      </c>
      <c r="AU52">
        <v>0.8</v>
      </c>
      <c r="AW52">
        <v>24</v>
      </c>
      <c r="AX52">
        <v>1.25</v>
      </c>
      <c r="AY52">
        <v>48.75</v>
      </c>
      <c r="AZ52">
        <v>9.76</v>
      </c>
      <c r="BA52">
        <v>2.5614750000000002</v>
      </c>
      <c r="BB52" t="s">
        <v>173</v>
      </c>
      <c r="BC52" t="s">
        <v>174</v>
      </c>
      <c r="BD52" t="s">
        <v>175</v>
      </c>
    </row>
    <row r="53" spans="1:56" x14ac:dyDescent="0.2">
      <c r="A53" t="s">
        <v>282</v>
      </c>
      <c r="B53" t="s">
        <v>74</v>
      </c>
      <c r="C53" t="s">
        <v>49</v>
      </c>
      <c r="D53" t="s">
        <v>279</v>
      </c>
      <c r="E53" s="1">
        <v>44090</v>
      </c>
      <c r="F53" s="1">
        <v>44180</v>
      </c>
      <c r="G53" s="1">
        <v>43510</v>
      </c>
      <c r="H53" s="1">
        <v>43532</v>
      </c>
      <c r="I53" s="1">
        <v>43542</v>
      </c>
      <c r="J53" s="1">
        <v>43549</v>
      </c>
      <c r="K53" s="1">
        <v>43593</v>
      </c>
      <c r="L53" s="1">
        <v>43636</v>
      </c>
      <c r="M53" s="1">
        <v>43586</v>
      </c>
      <c r="N53" s="1">
        <v>43914</v>
      </c>
      <c r="O53" s="1">
        <v>43908</v>
      </c>
      <c r="P53" s="1">
        <v>43915</v>
      </c>
      <c r="Q53">
        <v>1</v>
      </c>
      <c r="R53">
        <v>1</v>
      </c>
      <c r="S53">
        <f t="shared" si="0"/>
        <v>11.709677419354838</v>
      </c>
      <c r="T53">
        <f t="shared" si="1"/>
        <v>12</v>
      </c>
      <c r="U53" s="2">
        <v>11.70967742</v>
      </c>
      <c r="V53" s="2">
        <v>12</v>
      </c>
      <c r="W53">
        <f t="shared" si="2"/>
        <v>10.548387096774194</v>
      </c>
      <c r="X53">
        <f t="shared" si="3"/>
        <v>10.774193548387096</v>
      </c>
      <c r="Y53" s="2">
        <v>10.548387099999999</v>
      </c>
      <c r="Z53" s="2">
        <v>10.77419355</v>
      </c>
      <c r="AA53">
        <v>2</v>
      </c>
      <c r="AB53" t="s">
        <v>51</v>
      </c>
      <c r="AC53" t="s">
        <v>260</v>
      </c>
      <c r="AD53">
        <v>0</v>
      </c>
      <c r="AE53">
        <v>20</v>
      </c>
      <c r="AF53">
        <v>55</v>
      </c>
      <c r="AG53" t="s">
        <v>80</v>
      </c>
      <c r="AH53" t="s">
        <v>54</v>
      </c>
      <c r="AI53" t="s">
        <v>55</v>
      </c>
      <c r="AJ53" t="s">
        <v>60</v>
      </c>
      <c r="AK53" t="s">
        <v>57</v>
      </c>
      <c r="AL53" t="s">
        <v>280</v>
      </c>
      <c r="AM53" t="s">
        <v>59</v>
      </c>
      <c r="AN53" t="s">
        <v>60</v>
      </c>
      <c r="AO53">
        <v>0</v>
      </c>
      <c r="AP53">
        <v>0</v>
      </c>
      <c r="AQ53" t="str">
        <f t="shared" si="4"/>
        <v>Non-Responder</v>
      </c>
      <c r="AR53" t="s">
        <v>61</v>
      </c>
      <c r="AS53" t="s">
        <v>62</v>
      </c>
      <c r="AT53" t="s">
        <v>63</v>
      </c>
      <c r="AU53">
        <v>2.7</v>
      </c>
      <c r="AW53">
        <v>24</v>
      </c>
      <c r="AX53">
        <v>0.37036999999999998</v>
      </c>
      <c r="AY53">
        <v>49.629629999999999</v>
      </c>
      <c r="AZ53">
        <v>13</v>
      </c>
      <c r="BA53">
        <v>1.9230769999999999</v>
      </c>
      <c r="BB53" t="s">
        <v>283</v>
      </c>
      <c r="BC53" t="s">
        <v>284</v>
      </c>
      <c r="BD53" t="s">
        <v>285</v>
      </c>
    </row>
    <row r="54" spans="1:56" x14ac:dyDescent="0.2">
      <c r="A54" t="s">
        <v>286</v>
      </c>
      <c r="B54" t="s">
        <v>48</v>
      </c>
      <c r="C54" t="s">
        <v>49</v>
      </c>
      <c r="D54" t="s">
        <v>287</v>
      </c>
      <c r="E54" s="1">
        <v>44091</v>
      </c>
      <c r="F54" s="1">
        <v>44179</v>
      </c>
      <c r="G54" s="1">
        <v>43740</v>
      </c>
      <c r="H54" s="1">
        <v>43766</v>
      </c>
      <c r="I54" s="1">
        <v>43770</v>
      </c>
      <c r="J54" s="1">
        <v>43780</v>
      </c>
      <c r="K54" s="1">
        <v>43817</v>
      </c>
      <c r="L54" s="1">
        <v>43864</v>
      </c>
      <c r="M54" s="1">
        <v>43810</v>
      </c>
      <c r="N54" s="1">
        <v>45383</v>
      </c>
      <c r="Q54">
        <v>0</v>
      </c>
      <c r="R54">
        <v>0</v>
      </c>
      <c r="S54">
        <f t="shared" si="0"/>
        <v>52.7</v>
      </c>
      <c r="T54">
        <f t="shared" si="1"/>
        <v>52.7</v>
      </c>
      <c r="U54" s="2">
        <v>52.7</v>
      </c>
      <c r="V54" s="2">
        <v>52.7</v>
      </c>
      <c r="W54">
        <f t="shared" si="2"/>
        <v>51.677419354838712</v>
      </c>
      <c r="X54">
        <f t="shared" si="3"/>
        <v>51.677419354838712</v>
      </c>
      <c r="Y54" s="2">
        <v>51.677419350000001</v>
      </c>
      <c r="Z54" s="2">
        <v>51.677419350000001</v>
      </c>
      <c r="AA54">
        <v>2</v>
      </c>
      <c r="AB54" t="s">
        <v>69</v>
      </c>
      <c r="AC54" t="s">
        <v>260</v>
      </c>
      <c r="AD54">
        <v>0</v>
      </c>
      <c r="AE54">
        <v>21</v>
      </c>
      <c r="AF54">
        <v>59</v>
      </c>
      <c r="AG54" t="s">
        <v>80</v>
      </c>
      <c r="AH54" t="s">
        <v>54</v>
      </c>
      <c r="AI54" t="s">
        <v>55</v>
      </c>
      <c r="AJ54" t="s">
        <v>56</v>
      </c>
      <c r="AK54" t="s">
        <v>55</v>
      </c>
      <c r="AL54" t="s">
        <v>108</v>
      </c>
      <c r="AM54" t="s">
        <v>109</v>
      </c>
      <c r="AN54" t="s">
        <v>60</v>
      </c>
      <c r="AO54">
        <v>1</v>
      </c>
      <c r="AP54">
        <v>5</v>
      </c>
      <c r="AQ54" t="str">
        <f t="shared" si="4"/>
        <v>Responder</v>
      </c>
      <c r="AR54">
        <v>0.5</v>
      </c>
      <c r="AS54" t="s">
        <v>142</v>
      </c>
      <c r="AT54" t="s">
        <v>143</v>
      </c>
      <c r="AU54">
        <v>0.59</v>
      </c>
      <c r="AW54">
        <v>24</v>
      </c>
      <c r="AX54">
        <v>1.6949149999999999</v>
      </c>
      <c r="AY54">
        <v>48.305079999999997</v>
      </c>
      <c r="AZ54">
        <v>6.1</v>
      </c>
      <c r="BA54">
        <v>4.0983609999999997</v>
      </c>
      <c r="BB54" t="s">
        <v>209</v>
      </c>
      <c r="BC54" t="s">
        <v>210</v>
      </c>
      <c r="BD54" t="s">
        <v>211</v>
      </c>
    </row>
    <row r="55" spans="1:56" x14ac:dyDescent="0.2">
      <c r="A55" t="s">
        <v>288</v>
      </c>
      <c r="B55" t="s">
        <v>68</v>
      </c>
      <c r="C55" t="s">
        <v>49</v>
      </c>
      <c r="D55" t="s">
        <v>287</v>
      </c>
      <c r="E55" s="1">
        <v>44091</v>
      </c>
      <c r="F55" s="1">
        <v>44180</v>
      </c>
      <c r="G55" s="1">
        <v>43740</v>
      </c>
      <c r="H55" s="1">
        <v>43766</v>
      </c>
      <c r="I55" s="1">
        <v>43770</v>
      </c>
      <c r="J55" s="1">
        <v>43780</v>
      </c>
      <c r="K55" s="1">
        <v>43817</v>
      </c>
      <c r="L55" s="1">
        <v>43864</v>
      </c>
      <c r="M55" s="1">
        <v>43810</v>
      </c>
      <c r="N55" s="1">
        <v>45383</v>
      </c>
      <c r="Q55">
        <v>0</v>
      </c>
      <c r="R55">
        <v>0</v>
      </c>
      <c r="S55">
        <f t="shared" si="0"/>
        <v>52.7</v>
      </c>
      <c r="T55">
        <f t="shared" si="1"/>
        <v>52.7</v>
      </c>
      <c r="U55" s="2">
        <v>52.7</v>
      </c>
      <c r="V55" s="2">
        <v>52.7</v>
      </c>
      <c r="W55">
        <f t="shared" si="2"/>
        <v>51.677419354838712</v>
      </c>
      <c r="X55">
        <f t="shared" si="3"/>
        <v>51.677419354838712</v>
      </c>
      <c r="Y55" s="2">
        <v>51.677419350000001</v>
      </c>
      <c r="Z55" s="2">
        <v>51.677419350000001</v>
      </c>
      <c r="AA55">
        <v>2</v>
      </c>
      <c r="AB55" t="s">
        <v>51</v>
      </c>
      <c r="AC55" t="s">
        <v>260</v>
      </c>
      <c r="AD55">
        <v>0</v>
      </c>
      <c r="AE55">
        <v>21</v>
      </c>
      <c r="AF55">
        <v>59</v>
      </c>
      <c r="AG55" t="s">
        <v>80</v>
      </c>
      <c r="AH55" t="s">
        <v>54</v>
      </c>
      <c r="AI55" t="s">
        <v>55</v>
      </c>
      <c r="AJ55" t="s">
        <v>56</v>
      </c>
      <c r="AK55" t="s">
        <v>55</v>
      </c>
      <c r="AL55" t="s">
        <v>108</v>
      </c>
      <c r="AM55" t="s">
        <v>109</v>
      </c>
      <c r="AN55" t="s">
        <v>60</v>
      </c>
      <c r="AO55">
        <v>1</v>
      </c>
      <c r="AP55">
        <v>5</v>
      </c>
      <c r="AQ55" t="str">
        <f t="shared" si="4"/>
        <v>Responder</v>
      </c>
      <c r="AR55">
        <v>0.5</v>
      </c>
      <c r="AS55" t="s">
        <v>142</v>
      </c>
      <c r="AT55" t="s">
        <v>143</v>
      </c>
      <c r="AU55">
        <v>0.41199999999999998</v>
      </c>
      <c r="AW55">
        <v>24</v>
      </c>
      <c r="AX55">
        <v>2.427184</v>
      </c>
      <c r="AY55">
        <v>47.57282</v>
      </c>
      <c r="AZ55">
        <v>6.7</v>
      </c>
      <c r="BA55">
        <v>3.7313429999999999</v>
      </c>
      <c r="BB55" t="s">
        <v>289</v>
      </c>
      <c r="BC55" t="s">
        <v>290</v>
      </c>
      <c r="BD55" t="s">
        <v>291</v>
      </c>
    </row>
    <row r="56" spans="1:56" x14ac:dyDescent="0.2">
      <c r="A56" t="s">
        <v>292</v>
      </c>
      <c r="B56" t="s">
        <v>74</v>
      </c>
      <c r="C56" t="s">
        <v>49</v>
      </c>
      <c r="D56" t="s">
        <v>287</v>
      </c>
      <c r="E56" s="1">
        <v>44091</v>
      </c>
      <c r="F56" s="1">
        <v>44180</v>
      </c>
      <c r="G56" s="1">
        <v>43740</v>
      </c>
      <c r="H56" s="1">
        <v>43766</v>
      </c>
      <c r="I56" s="1">
        <v>43770</v>
      </c>
      <c r="J56" s="1">
        <v>43780</v>
      </c>
      <c r="K56" s="1">
        <v>43817</v>
      </c>
      <c r="L56" s="1">
        <v>43864</v>
      </c>
      <c r="M56" s="1">
        <v>43810</v>
      </c>
      <c r="N56" s="1">
        <v>45383</v>
      </c>
      <c r="Q56">
        <v>0</v>
      </c>
      <c r="R56">
        <v>0</v>
      </c>
      <c r="S56">
        <f t="shared" si="0"/>
        <v>52.7</v>
      </c>
      <c r="T56">
        <f t="shared" si="1"/>
        <v>52.7</v>
      </c>
      <c r="U56" s="2">
        <v>52.7</v>
      </c>
      <c r="V56" s="2">
        <v>52.7</v>
      </c>
      <c r="W56">
        <f t="shared" si="2"/>
        <v>51.677419354838712</v>
      </c>
      <c r="X56">
        <f t="shared" si="3"/>
        <v>51.677419354838712</v>
      </c>
      <c r="Y56" s="2">
        <v>51.677419350000001</v>
      </c>
      <c r="Z56" s="2">
        <v>51.677419350000001</v>
      </c>
      <c r="AA56">
        <v>2</v>
      </c>
      <c r="AB56" t="s">
        <v>51</v>
      </c>
      <c r="AC56" t="s">
        <v>260</v>
      </c>
      <c r="AD56">
        <v>0</v>
      </c>
      <c r="AE56">
        <v>21</v>
      </c>
      <c r="AF56">
        <v>59</v>
      </c>
      <c r="AG56" t="s">
        <v>80</v>
      </c>
      <c r="AH56" t="s">
        <v>54</v>
      </c>
      <c r="AI56" t="s">
        <v>55</v>
      </c>
      <c r="AJ56" t="s">
        <v>56</v>
      </c>
      <c r="AK56" t="s">
        <v>55</v>
      </c>
      <c r="AL56" t="s">
        <v>108</v>
      </c>
      <c r="AM56" t="s">
        <v>109</v>
      </c>
      <c r="AN56" t="s">
        <v>60</v>
      </c>
      <c r="AO56">
        <v>1</v>
      </c>
      <c r="AP56">
        <v>5</v>
      </c>
      <c r="AQ56" t="str">
        <f t="shared" si="4"/>
        <v>Responder</v>
      </c>
      <c r="AR56">
        <v>0.5</v>
      </c>
      <c r="AS56" t="s">
        <v>142</v>
      </c>
      <c r="AT56" t="s">
        <v>143</v>
      </c>
      <c r="AU56">
        <v>0.17</v>
      </c>
      <c r="AW56">
        <v>24</v>
      </c>
      <c r="AX56">
        <v>5.8823530000000002</v>
      </c>
      <c r="AY56">
        <v>44.117649999999998</v>
      </c>
      <c r="AZ56">
        <v>11.6</v>
      </c>
      <c r="BA56">
        <v>2.1551719999999999</v>
      </c>
      <c r="BB56" t="s">
        <v>293</v>
      </c>
      <c r="BC56" t="s">
        <v>294</v>
      </c>
      <c r="BD56" t="s">
        <v>295</v>
      </c>
    </row>
    <row r="57" spans="1:56" x14ac:dyDescent="0.2">
      <c r="A57" t="s">
        <v>296</v>
      </c>
      <c r="B57" t="s">
        <v>48</v>
      </c>
      <c r="C57" t="s">
        <v>106</v>
      </c>
      <c r="D57" t="s">
        <v>297</v>
      </c>
      <c r="E57" s="1">
        <v>44092</v>
      </c>
      <c r="F57" s="1">
        <v>44179</v>
      </c>
      <c r="G57" s="1">
        <v>43759</v>
      </c>
      <c r="H57" s="1">
        <v>43780</v>
      </c>
      <c r="I57" s="1">
        <v>43784</v>
      </c>
      <c r="J57" s="1">
        <v>43794</v>
      </c>
      <c r="K57" s="1">
        <v>43871</v>
      </c>
      <c r="L57" s="1">
        <v>43875</v>
      </c>
      <c r="M57" s="1">
        <v>43829</v>
      </c>
      <c r="N57" s="1">
        <v>45397</v>
      </c>
      <c r="Q57">
        <v>0</v>
      </c>
      <c r="R57">
        <v>0</v>
      </c>
      <c r="S57">
        <f t="shared" si="0"/>
        <v>52.7</v>
      </c>
      <c r="T57">
        <f t="shared" si="1"/>
        <v>52.7</v>
      </c>
      <c r="U57" s="2">
        <v>52.7</v>
      </c>
      <c r="V57" s="2">
        <v>52.7</v>
      </c>
      <c r="W57">
        <f t="shared" si="2"/>
        <v>51.516129032258064</v>
      </c>
      <c r="X57">
        <f t="shared" si="3"/>
        <v>51.516129032258064</v>
      </c>
      <c r="Y57" s="2">
        <v>51.516129030000002</v>
      </c>
      <c r="Z57" s="2">
        <v>51.516129030000002</v>
      </c>
      <c r="AA57">
        <v>2</v>
      </c>
      <c r="AB57" t="s">
        <v>51</v>
      </c>
      <c r="AC57" t="s">
        <v>260</v>
      </c>
      <c r="AD57">
        <v>0</v>
      </c>
      <c r="AE57">
        <v>22</v>
      </c>
      <c r="AF57">
        <v>52</v>
      </c>
      <c r="AG57" t="s">
        <v>80</v>
      </c>
      <c r="AH57" t="s">
        <v>54</v>
      </c>
      <c r="AI57" t="s">
        <v>55</v>
      </c>
      <c r="AJ57" t="s">
        <v>56</v>
      </c>
      <c r="AK57" t="s">
        <v>55</v>
      </c>
      <c r="AL57" t="s">
        <v>108</v>
      </c>
      <c r="AM57" t="s">
        <v>59</v>
      </c>
      <c r="AN57" t="s">
        <v>60</v>
      </c>
      <c r="AO57">
        <v>0</v>
      </c>
      <c r="AP57">
        <v>1</v>
      </c>
      <c r="AQ57" t="str">
        <f t="shared" si="4"/>
        <v>Responder</v>
      </c>
      <c r="AR57" t="s">
        <v>82</v>
      </c>
      <c r="AS57" t="s">
        <v>62</v>
      </c>
      <c r="AT57" t="s">
        <v>63</v>
      </c>
      <c r="AU57">
        <v>0.28999999999999998</v>
      </c>
      <c r="AW57">
        <v>24</v>
      </c>
      <c r="AX57">
        <v>3.4482759999999999</v>
      </c>
      <c r="AY57">
        <v>46.551720000000003</v>
      </c>
      <c r="AZ57">
        <v>9.08</v>
      </c>
      <c r="BA57">
        <v>2.753304</v>
      </c>
      <c r="BB57" t="s">
        <v>298</v>
      </c>
      <c r="BC57" t="s">
        <v>299</v>
      </c>
      <c r="BD57" t="s">
        <v>300</v>
      </c>
    </row>
    <row r="58" spans="1:56" x14ac:dyDescent="0.2">
      <c r="A58" t="s">
        <v>301</v>
      </c>
      <c r="B58" t="s">
        <v>68</v>
      </c>
      <c r="C58" t="s">
        <v>106</v>
      </c>
      <c r="D58" t="s">
        <v>297</v>
      </c>
      <c r="E58" s="1">
        <v>44092</v>
      </c>
      <c r="F58" s="1">
        <v>44179</v>
      </c>
      <c r="G58" s="1">
        <v>43759</v>
      </c>
      <c r="H58" s="1">
        <v>43780</v>
      </c>
      <c r="I58" s="1">
        <v>43784</v>
      </c>
      <c r="J58" s="1">
        <v>43794</v>
      </c>
      <c r="K58" s="1">
        <v>43871</v>
      </c>
      <c r="L58" s="1">
        <v>43875</v>
      </c>
      <c r="M58" s="1">
        <v>43829</v>
      </c>
      <c r="N58" s="1">
        <v>45397</v>
      </c>
      <c r="Q58">
        <v>0</v>
      </c>
      <c r="R58">
        <v>0</v>
      </c>
      <c r="S58">
        <f t="shared" si="0"/>
        <v>52.7</v>
      </c>
      <c r="T58">
        <f t="shared" si="1"/>
        <v>52.7</v>
      </c>
      <c r="U58" s="2">
        <v>52.7</v>
      </c>
      <c r="V58" s="2">
        <v>52.7</v>
      </c>
      <c r="W58">
        <f t="shared" si="2"/>
        <v>51.516129032258064</v>
      </c>
      <c r="X58">
        <f t="shared" si="3"/>
        <v>51.516129032258064</v>
      </c>
      <c r="Y58" s="2">
        <v>51.516129030000002</v>
      </c>
      <c r="Z58" s="2">
        <v>51.516129030000002</v>
      </c>
      <c r="AA58">
        <v>2</v>
      </c>
      <c r="AB58" t="s">
        <v>69</v>
      </c>
      <c r="AC58" t="s">
        <v>260</v>
      </c>
      <c r="AD58">
        <v>0</v>
      </c>
      <c r="AE58">
        <v>22</v>
      </c>
      <c r="AF58">
        <v>52</v>
      </c>
      <c r="AG58" t="s">
        <v>80</v>
      </c>
      <c r="AH58" t="s">
        <v>54</v>
      </c>
      <c r="AI58" t="s">
        <v>55</v>
      </c>
      <c r="AJ58" t="s">
        <v>56</v>
      </c>
      <c r="AK58" t="s">
        <v>55</v>
      </c>
      <c r="AL58" t="s">
        <v>108</v>
      </c>
      <c r="AM58" t="s">
        <v>59</v>
      </c>
      <c r="AN58" t="s">
        <v>60</v>
      </c>
      <c r="AO58">
        <v>0</v>
      </c>
      <c r="AP58">
        <v>1</v>
      </c>
      <c r="AQ58" t="str">
        <f t="shared" si="4"/>
        <v>Responder</v>
      </c>
      <c r="AR58" t="s">
        <v>82</v>
      </c>
      <c r="AS58" t="s">
        <v>62</v>
      </c>
      <c r="AT58" t="s">
        <v>63</v>
      </c>
      <c r="AU58">
        <v>0.4</v>
      </c>
      <c r="AW58">
        <v>24</v>
      </c>
      <c r="AX58">
        <v>2.5</v>
      </c>
      <c r="AY58">
        <v>47.5</v>
      </c>
      <c r="AZ58">
        <v>11.3</v>
      </c>
      <c r="BA58">
        <v>2.2123889999999999</v>
      </c>
      <c r="BB58" t="s">
        <v>298</v>
      </c>
      <c r="BC58" t="s">
        <v>299</v>
      </c>
      <c r="BD58" t="s">
        <v>300</v>
      </c>
    </row>
    <row r="59" spans="1:56" x14ac:dyDescent="0.2">
      <c r="A59" t="s">
        <v>302</v>
      </c>
      <c r="B59" t="s">
        <v>74</v>
      </c>
      <c r="C59" t="s">
        <v>106</v>
      </c>
      <c r="D59" t="s">
        <v>297</v>
      </c>
      <c r="E59" s="1">
        <v>44092</v>
      </c>
      <c r="F59" s="1">
        <v>44179</v>
      </c>
      <c r="G59" s="1">
        <v>43759</v>
      </c>
      <c r="H59" s="1">
        <v>43780</v>
      </c>
      <c r="I59" s="1">
        <v>43784</v>
      </c>
      <c r="J59" s="1">
        <v>43794</v>
      </c>
      <c r="K59" s="1">
        <v>43871</v>
      </c>
      <c r="L59" s="1">
        <v>43875</v>
      </c>
      <c r="M59" s="1">
        <v>43829</v>
      </c>
      <c r="N59" s="1">
        <v>45397</v>
      </c>
      <c r="Q59">
        <v>0</v>
      </c>
      <c r="R59">
        <v>0</v>
      </c>
      <c r="S59">
        <f t="shared" si="0"/>
        <v>52.7</v>
      </c>
      <c r="T59">
        <f t="shared" si="1"/>
        <v>52.7</v>
      </c>
      <c r="U59" s="2">
        <v>52.7</v>
      </c>
      <c r="V59" s="2">
        <v>52.7</v>
      </c>
      <c r="W59">
        <f t="shared" si="2"/>
        <v>51.516129032258064</v>
      </c>
      <c r="X59">
        <f t="shared" si="3"/>
        <v>51.516129032258064</v>
      </c>
      <c r="Y59" s="2">
        <v>51.516129030000002</v>
      </c>
      <c r="Z59" s="2">
        <v>51.516129030000002</v>
      </c>
      <c r="AA59">
        <v>2</v>
      </c>
      <c r="AB59" t="s">
        <v>69</v>
      </c>
      <c r="AC59" t="s">
        <v>260</v>
      </c>
      <c r="AD59">
        <v>0</v>
      </c>
      <c r="AE59">
        <v>22</v>
      </c>
      <c r="AF59">
        <v>52</v>
      </c>
      <c r="AG59" t="s">
        <v>80</v>
      </c>
      <c r="AH59" t="s">
        <v>54</v>
      </c>
      <c r="AI59" t="s">
        <v>55</v>
      </c>
      <c r="AJ59" t="s">
        <v>56</v>
      </c>
      <c r="AK59" t="s">
        <v>55</v>
      </c>
      <c r="AL59" t="s">
        <v>108</v>
      </c>
      <c r="AM59" t="s">
        <v>59</v>
      </c>
      <c r="AN59" t="s">
        <v>60</v>
      </c>
      <c r="AO59">
        <v>0</v>
      </c>
      <c r="AP59">
        <v>1</v>
      </c>
      <c r="AQ59" t="str">
        <f t="shared" si="4"/>
        <v>Responder</v>
      </c>
      <c r="AR59" t="s">
        <v>82</v>
      </c>
      <c r="AS59" t="s">
        <v>62</v>
      </c>
      <c r="AT59" t="s">
        <v>63</v>
      </c>
      <c r="AU59">
        <v>0.13200000000000001</v>
      </c>
      <c r="AW59">
        <v>24</v>
      </c>
      <c r="AX59">
        <v>7.5757580000000004</v>
      </c>
      <c r="AY59">
        <v>42.424239999999998</v>
      </c>
      <c r="AZ59">
        <v>12.7</v>
      </c>
      <c r="BA59">
        <v>1.968504</v>
      </c>
      <c r="BB59" t="s">
        <v>97</v>
      </c>
      <c r="BC59" t="s">
        <v>98</v>
      </c>
      <c r="BD59" t="s">
        <v>99</v>
      </c>
    </row>
    <row r="60" spans="1:56" x14ac:dyDescent="0.2">
      <c r="A60" t="s">
        <v>303</v>
      </c>
      <c r="B60" t="s">
        <v>48</v>
      </c>
      <c r="C60" t="s">
        <v>49</v>
      </c>
      <c r="D60" t="s">
        <v>304</v>
      </c>
      <c r="E60" s="1">
        <v>44092</v>
      </c>
      <c r="F60" s="1">
        <v>44180</v>
      </c>
      <c r="G60" s="1">
        <v>43515</v>
      </c>
      <c r="H60" s="1">
        <v>43558</v>
      </c>
      <c r="I60" s="1">
        <v>43587</v>
      </c>
      <c r="J60" s="1">
        <v>43601</v>
      </c>
      <c r="K60" s="1">
        <v>43640</v>
      </c>
      <c r="L60" s="1">
        <v>43672</v>
      </c>
      <c r="M60" s="1">
        <v>43628</v>
      </c>
      <c r="N60" s="1">
        <v>45384</v>
      </c>
      <c r="Q60">
        <v>0</v>
      </c>
      <c r="R60">
        <v>0</v>
      </c>
      <c r="S60">
        <f t="shared" si="0"/>
        <v>58.548387096774192</v>
      </c>
      <c r="T60">
        <f t="shared" si="1"/>
        <v>58.548387096774192</v>
      </c>
      <c r="U60" s="2">
        <v>58.548387099999999</v>
      </c>
      <c r="V60" s="2">
        <v>58.548387099999999</v>
      </c>
      <c r="W60">
        <f t="shared" si="2"/>
        <v>57.7</v>
      </c>
      <c r="X60">
        <f t="shared" si="3"/>
        <v>57.7</v>
      </c>
      <c r="Y60" s="2">
        <v>57.7</v>
      </c>
      <c r="Z60" s="2">
        <v>57.7</v>
      </c>
      <c r="AA60">
        <v>2</v>
      </c>
      <c r="AB60" t="s">
        <v>51</v>
      </c>
      <c r="AC60" t="s">
        <v>305</v>
      </c>
      <c r="AD60">
        <v>0</v>
      </c>
      <c r="AE60">
        <v>23</v>
      </c>
      <c r="AF60">
        <v>73</v>
      </c>
      <c r="AG60" t="s">
        <v>53</v>
      </c>
      <c r="AH60" t="s">
        <v>54</v>
      </c>
      <c r="AI60" t="s">
        <v>57</v>
      </c>
      <c r="AJ60" t="s">
        <v>56</v>
      </c>
      <c r="AK60" t="s">
        <v>55</v>
      </c>
      <c r="AL60" t="s">
        <v>108</v>
      </c>
      <c r="AM60" t="s">
        <v>109</v>
      </c>
      <c r="AN60" t="s">
        <v>60</v>
      </c>
      <c r="AO60">
        <v>1</v>
      </c>
      <c r="AP60">
        <v>1</v>
      </c>
      <c r="AQ60" t="str">
        <f t="shared" si="4"/>
        <v>Responder</v>
      </c>
      <c r="AR60" t="s">
        <v>82</v>
      </c>
      <c r="AS60" t="s">
        <v>62</v>
      </c>
      <c r="AT60" t="s">
        <v>63</v>
      </c>
      <c r="AU60">
        <v>2.64</v>
      </c>
      <c r="AW60">
        <v>24</v>
      </c>
      <c r="AX60">
        <v>0.37878800000000001</v>
      </c>
      <c r="AY60">
        <v>49.621209999999998</v>
      </c>
      <c r="AZ60">
        <v>10.8</v>
      </c>
      <c r="BA60">
        <v>2.3148149999999998</v>
      </c>
      <c r="BB60" t="s">
        <v>306</v>
      </c>
      <c r="BC60" t="s">
        <v>307</v>
      </c>
      <c r="BD60" t="s">
        <v>308</v>
      </c>
    </row>
    <row r="61" spans="1:56" x14ac:dyDescent="0.2">
      <c r="A61" t="s">
        <v>309</v>
      </c>
      <c r="B61" t="s">
        <v>74</v>
      </c>
      <c r="C61" t="s">
        <v>49</v>
      </c>
      <c r="D61" t="s">
        <v>304</v>
      </c>
      <c r="E61" s="1">
        <v>44092</v>
      </c>
      <c r="F61" s="1">
        <v>44179</v>
      </c>
      <c r="G61" s="1">
        <v>43515</v>
      </c>
      <c r="H61" s="1">
        <v>43558</v>
      </c>
      <c r="I61" s="1">
        <v>43587</v>
      </c>
      <c r="J61" s="1">
        <v>43601</v>
      </c>
      <c r="K61" s="1">
        <v>43640</v>
      </c>
      <c r="L61" s="1">
        <v>43672</v>
      </c>
      <c r="M61" s="1">
        <v>43628</v>
      </c>
      <c r="N61" s="1">
        <v>45384</v>
      </c>
      <c r="Q61">
        <v>0</v>
      </c>
      <c r="R61">
        <v>0</v>
      </c>
      <c r="S61">
        <f t="shared" si="0"/>
        <v>58.548387096774192</v>
      </c>
      <c r="T61">
        <f t="shared" si="1"/>
        <v>58.548387096774192</v>
      </c>
      <c r="U61" s="2">
        <v>58.548387099999999</v>
      </c>
      <c r="V61" s="2">
        <v>58.548387099999999</v>
      </c>
      <c r="W61">
        <f t="shared" si="2"/>
        <v>57.7</v>
      </c>
      <c r="X61">
        <f t="shared" si="3"/>
        <v>57.7</v>
      </c>
      <c r="Y61" s="2">
        <v>57.7</v>
      </c>
      <c r="Z61" s="2">
        <v>57.7</v>
      </c>
      <c r="AA61">
        <v>2</v>
      </c>
      <c r="AB61" t="s">
        <v>51</v>
      </c>
      <c r="AC61" t="s">
        <v>305</v>
      </c>
      <c r="AD61">
        <v>0</v>
      </c>
      <c r="AE61">
        <v>23</v>
      </c>
      <c r="AF61">
        <v>73</v>
      </c>
      <c r="AG61" t="s">
        <v>53</v>
      </c>
      <c r="AH61" t="s">
        <v>54</v>
      </c>
      <c r="AI61" t="s">
        <v>57</v>
      </c>
      <c r="AJ61" t="s">
        <v>56</v>
      </c>
      <c r="AK61" t="s">
        <v>55</v>
      </c>
      <c r="AL61" t="s">
        <v>108</v>
      </c>
      <c r="AM61" t="s">
        <v>109</v>
      </c>
      <c r="AN61" t="s">
        <v>60</v>
      </c>
      <c r="AO61">
        <v>1</v>
      </c>
      <c r="AP61">
        <v>1</v>
      </c>
      <c r="AQ61" t="str">
        <f t="shared" si="4"/>
        <v>Responder</v>
      </c>
      <c r="AR61" t="s">
        <v>82</v>
      </c>
      <c r="AS61" t="s">
        <v>62</v>
      </c>
      <c r="AT61" t="s">
        <v>63</v>
      </c>
      <c r="AU61">
        <v>4.16</v>
      </c>
      <c r="AW61">
        <v>24</v>
      </c>
      <c r="AX61">
        <v>0.24038499999999999</v>
      </c>
      <c r="AY61">
        <v>49.759619999999998</v>
      </c>
      <c r="AZ61">
        <v>2.86</v>
      </c>
      <c r="BA61">
        <v>8.7412589999999994</v>
      </c>
      <c r="BB61" t="s">
        <v>310</v>
      </c>
      <c r="BC61" t="s">
        <v>311</v>
      </c>
      <c r="BD61" t="s">
        <v>312</v>
      </c>
    </row>
    <row r="62" spans="1:56" x14ac:dyDescent="0.2">
      <c r="A62" t="s">
        <v>313</v>
      </c>
      <c r="B62" t="s">
        <v>48</v>
      </c>
      <c r="C62" t="s">
        <v>49</v>
      </c>
      <c r="D62" t="s">
        <v>314</v>
      </c>
      <c r="E62" s="1">
        <v>44092</v>
      </c>
      <c r="F62" s="1">
        <v>44179</v>
      </c>
      <c r="G62" s="1">
        <v>43565</v>
      </c>
      <c r="H62" s="1">
        <v>43601</v>
      </c>
      <c r="I62" s="1">
        <v>43615</v>
      </c>
      <c r="J62" s="1">
        <v>43626</v>
      </c>
      <c r="K62" s="1">
        <v>43661</v>
      </c>
      <c r="L62" s="1">
        <v>43697</v>
      </c>
      <c r="M62" s="1">
        <v>43657</v>
      </c>
      <c r="N62" s="1">
        <v>44172</v>
      </c>
      <c r="P62" s="1">
        <v>44173</v>
      </c>
      <c r="Q62">
        <v>1</v>
      </c>
      <c r="R62">
        <v>1</v>
      </c>
      <c r="S62">
        <v>17.933333333333334</v>
      </c>
      <c r="T62">
        <f t="shared" si="1"/>
        <v>17.933333333333334</v>
      </c>
      <c r="U62" s="2">
        <v>17.93333333</v>
      </c>
      <c r="V62" s="2">
        <v>17.93333333</v>
      </c>
      <c r="W62">
        <v>16.870967741935484</v>
      </c>
      <c r="X62">
        <f t="shared" si="3"/>
        <v>16.870967741935484</v>
      </c>
      <c r="Y62" s="2">
        <v>16.870967740000001</v>
      </c>
      <c r="Z62" s="2">
        <v>16.870967740000001</v>
      </c>
      <c r="AA62">
        <v>2</v>
      </c>
      <c r="AB62" t="s">
        <v>51</v>
      </c>
      <c r="AC62" t="s">
        <v>305</v>
      </c>
      <c r="AD62">
        <v>0</v>
      </c>
      <c r="AE62">
        <v>24</v>
      </c>
      <c r="AF62">
        <v>56</v>
      </c>
      <c r="AG62" t="s">
        <v>80</v>
      </c>
      <c r="AH62" t="s">
        <v>54</v>
      </c>
      <c r="AI62" t="s">
        <v>55</v>
      </c>
      <c r="AJ62" t="s">
        <v>56</v>
      </c>
      <c r="AK62" t="s">
        <v>57</v>
      </c>
      <c r="AL62" t="s">
        <v>96</v>
      </c>
      <c r="AM62" t="s">
        <v>59</v>
      </c>
      <c r="AN62" t="s">
        <v>57</v>
      </c>
      <c r="AO62">
        <v>1</v>
      </c>
      <c r="AP62">
        <v>1</v>
      </c>
      <c r="AQ62" t="str">
        <f t="shared" si="4"/>
        <v>Responder</v>
      </c>
      <c r="AR62" t="s">
        <v>315</v>
      </c>
      <c r="AS62" t="s">
        <v>62</v>
      </c>
      <c r="AT62" t="s">
        <v>63</v>
      </c>
      <c r="AU62">
        <v>1.97</v>
      </c>
      <c r="AW62">
        <v>24</v>
      </c>
      <c r="AX62">
        <v>0.50761400000000001</v>
      </c>
      <c r="AY62">
        <v>49.49239</v>
      </c>
      <c r="AZ62">
        <v>8.5</v>
      </c>
      <c r="BA62">
        <v>2.941176</v>
      </c>
      <c r="BB62" t="s">
        <v>316</v>
      </c>
      <c r="BC62" t="s">
        <v>317</v>
      </c>
      <c r="BD62" t="s">
        <v>318</v>
      </c>
    </row>
    <row r="63" spans="1:56" x14ac:dyDescent="0.2">
      <c r="A63" t="s">
        <v>319</v>
      </c>
      <c r="B63" t="s">
        <v>68</v>
      </c>
      <c r="C63" t="s">
        <v>49</v>
      </c>
      <c r="D63" t="s">
        <v>314</v>
      </c>
      <c r="E63" s="1">
        <v>44092</v>
      </c>
      <c r="F63" s="1">
        <v>44180</v>
      </c>
      <c r="G63" s="1">
        <v>43565</v>
      </c>
      <c r="H63" s="1">
        <v>43601</v>
      </c>
      <c r="I63" s="1">
        <v>43615</v>
      </c>
      <c r="J63" s="1">
        <v>43626</v>
      </c>
      <c r="K63" s="1">
        <v>43661</v>
      </c>
      <c r="L63" s="1">
        <v>43697</v>
      </c>
      <c r="M63" s="1">
        <v>43657</v>
      </c>
      <c r="N63" s="1">
        <v>44172</v>
      </c>
      <c r="P63" s="1">
        <v>44173</v>
      </c>
      <c r="Q63">
        <v>1</v>
      </c>
      <c r="R63">
        <v>1</v>
      </c>
      <c r="S63">
        <v>17.933333333333334</v>
      </c>
      <c r="T63">
        <f t="shared" si="1"/>
        <v>17.933333333333334</v>
      </c>
      <c r="U63" s="2">
        <v>17.93333333</v>
      </c>
      <c r="V63" s="2">
        <v>17.93333333</v>
      </c>
      <c r="W63">
        <v>16.870967741935484</v>
      </c>
      <c r="X63">
        <f t="shared" si="3"/>
        <v>16.870967741935484</v>
      </c>
      <c r="Y63" s="2">
        <v>16.870967740000001</v>
      </c>
      <c r="Z63" s="2">
        <v>16.870967740000001</v>
      </c>
      <c r="AA63">
        <v>2</v>
      </c>
      <c r="AB63" t="s">
        <v>69</v>
      </c>
      <c r="AC63" t="s">
        <v>305</v>
      </c>
      <c r="AD63">
        <v>0</v>
      </c>
      <c r="AE63">
        <v>24</v>
      </c>
      <c r="AF63">
        <v>56</v>
      </c>
      <c r="AG63" t="s">
        <v>80</v>
      </c>
      <c r="AH63" t="s">
        <v>54</v>
      </c>
      <c r="AI63" t="s">
        <v>55</v>
      </c>
      <c r="AJ63" t="s">
        <v>56</v>
      </c>
      <c r="AK63" t="s">
        <v>57</v>
      </c>
      <c r="AL63" t="s">
        <v>96</v>
      </c>
      <c r="AM63" t="s">
        <v>59</v>
      </c>
      <c r="AN63" t="s">
        <v>57</v>
      </c>
      <c r="AO63">
        <v>1</v>
      </c>
      <c r="AP63">
        <v>1</v>
      </c>
      <c r="AQ63" t="str">
        <f t="shared" si="4"/>
        <v>Responder</v>
      </c>
      <c r="AR63" t="s">
        <v>315</v>
      </c>
      <c r="AS63" t="s">
        <v>62</v>
      </c>
      <c r="AT63" t="s">
        <v>63</v>
      </c>
      <c r="AU63">
        <v>2.8</v>
      </c>
      <c r="AW63">
        <v>24</v>
      </c>
      <c r="AX63">
        <v>0.35714299999999999</v>
      </c>
      <c r="AY63">
        <v>49.642859999999999</v>
      </c>
      <c r="AZ63">
        <v>24.8</v>
      </c>
      <c r="BA63">
        <v>1.008065</v>
      </c>
      <c r="BB63" t="s">
        <v>310</v>
      </c>
      <c r="BC63" t="s">
        <v>311</v>
      </c>
      <c r="BD63" t="s">
        <v>312</v>
      </c>
    </row>
    <row r="64" spans="1:56" x14ac:dyDescent="0.2">
      <c r="A64" t="s">
        <v>320</v>
      </c>
      <c r="B64" t="s">
        <v>74</v>
      </c>
      <c r="C64" t="s">
        <v>49</v>
      </c>
      <c r="D64" t="s">
        <v>314</v>
      </c>
      <c r="E64" s="1">
        <v>44090</v>
      </c>
      <c r="F64" s="1">
        <v>44180</v>
      </c>
      <c r="G64" s="1">
        <v>43565</v>
      </c>
      <c r="H64" s="1">
        <v>43601</v>
      </c>
      <c r="I64" s="1">
        <v>43615</v>
      </c>
      <c r="J64" s="1">
        <v>43626</v>
      </c>
      <c r="K64" s="1">
        <v>43661</v>
      </c>
      <c r="L64" s="1">
        <v>43697</v>
      </c>
      <c r="M64" s="1">
        <v>43657</v>
      </c>
      <c r="N64" s="1">
        <v>44172</v>
      </c>
      <c r="P64" s="1">
        <v>44173</v>
      </c>
      <c r="Q64">
        <v>1</v>
      </c>
      <c r="R64">
        <v>1</v>
      </c>
      <c r="S64">
        <v>17.933333333333334</v>
      </c>
      <c r="T64">
        <f t="shared" si="1"/>
        <v>17.933333333333334</v>
      </c>
      <c r="U64" s="2">
        <v>17.93333333</v>
      </c>
      <c r="V64" s="2">
        <v>17.93333333</v>
      </c>
      <c r="W64">
        <v>16.870967741935484</v>
      </c>
      <c r="X64">
        <f t="shared" si="3"/>
        <v>16.870967741935484</v>
      </c>
      <c r="Y64" s="2">
        <v>16.870967740000001</v>
      </c>
      <c r="Z64" s="2">
        <v>16.870967740000001</v>
      </c>
      <c r="AA64">
        <v>2</v>
      </c>
      <c r="AB64" t="s">
        <v>51</v>
      </c>
      <c r="AC64" t="s">
        <v>305</v>
      </c>
      <c r="AD64">
        <v>0</v>
      </c>
      <c r="AE64">
        <v>24</v>
      </c>
      <c r="AF64">
        <v>56</v>
      </c>
      <c r="AG64" t="s">
        <v>80</v>
      </c>
      <c r="AH64" t="s">
        <v>54</v>
      </c>
      <c r="AI64" t="s">
        <v>55</v>
      </c>
      <c r="AJ64" t="s">
        <v>56</v>
      </c>
      <c r="AK64" t="s">
        <v>57</v>
      </c>
      <c r="AL64" t="s">
        <v>96</v>
      </c>
      <c r="AM64" t="s">
        <v>59</v>
      </c>
      <c r="AN64" t="s">
        <v>57</v>
      </c>
      <c r="AO64">
        <v>1</v>
      </c>
      <c r="AP64">
        <v>1</v>
      </c>
      <c r="AQ64" t="str">
        <f t="shared" si="4"/>
        <v>Responder</v>
      </c>
      <c r="AR64" t="s">
        <v>315</v>
      </c>
      <c r="AS64" t="s">
        <v>62</v>
      </c>
      <c r="AT64" t="s">
        <v>63</v>
      </c>
      <c r="AU64">
        <v>1.88</v>
      </c>
      <c r="AW64">
        <v>24</v>
      </c>
      <c r="AX64">
        <v>0.53191500000000003</v>
      </c>
      <c r="AY64">
        <v>49.468089999999997</v>
      </c>
      <c r="AZ64">
        <v>8.9600000000000009</v>
      </c>
      <c r="BA64">
        <v>2.7901790000000002</v>
      </c>
      <c r="BB64" t="s">
        <v>321</v>
      </c>
      <c r="BC64" t="s">
        <v>322</v>
      </c>
      <c r="BD64" t="s">
        <v>323</v>
      </c>
    </row>
    <row r="65" spans="1:56" x14ac:dyDescent="0.2">
      <c r="A65" t="s">
        <v>324</v>
      </c>
      <c r="B65" t="s">
        <v>48</v>
      </c>
      <c r="C65" t="s">
        <v>49</v>
      </c>
      <c r="D65" t="s">
        <v>325</v>
      </c>
      <c r="E65" s="1">
        <v>44092</v>
      </c>
      <c r="F65" s="1">
        <v>44179</v>
      </c>
      <c r="G65" s="1">
        <v>43608</v>
      </c>
      <c r="H65" s="1">
        <v>43647</v>
      </c>
      <c r="I65" s="1">
        <v>43663</v>
      </c>
      <c r="J65" s="1">
        <v>43684</v>
      </c>
      <c r="K65" s="1">
        <v>40430</v>
      </c>
      <c r="L65" s="1">
        <v>43754</v>
      </c>
      <c r="M65" s="1">
        <v>43711</v>
      </c>
      <c r="N65" s="1">
        <v>44991</v>
      </c>
      <c r="Q65">
        <v>0</v>
      </c>
      <c r="R65">
        <v>0</v>
      </c>
      <c r="S65">
        <f t="shared" si="0"/>
        <v>42.87096774193548</v>
      </c>
      <c r="T65">
        <f t="shared" si="1"/>
        <v>42.87096774193548</v>
      </c>
      <c r="U65" s="2">
        <v>42.870967739999998</v>
      </c>
      <c r="V65" s="2">
        <v>42.870967739999998</v>
      </c>
      <c r="W65">
        <f t="shared" si="2"/>
        <v>42.1</v>
      </c>
      <c r="X65">
        <f t="shared" si="3"/>
        <v>42.1</v>
      </c>
      <c r="Y65" s="2">
        <v>42.1</v>
      </c>
      <c r="Z65" s="2">
        <v>42.1</v>
      </c>
      <c r="AA65">
        <v>2</v>
      </c>
      <c r="AB65" t="s">
        <v>51</v>
      </c>
      <c r="AC65" t="s">
        <v>305</v>
      </c>
      <c r="AD65">
        <v>0</v>
      </c>
      <c r="AE65">
        <v>25</v>
      </c>
      <c r="AF65">
        <v>60</v>
      </c>
      <c r="AG65" t="s">
        <v>80</v>
      </c>
      <c r="AH65" t="s">
        <v>54</v>
      </c>
      <c r="AI65" t="s">
        <v>57</v>
      </c>
      <c r="AJ65" t="s">
        <v>56</v>
      </c>
      <c r="AK65" t="s">
        <v>57</v>
      </c>
      <c r="AL65" t="s">
        <v>96</v>
      </c>
      <c r="AM65" t="s">
        <v>59</v>
      </c>
      <c r="AN65" t="s">
        <v>60</v>
      </c>
      <c r="AO65">
        <v>1</v>
      </c>
      <c r="AP65">
        <v>9</v>
      </c>
      <c r="AQ65" t="str">
        <f t="shared" si="4"/>
        <v>Responder</v>
      </c>
      <c r="AR65">
        <v>0.9</v>
      </c>
      <c r="AS65" t="s">
        <v>326</v>
      </c>
      <c r="AT65" t="s">
        <v>143</v>
      </c>
      <c r="AU65">
        <v>0.84599999999999997</v>
      </c>
      <c r="AW65">
        <v>24</v>
      </c>
      <c r="AX65">
        <v>1.1820329999999999</v>
      </c>
      <c r="AY65">
        <v>48.817970000000003</v>
      </c>
      <c r="AZ65">
        <v>12.7</v>
      </c>
      <c r="BA65">
        <v>1.968504</v>
      </c>
      <c r="BB65" t="s">
        <v>152</v>
      </c>
      <c r="BC65" t="s">
        <v>153</v>
      </c>
      <c r="BD65" t="s">
        <v>154</v>
      </c>
    </row>
    <row r="66" spans="1:56" x14ac:dyDescent="0.2">
      <c r="A66" t="s">
        <v>327</v>
      </c>
      <c r="B66" t="s">
        <v>68</v>
      </c>
      <c r="C66" t="s">
        <v>49</v>
      </c>
      <c r="D66" t="s">
        <v>325</v>
      </c>
      <c r="E66" s="1">
        <v>44092</v>
      </c>
      <c r="F66" s="1">
        <v>44180</v>
      </c>
      <c r="G66" s="1">
        <v>43608</v>
      </c>
      <c r="H66" s="1">
        <v>43647</v>
      </c>
      <c r="I66" s="1">
        <v>43663</v>
      </c>
      <c r="J66" s="1">
        <v>43684</v>
      </c>
      <c r="K66" s="1">
        <v>40430</v>
      </c>
      <c r="L66" s="1">
        <v>43754</v>
      </c>
      <c r="M66" s="1">
        <v>43711</v>
      </c>
      <c r="N66" s="1">
        <v>44991</v>
      </c>
      <c r="Q66">
        <v>0</v>
      </c>
      <c r="R66">
        <v>0</v>
      </c>
      <c r="S66">
        <f t="shared" si="0"/>
        <v>42.87096774193548</v>
      </c>
      <c r="T66">
        <f t="shared" si="1"/>
        <v>42.87096774193548</v>
      </c>
      <c r="U66" s="2">
        <v>42.870967739999998</v>
      </c>
      <c r="V66" s="2">
        <v>42.870967739999998</v>
      </c>
      <c r="W66">
        <f t="shared" si="2"/>
        <v>42.1</v>
      </c>
      <c r="X66">
        <f t="shared" si="3"/>
        <v>42.1</v>
      </c>
      <c r="Y66" s="2">
        <v>42.1</v>
      </c>
      <c r="Z66" s="2">
        <v>42.1</v>
      </c>
      <c r="AA66">
        <v>2</v>
      </c>
      <c r="AB66" t="s">
        <v>69</v>
      </c>
      <c r="AC66" t="s">
        <v>305</v>
      </c>
      <c r="AD66">
        <v>0</v>
      </c>
      <c r="AE66">
        <v>25</v>
      </c>
      <c r="AF66">
        <v>60</v>
      </c>
      <c r="AG66" t="s">
        <v>80</v>
      </c>
      <c r="AH66" t="s">
        <v>54</v>
      </c>
      <c r="AI66" t="s">
        <v>57</v>
      </c>
      <c r="AJ66" t="s">
        <v>56</v>
      </c>
      <c r="AK66" t="s">
        <v>57</v>
      </c>
      <c r="AL66" t="s">
        <v>96</v>
      </c>
      <c r="AM66" t="s">
        <v>59</v>
      </c>
      <c r="AN66" t="s">
        <v>60</v>
      </c>
      <c r="AO66">
        <v>1</v>
      </c>
      <c r="AP66">
        <v>9</v>
      </c>
      <c r="AQ66" t="str">
        <f t="shared" si="4"/>
        <v>Responder</v>
      </c>
      <c r="AR66">
        <v>0.9</v>
      </c>
      <c r="AS66" t="s">
        <v>326</v>
      </c>
      <c r="AT66" t="s">
        <v>143</v>
      </c>
      <c r="AU66">
        <v>1.04</v>
      </c>
      <c r="AW66">
        <v>24</v>
      </c>
      <c r="AX66">
        <v>0.961538</v>
      </c>
      <c r="AY66">
        <v>49.038460000000001</v>
      </c>
      <c r="AZ66">
        <v>9.2799999999999994</v>
      </c>
      <c r="BA66">
        <v>2.6939660000000001</v>
      </c>
      <c r="BB66" t="s">
        <v>198</v>
      </c>
      <c r="BC66" t="s">
        <v>199</v>
      </c>
      <c r="BD66" t="s">
        <v>200</v>
      </c>
    </row>
    <row r="67" spans="1:56" x14ac:dyDescent="0.2">
      <c r="A67" t="s">
        <v>328</v>
      </c>
      <c r="B67" t="s">
        <v>74</v>
      </c>
      <c r="C67" t="s">
        <v>49</v>
      </c>
      <c r="D67" t="s">
        <v>325</v>
      </c>
      <c r="E67" s="1">
        <v>44092</v>
      </c>
      <c r="F67" s="1">
        <v>44179</v>
      </c>
      <c r="G67" s="1">
        <v>43608</v>
      </c>
      <c r="H67" s="1">
        <v>43647</v>
      </c>
      <c r="I67" s="1">
        <v>43663</v>
      </c>
      <c r="J67" s="1">
        <v>43684</v>
      </c>
      <c r="K67" s="1">
        <v>40430</v>
      </c>
      <c r="L67" s="1">
        <v>43754</v>
      </c>
      <c r="M67" s="1">
        <v>43711</v>
      </c>
      <c r="N67" s="1">
        <v>44991</v>
      </c>
      <c r="Q67">
        <v>0</v>
      </c>
      <c r="R67">
        <v>0</v>
      </c>
      <c r="S67">
        <f t="shared" ref="S67:S130" si="5">IF(Q67=0, DATEDIF(J67,N67,"M")+DATEDIF(J67,N67,"MD")/DAY(EOMONTH(J67,0)), DATEDIF(J67,O67,"M")+DATEDIF(J67,O67,"MD")/DAY(EOMONTH(J67,0)))</f>
        <v>42.87096774193548</v>
      </c>
      <c r="T67">
        <f t="shared" ref="T67:T130" si="6">IF(R67=0, DATEDIF(J67,N67,"M")+DATEDIF(J67,N67,"MD")/DAY(EOMONTH(J67,0)), DATEDIF(J67,P67,"M")+DATEDIF(J67,P67,"MD")/DAY(EOMONTH(J67,0)))</f>
        <v>42.87096774193548</v>
      </c>
      <c r="U67" s="2">
        <v>42.870967739999998</v>
      </c>
      <c r="V67" s="2">
        <v>42.870967739999998</v>
      </c>
      <c r="W67">
        <f t="shared" ref="W67:W130" si="7">IF(Q67=0, DATEDIF(M67,N67,"M")+DATEDIF(M67,N67,"MD")/DAY(EOMONTH(M67,0)), DATEDIF(M67,O67,"M")+DATEDIF(M67,O67,"MD")/DAY(EOMONTH(M67,0)))</f>
        <v>42.1</v>
      </c>
      <c r="X67">
        <f t="shared" ref="X67:X79" si="8">IF(R67=0, DATEDIF(M67,N67,"M")+DATEDIF(M67,N67,"MD")/DAY(EOMONTH(M67,0)), DATEDIF(M67,P67,"M")+DATEDIF(M67,P67,"MD")/DAY(EOMONTH(M67,0)))</f>
        <v>42.1</v>
      </c>
      <c r="Y67" s="2">
        <v>42.1</v>
      </c>
      <c r="Z67" s="2">
        <v>42.1</v>
      </c>
      <c r="AA67">
        <v>2</v>
      </c>
      <c r="AB67" t="s">
        <v>51</v>
      </c>
      <c r="AC67" t="s">
        <v>305</v>
      </c>
      <c r="AD67">
        <v>0</v>
      </c>
      <c r="AE67">
        <v>25</v>
      </c>
      <c r="AF67">
        <v>60</v>
      </c>
      <c r="AG67" t="s">
        <v>80</v>
      </c>
      <c r="AH67" t="s">
        <v>54</v>
      </c>
      <c r="AI67" t="s">
        <v>57</v>
      </c>
      <c r="AJ67" t="s">
        <v>56</v>
      </c>
      <c r="AK67" t="s">
        <v>57</v>
      </c>
      <c r="AL67" t="s">
        <v>96</v>
      </c>
      <c r="AM67" t="s">
        <v>59</v>
      </c>
      <c r="AN67" t="s">
        <v>60</v>
      </c>
      <c r="AO67">
        <v>1</v>
      </c>
      <c r="AP67">
        <v>9</v>
      </c>
      <c r="AQ67" t="str">
        <f t="shared" ref="AQ67:AQ130" si="9">IF(AP67=0, "Non-Responder", "Responder")</f>
        <v>Responder</v>
      </c>
      <c r="AR67">
        <v>0.9</v>
      </c>
      <c r="AS67" t="s">
        <v>326</v>
      </c>
      <c r="AT67" t="s">
        <v>143</v>
      </c>
      <c r="AU67">
        <v>1.26</v>
      </c>
      <c r="AW67">
        <v>24</v>
      </c>
      <c r="AX67">
        <v>0.793651</v>
      </c>
      <c r="AY67">
        <v>49.20635</v>
      </c>
      <c r="AZ67">
        <v>6.72</v>
      </c>
      <c r="BA67">
        <v>3.7202380000000002</v>
      </c>
      <c r="BB67" t="s">
        <v>329</v>
      </c>
      <c r="BC67" t="s">
        <v>330</v>
      </c>
      <c r="BD67" t="s">
        <v>331</v>
      </c>
    </row>
    <row r="68" spans="1:56" x14ac:dyDescent="0.2">
      <c r="A68" t="s">
        <v>332</v>
      </c>
      <c r="B68" t="s">
        <v>48</v>
      </c>
      <c r="C68" t="s">
        <v>49</v>
      </c>
      <c r="D68" t="s">
        <v>333</v>
      </c>
      <c r="E68" s="1">
        <v>44092</v>
      </c>
      <c r="F68" s="1">
        <v>44180</v>
      </c>
      <c r="G68" s="1">
        <v>43635</v>
      </c>
      <c r="H68" s="1">
        <v>43670</v>
      </c>
      <c r="I68" s="1">
        <v>43683</v>
      </c>
      <c r="J68" s="1">
        <v>43704</v>
      </c>
      <c r="K68" s="1">
        <v>43746</v>
      </c>
      <c r="L68" s="1">
        <v>43784</v>
      </c>
      <c r="M68" s="1">
        <v>43738</v>
      </c>
      <c r="N68" s="1">
        <v>45035</v>
      </c>
      <c r="Q68">
        <v>0</v>
      </c>
      <c r="R68">
        <v>0</v>
      </c>
      <c r="S68">
        <f t="shared" si="5"/>
        <v>43.741935483870968</v>
      </c>
      <c r="T68">
        <f t="shared" si="6"/>
        <v>43.741935483870968</v>
      </c>
      <c r="U68" s="2">
        <v>43.741935480000002</v>
      </c>
      <c r="V68" s="2">
        <v>43.741935480000002</v>
      </c>
      <c r="W68">
        <f t="shared" si="7"/>
        <v>42.666666666666664</v>
      </c>
      <c r="X68">
        <f t="shared" si="8"/>
        <v>42.666666666666664</v>
      </c>
      <c r="Y68" s="2">
        <v>42.666666669999998</v>
      </c>
      <c r="Z68" s="2">
        <v>42.666666669999998</v>
      </c>
      <c r="AA68">
        <v>2</v>
      </c>
      <c r="AB68" t="s">
        <v>69</v>
      </c>
      <c r="AC68" t="s">
        <v>305</v>
      </c>
      <c r="AD68">
        <v>0</v>
      </c>
      <c r="AE68">
        <v>26</v>
      </c>
      <c r="AF68">
        <v>65</v>
      </c>
      <c r="AG68" t="s">
        <v>53</v>
      </c>
      <c r="AH68" t="s">
        <v>54</v>
      </c>
      <c r="AI68" t="s">
        <v>57</v>
      </c>
      <c r="AJ68" t="s">
        <v>56</v>
      </c>
      <c r="AK68" t="s">
        <v>57</v>
      </c>
      <c r="AL68" t="s">
        <v>334</v>
      </c>
      <c r="AM68" t="s">
        <v>109</v>
      </c>
      <c r="AN68" t="s">
        <v>60</v>
      </c>
      <c r="AO68">
        <v>1</v>
      </c>
      <c r="AP68">
        <v>1</v>
      </c>
      <c r="AQ68" t="str">
        <f t="shared" si="9"/>
        <v>Responder</v>
      </c>
      <c r="AR68">
        <v>0.1</v>
      </c>
      <c r="AS68" t="s">
        <v>62</v>
      </c>
      <c r="AT68" t="s">
        <v>63</v>
      </c>
      <c r="AU68">
        <v>0.35599999999999998</v>
      </c>
      <c r="AW68">
        <v>24</v>
      </c>
      <c r="AX68">
        <v>2.808989</v>
      </c>
      <c r="AY68">
        <v>47.191009999999999</v>
      </c>
      <c r="AZ68">
        <v>10.3</v>
      </c>
      <c r="BA68">
        <v>2.427184</v>
      </c>
      <c r="BB68" t="s">
        <v>202</v>
      </c>
      <c r="BC68" t="s">
        <v>203</v>
      </c>
      <c r="BD68" t="s">
        <v>204</v>
      </c>
    </row>
    <row r="69" spans="1:56" x14ac:dyDescent="0.2">
      <c r="A69" t="s">
        <v>335</v>
      </c>
      <c r="B69" t="s">
        <v>68</v>
      </c>
      <c r="C69" t="s">
        <v>49</v>
      </c>
      <c r="D69" t="s">
        <v>333</v>
      </c>
      <c r="E69" s="1">
        <v>44092</v>
      </c>
      <c r="F69" s="1">
        <v>44180</v>
      </c>
      <c r="G69" s="1">
        <v>43635</v>
      </c>
      <c r="H69" s="1">
        <v>43670</v>
      </c>
      <c r="I69" s="1">
        <v>43683</v>
      </c>
      <c r="J69" s="1">
        <v>43704</v>
      </c>
      <c r="K69" s="1">
        <v>43746</v>
      </c>
      <c r="L69" s="1">
        <v>43784</v>
      </c>
      <c r="M69" s="1">
        <v>43738</v>
      </c>
      <c r="N69" s="1">
        <v>45035</v>
      </c>
      <c r="Q69">
        <v>0</v>
      </c>
      <c r="R69">
        <v>0</v>
      </c>
      <c r="S69">
        <f t="shared" si="5"/>
        <v>43.741935483870968</v>
      </c>
      <c r="T69">
        <f t="shared" si="6"/>
        <v>43.741935483870968</v>
      </c>
      <c r="U69" s="2">
        <v>43.741935480000002</v>
      </c>
      <c r="V69" s="2">
        <v>43.741935480000002</v>
      </c>
      <c r="W69">
        <f t="shared" si="7"/>
        <v>42.666666666666664</v>
      </c>
      <c r="X69">
        <f t="shared" si="8"/>
        <v>42.666666666666664</v>
      </c>
      <c r="Y69" s="2">
        <v>42.666666669999998</v>
      </c>
      <c r="Z69" s="2">
        <v>42.666666669999998</v>
      </c>
      <c r="AA69">
        <v>2</v>
      </c>
      <c r="AB69" t="s">
        <v>51</v>
      </c>
      <c r="AC69" t="s">
        <v>305</v>
      </c>
      <c r="AD69">
        <v>0</v>
      </c>
      <c r="AE69">
        <v>26</v>
      </c>
      <c r="AF69">
        <v>65</v>
      </c>
      <c r="AG69" t="s">
        <v>53</v>
      </c>
      <c r="AH69" t="s">
        <v>54</v>
      </c>
      <c r="AI69" t="s">
        <v>57</v>
      </c>
      <c r="AJ69" t="s">
        <v>56</v>
      </c>
      <c r="AK69" t="s">
        <v>57</v>
      </c>
      <c r="AL69" t="s">
        <v>334</v>
      </c>
      <c r="AM69" t="s">
        <v>109</v>
      </c>
      <c r="AN69" t="s">
        <v>60</v>
      </c>
      <c r="AO69">
        <v>1</v>
      </c>
      <c r="AP69">
        <v>1</v>
      </c>
      <c r="AQ69" t="str">
        <f t="shared" si="9"/>
        <v>Responder</v>
      </c>
      <c r="AR69">
        <v>0.1</v>
      </c>
      <c r="AS69" t="s">
        <v>62</v>
      </c>
      <c r="AT69" t="s">
        <v>63</v>
      </c>
      <c r="AU69">
        <v>1.04</v>
      </c>
      <c r="AW69">
        <v>24</v>
      </c>
      <c r="AX69">
        <v>0.961538</v>
      </c>
      <c r="AY69">
        <v>49.038460000000001</v>
      </c>
      <c r="AZ69">
        <v>11.5</v>
      </c>
      <c r="BA69">
        <v>2.1739130000000002</v>
      </c>
      <c r="BB69" t="s">
        <v>336</v>
      </c>
      <c r="BC69" t="s">
        <v>337</v>
      </c>
      <c r="BD69" t="s">
        <v>338</v>
      </c>
    </row>
    <row r="70" spans="1:56" x14ac:dyDescent="0.2">
      <c r="A70" t="s">
        <v>339</v>
      </c>
      <c r="B70" t="s">
        <v>48</v>
      </c>
      <c r="C70" t="s">
        <v>49</v>
      </c>
      <c r="D70" t="s">
        <v>340</v>
      </c>
      <c r="E70" s="1">
        <v>44092</v>
      </c>
      <c r="F70" s="1">
        <v>44180</v>
      </c>
      <c r="G70" s="1">
        <v>43698</v>
      </c>
      <c r="H70" s="1">
        <v>43731</v>
      </c>
      <c r="I70" s="1">
        <v>43740</v>
      </c>
      <c r="J70" s="1">
        <v>43747</v>
      </c>
      <c r="K70" s="1">
        <v>43780</v>
      </c>
      <c r="L70" s="1">
        <v>43816</v>
      </c>
      <c r="M70" s="1">
        <v>43774</v>
      </c>
      <c r="N70" s="1">
        <v>45299</v>
      </c>
      <c r="Q70">
        <v>0</v>
      </c>
      <c r="R70">
        <v>0</v>
      </c>
      <c r="S70">
        <f t="shared" si="5"/>
        <v>50.967741935483872</v>
      </c>
      <c r="T70">
        <f t="shared" si="6"/>
        <v>50.967741935483872</v>
      </c>
      <c r="U70" s="2">
        <v>50.967741940000003</v>
      </c>
      <c r="V70" s="2">
        <v>50.967741940000003</v>
      </c>
      <c r="W70">
        <f t="shared" si="7"/>
        <v>50.1</v>
      </c>
      <c r="X70">
        <f t="shared" si="8"/>
        <v>50.1</v>
      </c>
      <c r="Y70" s="2">
        <v>50.1</v>
      </c>
      <c r="Z70" s="2">
        <v>50.1</v>
      </c>
      <c r="AA70">
        <v>2</v>
      </c>
      <c r="AB70" t="s">
        <v>69</v>
      </c>
      <c r="AC70" t="s">
        <v>305</v>
      </c>
      <c r="AD70">
        <v>0</v>
      </c>
      <c r="AE70">
        <v>27</v>
      </c>
      <c r="AF70">
        <v>57</v>
      </c>
      <c r="AG70" t="s">
        <v>80</v>
      </c>
      <c r="AH70" t="s">
        <v>54</v>
      </c>
      <c r="AI70" t="s">
        <v>55</v>
      </c>
      <c r="AJ70" t="s">
        <v>56</v>
      </c>
      <c r="AK70" t="s">
        <v>57</v>
      </c>
      <c r="AL70" t="s">
        <v>341</v>
      </c>
      <c r="AM70" t="s">
        <v>59</v>
      </c>
      <c r="AN70" t="s">
        <v>57</v>
      </c>
      <c r="AO70">
        <v>0</v>
      </c>
      <c r="AP70">
        <v>1</v>
      </c>
      <c r="AQ70" t="str">
        <f t="shared" si="9"/>
        <v>Responder</v>
      </c>
      <c r="AR70">
        <v>0.1</v>
      </c>
      <c r="AS70" t="s">
        <v>62</v>
      </c>
      <c r="AT70" t="s">
        <v>63</v>
      </c>
      <c r="AU70">
        <v>1.41</v>
      </c>
      <c r="AW70">
        <v>24</v>
      </c>
      <c r="AX70">
        <v>0.70921999999999996</v>
      </c>
      <c r="AY70">
        <v>49.290779999999998</v>
      </c>
      <c r="AZ70">
        <v>4.46</v>
      </c>
      <c r="BA70">
        <v>5.6053810000000004</v>
      </c>
      <c r="BB70" t="s">
        <v>239</v>
      </c>
      <c r="BC70" t="s">
        <v>240</v>
      </c>
      <c r="BD70" t="s">
        <v>241</v>
      </c>
    </row>
    <row r="71" spans="1:56" x14ac:dyDescent="0.2">
      <c r="A71" t="s">
        <v>342</v>
      </c>
      <c r="B71" t="s">
        <v>68</v>
      </c>
      <c r="C71" t="s">
        <v>49</v>
      </c>
      <c r="D71" t="s">
        <v>340</v>
      </c>
      <c r="E71" s="1">
        <v>44092</v>
      </c>
      <c r="F71" s="1">
        <v>44179</v>
      </c>
      <c r="G71" s="1">
        <v>43698</v>
      </c>
      <c r="H71" s="1">
        <v>43731</v>
      </c>
      <c r="I71" s="1">
        <v>43740</v>
      </c>
      <c r="J71" s="1">
        <v>43747</v>
      </c>
      <c r="K71" s="1">
        <v>43780</v>
      </c>
      <c r="L71" s="1">
        <v>43816</v>
      </c>
      <c r="M71" s="1">
        <v>43774</v>
      </c>
      <c r="N71" s="1">
        <v>45299</v>
      </c>
      <c r="Q71">
        <v>0</v>
      </c>
      <c r="R71">
        <v>0</v>
      </c>
      <c r="S71">
        <f t="shared" si="5"/>
        <v>50.967741935483872</v>
      </c>
      <c r="T71">
        <f t="shared" si="6"/>
        <v>50.967741935483872</v>
      </c>
      <c r="U71" s="2">
        <v>50.967741940000003</v>
      </c>
      <c r="V71" s="2">
        <v>50.967741940000003</v>
      </c>
      <c r="W71">
        <f t="shared" si="7"/>
        <v>50.1</v>
      </c>
      <c r="X71">
        <f t="shared" si="8"/>
        <v>50.1</v>
      </c>
      <c r="Y71" s="2">
        <v>50.1</v>
      </c>
      <c r="Z71" s="2">
        <v>50.1</v>
      </c>
      <c r="AA71">
        <v>2</v>
      </c>
      <c r="AB71" t="s">
        <v>69</v>
      </c>
      <c r="AC71" t="s">
        <v>305</v>
      </c>
      <c r="AD71">
        <v>0</v>
      </c>
      <c r="AE71">
        <v>27</v>
      </c>
      <c r="AF71">
        <v>57</v>
      </c>
      <c r="AG71" t="s">
        <v>80</v>
      </c>
      <c r="AH71" t="s">
        <v>54</v>
      </c>
      <c r="AI71" t="s">
        <v>55</v>
      </c>
      <c r="AJ71" t="s">
        <v>56</v>
      </c>
      <c r="AK71" t="s">
        <v>57</v>
      </c>
      <c r="AL71" t="s">
        <v>341</v>
      </c>
      <c r="AM71" t="s">
        <v>59</v>
      </c>
      <c r="AN71" t="s">
        <v>57</v>
      </c>
      <c r="AO71">
        <v>0</v>
      </c>
      <c r="AP71">
        <v>1</v>
      </c>
      <c r="AQ71" t="str">
        <f t="shared" si="9"/>
        <v>Responder</v>
      </c>
      <c r="AR71">
        <v>0.1</v>
      </c>
      <c r="AS71" t="s">
        <v>62</v>
      </c>
      <c r="AT71" t="s">
        <v>63</v>
      </c>
      <c r="AU71">
        <v>1.61</v>
      </c>
      <c r="AW71">
        <v>24</v>
      </c>
      <c r="AX71">
        <v>0.62111799999999995</v>
      </c>
      <c r="AY71">
        <v>49.378880000000002</v>
      </c>
      <c r="AZ71">
        <v>3.9</v>
      </c>
      <c r="BA71">
        <v>6.4102560000000004</v>
      </c>
      <c r="BB71" t="s">
        <v>306</v>
      </c>
      <c r="BC71" t="s">
        <v>307</v>
      </c>
      <c r="BD71" t="s">
        <v>308</v>
      </c>
    </row>
    <row r="72" spans="1:56" x14ac:dyDescent="0.2">
      <c r="A72" t="s">
        <v>343</v>
      </c>
      <c r="B72" t="s">
        <v>74</v>
      </c>
      <c r="C72" t="s">
        <v>49</v>
      </c>
      <c r="D72" t="s">
        <v>340</v>
      </c>
      <c r="E72" s="1">
        <v>44092</v>
      </c>
      <c r="F72" s="1">
        <v>44180</v>
      </c>
      <c r="G72" s="1">
        <v>43698</v>
      </c>
      <c r="H72" s="1">
        <v>43731</v>
      </c>
      <c r="I72" s="1">
        <v>43740</v>
      </c>
      <c r="J72" s="1">
        <v>43747</v>
      </c>
      <c r="K72" s="1">
        <v>43780</v>
      </c>
      <c r="L72" s="1">
        <v>43816</v>
      </c>
      <c r="M72" s="1">
        <v>43774</v>
      </c>
      <c r="N72" s="1">
        <v>45299</v>
      </c>
      <c r="Q72">
        <v>0</v>
      </c>
      <c r="R72">
        <v>0</v>
      </c>
      <c r="S72">
        <f t="shared" si="5"/>
        <v>50.967741935483872</v>
      </c>
      <c r="T72">
        <f t="shared" si="6"/>
        <v>50.967741935483872</v>
      </c>
      <c r="U72" s="2">
        <v>50.967741940000003</v>
      </c>
      <c r="V72" s="2">
        <v>50.967741940000003</v>
      </c>
      <c r="W72">
        <f t="shared" si="7"/>
        <v>50.1</v>
      </c>
      <c r="X72">
        <f t="shared" si="8"/>
        <v>50.1</v>
      </c>
      <c r="Y72" s="2">
        <v>50.1</v>
      </c>
      <c r="Z72" s="2">
        <v>50.1</v>
      </c>
      <c r="AA72">
        <v>2</v>
      </c>
      <c r="AB72" t="s">
        <v>69</v>
      </c>
      <c r="AC72" t="s">
        <v>305</v>
      </c>
      <c r="AD72">
        <v>0</v>
      </c>
      <c r="AE72">
        <v>27</v>
      </c>
      <c r="AF72">
        <v>57</v>
      </c>
      <c r="AG72" t="s">
        <v>80</v>
      </c>
      <c r="AH72" t="s">
        <v>54</v>
      </c>
      <c r="AI72" t="s">
        <v>55</v>
      </c>
      <c r="AJ72" t="s">
        <v>56</v>
      </c>
      <c r="AK72" t="s">
        <v>57</v>
      </c>
      <c r="AL72" t="s">
        <v>341</v>
      </c>
      <c r="AM72" t="s">
        <v>59</v>
      </c>
      <c r="AN72" t="s">
        <v>57</v>
      </c>
      <c r="AO72">
        <v>0</v>
      </c>
      <c r="AP72">
        <v>1</v>
      </c>
      <c r="AQ72" t="str">
        <f t="shared" si="9"/>
        <v>Responder</v>
      </c>
      <c r="AR72">
        <v>0.1</v>
      </c>
      <c r="AS72" t="s">
        <v>62</v>
      </c>
      <c r="AT72" t="s">
        <v>63</v>
      </c>
      <c r="AU72">
        <v>1.21</v>
      </c>
      <c r="AW72">
        <v>24</v>
      </c>
      <c r="AX72">
        <v>0.82644600000000001</v>
      </c>
      <c r="AY72">
        <v>49.173549999999999</v>
      </c>
      <c r="AZ72">
        <v>0.33200000000000002</v>
      </c>
      <c r="BA72">
        <v>5</v>
      </c>
      <c r="BB72" t="s">
        <v>191</v>
      </c>
      <c r="BC72" t="s">
        <v>192</v>
      </c>
      <c r="BD72" t="s">
        <v>193</v>
      </c>
    </row>
    <row r="73" spans="1:56" x14ac:dyDescent="0.2">
      <c r="A73" t="s">
        <v>344</v>
      </c>
      <c r="B73" t="s">
        <v>48</v>
      </c>
      <c r="C73" t="s">
        <v>49</v>
      </c>
      <c r="D73" t="s">
        <v>345</v>
      </c>
      <c r="E73" s="1">
        <v>44090</v>
      </c>
      <c r="F73" s="1">
        <v>44180</v>
      </c>
      <c r="G73" s="1">
        <v>43731</v>
      </c>
      <c r="H73" s="1">
        <v>43739</v>
      </c>
      <c r="I73" s="1">
        <v>43753</v>
      </c>
      <c r="J73" s="1">
        <v>43761</v>
      </c>
      <c r="N73" s="1">
        <v>43761</v>
      </c>
      <c r="Q73">
        <v>0</v>
      </c>
      <c r="R73">
        <v>0</v>
      </c>
      <c r="U73" s="2">
        <v>55.068996599999998</v>
      </c>
      <c r="V73" s="2">
        <v>54.756465176448593</v>
      </c>
      <c r="Y73" s="2">
        <v>53.975304199550543</v>
      </c>
      <c r="Z73" s="2">
        <v>53.632725738415814</v>
      </c>
      <c r="AA73">
        <v>2</v>
      </c>
      <c r="AB73" t="s">
        <v>51</v>
      </c>
      <c r="AC73" t="s">
        <v>305</v>
      </c>
      <c r="AD73">
        <v>0</v>
      </c>
      <c r="AE73">
        <v>28</v>
      </c>
      <c r="AF73">
        <v>74</v>
      </c>
      <c r="AG73" t="s">
        <v>80</v>
      </c>
      <c r="AH73" t="s">
        <v>54</v>
      </c>
      <c r="AI73" t="s">
        <v>57</v>
      </c>
      <c r="AJ73" t="s">
        <v>56</v>
      </c>
      <c r="AK73" t="s">
        <v>55</v>
      </c>
      <c r="AL73" t="s">
        <v>214</v>
      </c>
      <c r="AM73" t="s">
        <v>109</v>
      </c>
      <c r="AN73" t="s">
        <v>57</v>
      </c>
      <c r="AO73">
        <v>1</v>
      </c>
      <c r="AP73">
        <v>1</v>
      </c>
      <c r="AQ73" t="str">
        <f t="shared" si="9"/>
        <v>Responder</v>
      </c>
      <c r="AR73">
        <v>0.1</v>
      </c>
      <c r="AS73" t="s">
        <v>62</v>
      </c>
      <c r="AT73" t="s">
        <v>63</v>
      </c>
      <c r="AU73">
        <v>0.15</v>
      </c>
      <c r="AW73">
        <v>24</v>
      </c>
      <c r="AX73">
        <v>6.6666670000000003</v>
      </c>
      <c r="AY73">
        <v>43.333329999999997</v>
      </c>
      <c r="AZ73">
        <v>16.7</v>
      </c>
      <c r="BA73">
        <v>1.4970060000000001</v>
      </c>
      <c r="BB73" t="s">
        <v>346</v>
      </c>
      <c r="BC73" t="s">
        <v>347</v>
      </c>
      <c r="BD73" t="s">
        <v>348</v>
      </c>
    </row>
    <row r="74" spans="1:56" x14ac:dyDescent="0.2">
      <c r="A74" t="s">
        <v>349</v>
      </c>
      <c r="B74" t="s">
        <v>68</v>
      </c>
      <c r="C74" t="s">
        <v>49</v>
      </c>
      <c r="D74" t="s">
        <v>345</v>
      </c>
      <c r="E74" s="1">
        <v>44092</v>
      </c>
      <c r="F74" s="1">
        <v>44180</v>
      </c>
      <c r="G74" s="1">
        <v>43731</v>
      </c>
      <c r="H74" s="1">
        <v>43739</v>
      </c>
      <c r="I74" s="1">
        <v>43753</v>
      </c>
      <c r="J74" s="1">
        <v>43761</v>
      </c>
      <c r="N74" s="1">
        <v>43761</v>
      </c>
      <c r="Q74">
        <v>0</v>
      </c>
      <c r="R74">
        <v>0</v>
      </c>
      <c r="U74" s="2">
        <v>55.068996599999998</v>
      </c>
      <c r="V74" s="2">
        <v>54.756465176448593</v>
      </c>
      <c r="Y74" s="2">
        <v>53.975304199550543</v>
      </c>
      <c r="Z74" s="2">
        <v>53.632725738415814</v>
      </c>
      <c r="AA74">
        <v>2</v>
      </c>
      <c r="AB74" t="s">
        <v>69</v>
      </c>
      <c r="AC74" t="s">
        <v>305</v>
      </c>
      <c r="AD74">
        <v>0</v>
      </c>
      <c r="AE74">
        <v>28</v>
      </c>
      <c r="AF74">
        <v>74</v>
      </c>
      <c r="AG74" t="s">
        <v>80</v>
      </c>
      <c r="AH74" t="s">
        <v>54</v>
      </c>
      <c r="AI74" t="s">
        <v>57</v>
      </c>
      <c r="AJ74" t="s">
        <v>56</v>
      </c>
      <c r="AK74" t="s">
        <v>55</v>
      </c>
      <c r="AL74" t="s">
        <v>214</v>
      </c>
      <c r="AM74" t="s">
        <v>109</v>
      </c>
      <c r="AN74" t="s">
        <v>57</v>
      </c>
      <c r="AO74">
        <v>1</v>
      </c>
      <c r="AP74">
        <v>1</v>
      </c>
      <c r="AQ74" t="str">
        <f t="shared" si="9"/>
        <v>Responder</v>
      </c>
      <c r="AR74">
        <v>0.1</v>
      </c>
      <c r="AS74" t="s">
        <v>62</v>
      </c>
      <c r="AT74" t="s">
        <v>63</v>
      </c>
      <c r="AU74">
        <v>0.432</v>
      </c>
      <c r="AW74">
        <v>24</v>
      </c>
      <c r="AX74">
        <v>2.3148149999999998</v>
      </c>
      <c r="AY74">
        <v>47.685189999999999</v>
      </c>
      <c r="AZ74">
        <v>13.4</v>
      </c>
      <c r="BA74">
        <v>1.865672</v>
      </c>
      <c r="BB74" t="s">
        <v>234</v>
      </c>
      <c r="BC74" t="s">
        <v>235</v>
      </c>
      <c r="BD74" t="s">
        <v>236</v>
      </c>
    </row>
    <row r="75" spans="1:56" x14ac:dyDescent="0.2">
      <c r="A75" t="s">
        <v>350</v>
      </c>
      <c r="B75" t="s">
        <v>48</v>
      </c>
      <c r="C75" t="s">
        <v>49</v>
      </c>
      <c r="D75" t="s">
        <v>351</v>
      </c>
      <c r="E75" s="1">
        <v>44092</v>
      </c>
      <c r="F75" s="1">
        <v>44180</v>
      </c>
      <c r="G75" s="1">
        <v>43853</v>
      </c>
      <c r="H75" s="1">
        <v>43854</v>
      </c>
      <c r="I75" s="1">
        <v>43874</v>
      </c>
      <c r="J75" s="1">
        <v>43892</v>
      </c>
      <c r="K75" s="1">
        <v>43934</v>
      </c>
      <c r="L75" s="1">
        <v>43971</v>
      </c>
      <c r="M75" s="1">
        <v>43927</v>
      </c>
      <c r="N75" s="1">
        <v>45495</v>
      </c>
      <c r="Q75">
        <v>0</v>
      </c>
      <c r="R75">
        <v>0</v>
      </c>
      <c r="S75">
        <f t="shared" si="5"/>
        <v>52.645161290322584</v>
      </c>
      <c r="T75">
        <f t="shared" si="6"/>
        <v>52.645161290322584</v>
      </c>
      <c r="U75" s="2">
        <v>52.645161289999997</v>
      </c>
      <c r="V75" s="2">
        <v>52.645161289999997</v>
      </c>
      <c r="W75">
        <f t="shared" si="7"/>
        <v>51.533333333333331</v>
      </c>
      <c r="X75">
        <f t="shared" si="8"/>
        <v>51.533333333333331</v>
      </c>
      <c r="Y75" s="2">
        <v>51.533333329999998</v>
      </c>
      <c r="Z75" s="2">
        <v>51.533333329999998</v>
      </c>
      <c r="AA75">
        <v>2</v>
      </c>
      <c r="AB75" t="s">
        <v>69</v>
      </c>
      <c r="AC75" t="s">
        <v>305</v>
      </c>
      <c r="AD75">
        <v>0</v>
      </c>
      <c r="AE75">
        <v>29</v>
      </c>
      <c r="AF75">
        <v>49</v>
      </c>
      <c r="AG75" t="s">
        <v>80</v>
      </c>
      <c r="AH75" t="s">
        <v>54</v>
      </c>
      <c r="AI75" t="s">
        <v>55</v>
      </c>
      <c r="AJ75" t="s">
        <v>56</v>
      </c>
      <c r="AK75" t="s">
        <v>57</v>
      </c>
      <c r="AL75" t="s">
        <v>352</v>
      </c>
      <c r="AM75" t="s">
        <v>109</v>
      </c>
      <c r="AN75" t="s">
        <v>60</v>
      </c>
      <c r="AO75">
        <v>2</v>
      </c>
      <c r="AP75">
        <v>2</v>
      </c>
      <c r="AQ75" t="str">
        <f t="shared" si="9"/>
        <v>Responder</v>
      </c>
      <c r="AR75">
        <v>0.2</v>
      </c>
      <c r="AS75" t="s">
        <v>142</v>
      </c>
      <c r="AT75" t="s">
        <v>143</v>
      </c>
      <c r="AU75">
        <v>0.56000000000000005</v>
      </c>
      <c r="AW75">
        <v>24</v>
      </c>
      <c r="AX75">
        <v>1.785714</v>
      </c>
      <c r="AY75">
        <v>48.214289999999998</v>
      </c>
      <c r="AZ75">
        <v>5.3</v>
      </c>
      <c r="BA75">
        <v>4.7169809999999996</v>
      </c>
      <c r="BB75" t="s">
        <v>122</v>
      </c>
      <c r="BC75" t="s">
        <v>123</v>
      </c>
      <c r="BD75" t="s">
        <v>124</v>
      </c>
    </row>
    <row r="76" spans="1:56" x14ac:dyDescent="0.2">
      <c r="A76" t="s">
        <v>353</v>
      </c>
      <c r="B76" t="s">
        <v>68</v>
      </c>
      <c r="C76" t="s">
        <v>49</v>
      </c>
      <c r="D76" t="s">
        <v>351</v>
      </c>
      <c r="E76" s="1">
        <v>44092</v>
      </c>
      <c r="F76" s="1">
        <v>44180</v>
      </c>
      <c r="G76" s="1">
        <v>43853</v>
      </c>
      <c r="H76" s="1">
        <v>43854</v>
      </c>
      <c r="I76" s="1">
        <v>43874</v>
      </c>
      <c r="J76" s="1">
        <v>43892</v>
      </c>
      <c r="K76" s="1">
        <v>43934</v>
      </c>
      <c r="L76" s="1">
        <v>43971</v>
      </c>
      <c r="M76" s="1">
        <v>43927</v>
      </c>
      <c r="N76" s="1">
        <v>45495</v>
      </c>
      <c r="Q76">
        <v>0</v>
      </c>
      <c r="R76">
        <v>0</v>
      </c>
      <c r="S76">
        <f t="shared" si="5"/>
        <v>52.645161290322584</v>
      </c>
      <c r="T76">
        <f t="shared" si="6"/>
        <v>52.645161290322584</v>
      </c>
      <c r="U76" s="2">
        <v>52.645161289999997</v>
      </c>
      <c r="V76" s="2">
        <v>52.645161289999997</v>
      </c>
      <c r="W76">
        <f t="shared" si="7"/>
        <v>51.533333333333331</v>
      </c>
      <c r="X76">
        <f t="shared" si="8"/>
        <v>51.533333333333331</v>
      </c>
      <c r="Y76" s="2">
        <v>51.533333329999998</v>
      </c>
      <c r="Z76" s="2">
        <v>51.533333329999998</v>
      </c>
      <c r="AA76">
        <v>2</v>
      </c>
      <c r="AB76" t="s">
        <v>69</v>
      </c>
      <c r="AC76" t="s">
        <v>305</v>
      </c>
      <c r="AD76">
        <v>0</v>
      </c>
      <c r="AE76">
        <v>29</v>
      </c>
      <c r="AF76">
        <v>49</v>
      </c>
      <c r="AG76" t="s">
        <v>80</v>
      </c>
      <c r="AH76" t="s">
        <v>54</v>
      </c>
      <c r="AI76" t="s">
        <v>55</v>
      </c>
      <c r="AJ76" t="s">
        <v>56</v>
      </c>
      <c r="AK76" t="s">
        <v>57</v>
      </c>
      <c r="AL76" t="s">
        <v>352</v>
      </c>
      <c r="AM76" t="s">
        <v>109</v>
      </c>
      <c r="AN76" t="s">
        <v>60</v>
      </c>
      <c r="AO76">
        <v>2</v>
      </c>
      <c r="AP76">
        <v>2</v>
      </c>
      <c r="AQ76" t="str">
        <f t="shared" si="9"/>
        <v>Responder</v>
      </c>
      <c r="AR76">
        <v>0.2</v>
      </c>
      <c r="AS76" t="s">
        <v>142</v>
      </c>
      <c r="AT76" t="s">
        <v>143</v>
      </c>
      <c r="AU76">
        <v>1.1399999999999999</v>
      </c>
      <c r="AW76">
        <v>24</v>
      </c>
      <c r="AX76">
        <v>0.877193</v>
      </c>
      <c r="AY76">
        <v>49.122810000000001</v>
      </c>
      <c r="AZ76">
        <v>5.18</v>
      </c>
      <c r="BA76">
        <v>4.8262549999999997</v>
      </c>
      <c r="BB76" t="s">
        <v>336</v>
      </c>
      <c r="BC76" t="s">
        <v>337</v>
      </c>
      <c r="BD76" t="s">
        <v>338</v>
      </c>
    </row>
    <row r="77" spans="1:56" x14ac:dyDescent="0.2">
      <c r="A77" t="s">
        <v>354</v>
      </c>
      <c r="B77" t="s">
        <v>48</v>
      </c>
      <c r="C77" t="s">
        <v>49</v>
      </c>
      <c r="D77" t="s">
        <v>355</v>
      </c>
      <c r="E77" s="1">
        <v>44092</v>
      </c>
      <c r="F77" s="1">
        <v>44180</v>
      </c>
      <c r="G77" s="1">
        <v>43788</v>
      </c>
      <c r="H77" s="1">
        <v>43867</v>
      </c>
      <c r="I77" s="1">
        <v>43875</v>
      </c>
      <c r="J77" s="1">
        <v>43882</v>
      </c>
      <c r="K77" s="1">
        <v>43920</v>
      </c>
      <c r="L77" s="1">
        <v>43959</v>
      </c>
      <c r="M77" s="1">
        <v>43913</v>
      </c>
      <c r="N77" s="1">
        <v>45236</v>
      </c>
      <c r="Q77">
        <v>0</v>
      </c>
      <c r="R77">
        <v>0</v>
      </c>
      <c r="S77">
        <f t="shared" si="5"/>
        <v>44.551724137931032</v>
      </c>
      <c r="T77">
        <f t="shared" si="6"/>
        <v>44.551724137931032</v>
      </c>
      <c r="U77" s="2">
        <v>44.551724139999997</v>
      </c>
      <c r="V77" s="2">
        <v>44.551724139999997</v>
      </c>
      <c r="W77">
        <f t="shared" si="7"/>
        <v>43.451612903225808</v>
      </c>
      <c r="X77">
        <f t="shared" si="8"/>
        <v>43.451612903225808</v>
      </c>
      <c r="Y77" s="2">
        <v>43.451612900000001</v>
      </c>
      <c r="Z77" s="2">
        <v>43.451612900000001</v>
      </c>
      <c r="AA77">
        <v>2</v>
      </c>
      <c r="AB77" t="s">
        <v>69</v>
      </c>
      <c r="AC77" t="s">
        <v>305</v>
      </c>
      <c r="AD77">
        <v>0</v>
      </c>
      <c r="AE77">
        <v>30</v>
      </c>
      <c r="AF77">
        <v>45</v>
      </c>
      <c r="AG77" t="s">
        <v>80</v>
      </c>
      <c r="AH77" t="s">
        <v>356</v>
      </c>
      <c r="AI77" t="s">
        <v>57</v>
      </c>
      <c r="AJ77" t="s">
        <v>56</v>
      </c>
      <c r="AK77" t="s">
        <v>57</v>
      </c>
      <c r="AL77" t="s">
        <v>108</v>
      </c>
      <c r="AM77" t="s">
        <v>109</v>
      </c>
      <c r="AN77" t="s">
        <v>60</v>
      </c>
      <c r="AO77">
        <v>2</v>
      </c>
      <c r="AP77">
        <v>8</v>
      </c>
      <c r="AQ77" t="str">
        <f t="shared" si="9"/>
        <v>Responder</v>
      </c>
      <c r="AR77" t="s">
        <v>357</v>
      </c>
      <c r="AS77" t="s">
        <v>142</v>
      </c>
      <c r="AT77" t="s">
        <v>143</v>
      </c>
      <c r="AU77">
        <v>0.19800000000000001</v>
      </c>
      <c r="AW77">
        <v>24</v>
      </c>
      <c r="AX77">
        <v>5.0505050000000002</v>
      </c>
      <c r="AY77">
        <v>44.949489999999997</v>
      </c>
      <c r="AZ77">
        <v>18.7</v>
      </c>
      <c r="BA77">
        <v>1.3368979999999999</v>
      </c>
      <c r="BB77" t="s">
        <v>75</v>
      </c>
      <c r="BC77" t="s">
        <v>76</v>
      </c>
      <c r="BD77" t="s">
        <v>77</v>
      </c>
    </row>
    <row r="78" spans="1:56" x14ac:dyDescent="0.2">
      <c r="A78" t="s">
        <v>358</v>
      </c>
      <c r="B78" t="s">
        <v>68</v>
      </c>
      <c r="C78" t="s">
        <v>49</v>
      </c>
      <c r="D78" t="s">
        <v>355</v>
      </c>
      <c r="E78" s="1">
        <v>44092</v>
      </c>
      <c r="F78" s="1">
        <v>44179</v>
      </c>
      <c r="G78" s="1">
        <v>43788</v>
      </c>
      <c r="H78" s="1">
        <v>43867</v>
      </c>
      <c r="I78" s="1">
        <v>43875</v>
      </c>
      <c r="J78" s="1">
        <v>43882</v>
      </c>
      <c r="K78" s="1">
        <v>43920</v>
      </c>
      <c r="L78" s="1">
        <v>43959</v>
      </c>
      <c r="M78" s="1">
        <v>43913</v>
      </c>
      <c r="N78" s="1">
        <v>45236</v>
      </c>
      <c r="Q78">
        <v>0</v>
      </c>
      <c r="R78">
        <v>0</v>
      </c>
      <c r="S78">
        <f t="shared" si="5"/>
        <v>44.551724137931032</v>
      </c>
      <c r="T78">
        <f t="shared" si="6"/>
        <v>44.551724137931032</v>
      </c>
      <c r="U78" s="2">
        <v>44.551724139999997</v>
      </c>
      <c r="V78" s="2">
        <v>44.551724139999997</v>
      </c>
      <c r="W78">
        <f t="shared" si="7"/>
        <v>43.451612903225808</v>
      </c>
      <c r="X78">
        <f t="shared" si="8"/>
        <v>43.451612903225808</v>
      </c>
      <c r="Y78" s="2">
        <v>43.451612900000001</v>
      </c>
      <c r="Z78" s="2">
        <v>43.451612900000001</v>
      </c>
      <c r="AA78">
        <v>2</v>
      </c>
      <c r="AB78" t="s">
        <v>69</v>
      </c>
      <c r="AC78" t="s">
        <v>305</v>
      </c>
      <c r="AD78">
        <v>0</v>
      </c>
      <c r="AE78">
        <v>30</v>
      </c>
      <c r="AF78">
        <v>45</v>
      </c>
      <c r="AG78" t="s">
        <v>80</v>
      </c>
      <c r="AH78" t="s">
        <v>356</v>
      </c>
      <c r="AI78" t="s">
        <v>57</v>
      </c>
      <c r="AJ78" t="s">
        <v>56</v>
      </c>
      <c r="AK78" t="s">
        <v>57</v>
      </c>
      <c r="AL78" t="s">
        <v>108</v>
      </c>
      <c r="AM78" t="s">
        <v>109</v>
      </c>
      <c r="AN78" t="s">
        <v>60</v>
      </c>
      <c r="AO78">
        <v>2</v>
      </c>
      <c r="AP78">
        <v>8</v>
      </c>
      <c r="AQ78" t="str">
        <f t="shared" si="9"/>
        <v>Responder</v>
      </c>
      <c r="AR78" t="s">
        <v>357</v>
      </c>
      <c r="AS78" t="s">
        <v>142</v>
      </c>
      <c r="AT78" t="s">
        <v>143</v>
      </c>
      <c r="AU78">
        <v>0.81799999999999995</v>
      </c>
      <c r="AW78">
        <v>24</v>
      </c>
      <c r="AX78">
        <v>1.222494</v>
      </c>
      <c r="AY78">
        <v>48.777509999999999</v>
      </c>
      <c r="AZ78">
        <v>10.7</v>
      </c>
      <c r="BA78">
        <v>2.336449</v>
      </c>
      <c r="BB78" t="s">
        <v>274</v>
      </c>
      <c r="BC78" t="s">
        <v>275</v>
      </c>
      <c r="BD78" t="s">
        <v>276</v>
      </c>
    </row>
    <row r="79" spans="1:56" x14ac:dyDescent="0.2">
      <c r="A79" t="s">
        <v>359</v>
      </c>
      <c r="B79" t="s">
        <v>48</v>
      </c>
      <c r="C79" t="s">
        <v>360</v>
      </c>
      <c r="D79" t="s">
        <v>361</v>
      </c>
      <c r="E79" s="1">
        <v>44092</v>
      </c>
      <c r="F79" s="1">
        <v>44180</v>
      </c>
      <c r="G79" s="1">
        <v>44008</v>
      </c>
      <c r="H79" s="1">
        <v>44022</v>
      </c>
      <c r="I79" s="1">
        <v>44033</v>
      </c>
      <c r="J79" s="1">
        <v>44040</v>
      </c>
      <c r="K79" s="1">
        <v>44082</v>
      </c>
      <c r="L79" s="1">
        <v>44120</v>
      </c>
      <c r="M79" s="1">
        <v>44074</v>
      </c>
      <c r="N79" s="1">
        <v>45274</v>
      </c>
      <c r="O79" s="1">
        <v>44259</v>
      </c>
      <c r="Q79">
        <v>1</v>
      </c>
      <c r="R79">
        <v>0</v>
      </c>
      <c r="S79">
        <f t="shared" si="5"/>
        <v>7.129032258064516</v>
      </c>
      <c r="T79">
        <f t="shared" si="6"/>
        <v>40.516129032258064</v>
      </c>
      <c r="U79" s="2">
        <v>7.1290322579999996</v>
      </c>
      <c r="V79" s="2">
        <v>40.516129030000002</v>
      </c>
      <c r="W79">
        <f t="shared" si="7"/>
        <v>6.032258064516129</v>
      </c>
      <c r="X79">
        <f t="shared" si="8"/>
        <v>39.41935483870968</v>
      </c>
      <c r="Y79" s="2">
        <v>6.0322580649999997</v>
      </c>
      <c r="Z79" s="2">
        <v>39.419354839999997</v>
      </c>
      <c r="AA79">
        <v>2</v>
      </c>
      <c r="AB79" t="s">
        <v>69</v>
      </c>
      <c r="AC79" t="s">
        <v>305</v>
      </c>
      <c r="AD79">
        <v>0</v>
      </c>
      <c r="AE79">
        <v>31</v>
      </c>
      <c r="AF79">
        <v>66</v>
      </c>
      <c r="AG79" t="s">
        <v>80</v>
      </c>
      <c r="AH79" t="s">
        <v>54</v>
      </c>
      <c r="AI79" t="s">
        <v>57</v>
      </c>
      <c r="AJ79" t="s">
        <v>56</v>
      </c>
      <c r="AK79" t="s">
        <v>57</v>
      </c>
      <c r="AL79" t="s">
        <v>362</v>
      </c>
      <c r="AM79" t="s">
        <v>59</v>
      </c>
      <c r="AN79" t="s">
        <v>57</v>
      </c>
      <c r="AO79">
        <v>0</v>
      </c>
      <c r="AP79">
        <v>0</v>
      </c>
      <c r="AQ79" t="str">
        <f t="shared" si="9"/>
        <v>Non-Responder</v>
      </c>
      <c r="AR79" t="s">
        <v>61</v>
      </c>
      <c r="AS79" t="s">
        <v>62</v>
      </c>
      <c r="AT79" t="s">
        <v>63</v>
      </c>
    </row>
    <row r="80" spans="1:56" x14ac:dyDescent="0.2">
      <c r="A80" t="s">
        <v>363</v>
      </c>
      <c r="B80" t="s">
        <v>68</v>
      </c>
      <c r="C80" t="s">
        <v>360</v>
      </c>
      <c r="D80" t="s">
        <v>361</v>
      </c>
      <c r="E80" s="1">
        <v>44092</v>
      </c>
      <c r="F80" s="1">
        <v>44180</v>
      </c>
      <c r="G80" s="1">
        <v>44008</v>
      </c>
      <c r="H80" s="1">
        <v>44022</v>
      </c>
      <c r="I80" s="1">
        <v>44033</v>
      </c>
      <c r="J80" s="1">
        <v>44040</v>
      </c>
      <c r="K80" s="1">
        <v>44082</v>
      </c>
      <c r="L80" s="1">
        <v>44120</v>
      </c>
      <c r="M80" s="1">
        <v>44074</v>
      </c>
      <c r="N80" s="1">
        <v>45274</v>
      </c>
      <c r="O80" s="1">
        <v>44259</v>
      </c>
      <c r="Q80">
        <v>1</v>
      </c>
      <c r="R80">
        <v>0</v>
      </c>
      <c r="S80">
        <f t="shared" si="5"/>
        <v>7.129032258064516</v>
      </c>
      <c r="T80">
        <f t="shared" si="6"/>
        <v>40.516129032258064</v>
      </c>
      <c r="U80" s="2">
        <v>7.1290322579999996</v>
      </c>
      <c r="V80" s="2">
        <v>40.516129030000002</v>
      </c>
      <c r="W80">
        <f t="shared" si="7"/>
        <v>6.032258064516129</v>
      </c>
      <c r="X80">
        <f>IF(R80=0, DATEDIF(M80,N80,"M")+DATEDIF(M80,N80,"MD")/DAY(EOMONTH(M80,0)), DATEDIF(M80,P80,"M")+DATEDIF(M80,P80,"MD")/DAY(EOMONTH(M80,0)))</f>
        <v>39.41935483870968</v>
      </c>
      <c r="Y80" s="2">
        <v>6.0322580649999997</v>
      </c>
      <c r="Z80" s="2">
        <v>39.419354839999997</v>
      </c>
      <c r="AA80">
        <v>2</v>
      </c>
      <c r="AB80" t="s">
        <v>69</v>
      </c>
      <c r="AC80" t="s">
        <v>305</v>
      </c>
      <c r="AD80">
        <v>0</v>
      </c>
      <c r="AE80">
        <v>31</v>
      </c>
      <c r="AF80">
        <v>66</v>
      </c>
      <c r="AG80" t="s">
        <v>80</v>
      </c>
      <c r="AH80" t="s">
        <v>54</v>
      </c>
      <c r="AI80" t="s">
        <v>57</v>
      </c>
      <c r="AJ80" t="s">
        <v>56</v>
      </c>
      <c r="AK80" t="s">
        <v>57</v>
      </c>
      <c r="AL80" t="s">
        <v>362</v>
      </c>
      <c r="AM80" t="s">
        <v>59</v>
      </c>
      <c r="AN80" t="s">
        <v>57</v>
      </c>
      <c r="AO80">
        <v>0</v>
      </c>
      <c r="AP80">
        <v>0</v>
      </c>
      <c r="AQ80" t="str">
        <f t="shared" si="9"/>
        <v>Non-Responder</v>
      </c>
      <c r="AR80" t="s">
        <v>61</v>
      </c>
      <c r="AS80" t="s">
        <v>62</v>
      </c>
      <c r="AT80" t="s">
        <v>63</v>
      </c>
      <c r="AU80">
        <v>0.64200000000000002</v>
      </c>
      <c r="AW80">
        <v>24</v>
      </c>
      <c r="AX80">
        <v>1.5576319999999999</v>
      </c>
      <c r="AY80">
        <v>48.442369999999997</v>
      </c>
      <c r="AZ80">
        <v>14.2</v>
      </c>
      <c r="BA80">
        <v>1.7605630000000001</v>
      </c>
      <c r="BB80" t="s">
        <v>144</v>
      </c>
      <c r="BC80" t="s">
        <v>145</v>
      </c>
      <c r="BD80" t="s">
        <v>146</v>
      </c>
    </row>
    <row r="81" spans="1:56" x14ac:dyDescent="0.2">
      <c r="A81" t="s">
        <v>364</v>
      </c>
      <c r="B81" t="s">
        <v>74</v>
      </c>
      <c r="C81" t="s">
        <v>360</v>
      </c>
      <c r="D81" t="s">
        <v>361</v>
      </c>
      <c r="E81" s="1">
        <v>44092</v>
      </c>
      <c r="F81" s="1">
        <v>44179</v>
      </c>
      <c r="G81" s="1">
        <v>44008</v>
      </c>
      <c r="H81" s="1">
        <v>44022</v>
      </c>
      <c r="I81" s="1">
        <v>44033</v>
      </c>
      <c r="J81" s="1">
        <v>44040</v>
      </c>
      <c r="K81" s="1">
        <v>44082</v>
      </c>
      <c r="L81" s="1">
        <v>44120</v>
      </c>
      <c r="M81" s="1">
        <v>44074</v>
      </c>
      <c r="N81" s="1">
        <v>45274</v>
      </c>
      <c r="O81" s="1">
        <v>44259</v>
      </c>
      <c r="Q81">
        <v>1</v>
      </c>
      <c r="R81">
        <v>0</v>
      </c>
      <c r="S81">
        <f t="shared" si="5"/>
        <v>7.129032258064516</v>
      </c>
      <c r="T81">
        <f t="shared" si="6"/>
        <v>40.516129032258064</v>
      </c>
      <c r="U81" s="2">
        <v>7.1290322579999996</v>
      </c>
      <c r="V81" s="2">
        <v>40.516129030000002</v>
      </c>
      <c r="W81">
        <f t="shared" si="7"/>
        <v>6.032258064516129</v>
      </c>
      <c r="X81">
        <f t="shared" ref="X81:X112" si="10">IF(R81=0, DATEDIF(M81,N81,"M")+DATEDIF(M81,N81,"MD")/DAY(EOMONTH(M81,0)), DATEDIF(M81,P81,"M")+DATEDIF(M81,P81,"MD")/DAY(EOMONTH(M81,0)))</f>
        <v>39.41935483870968</v>
      </c>
      <c r="Y81" s="2">
        <v>6.0322580649999997</v>
      </c>
      <c r="Z81" s="2">
        <v>39.419354839999997</v>
      </c>
      <c r="AA81">
        <v>2</v>
      </c>
      <c r="AB81" t="s">
        <v>69</v>
      </c>
      <c r="AC81" t="s">
        <v>305</v>
      </c>
      <c r="AD81">
        <v>0</v>
      </c>
      <c r="AE81">
        <v>31</v>
      </c>
      <c r="AF81">
        <v>66</v>
      </c>
      <c r="AG81" t="s">
        <v>80</v>
      </c>
      <c r="AH81" t="s">
        <v>54</v>
      </c>
      <c r="AI81" t="s">
        <v>57</v>
      </c>
      <c r="AJ81" t="s">
        <v>56</v>
      </c>
      <c r="AK81" t="s">
        <v>57</v>
      </c>
      <c r="AL81" t="s">
        <v>362</v>
      </c>
      <c r="AM81" t="s">
        <v>59</v>
      </c>
      <c r="AN81" t="s">
        <v>57</v>
      </c>
      <c r="AO81">
        <v>0</v>
      </c>
      <c r="AP81">
        <v>0</v>
      </c>
      <c r="AQ81" t="str">
        <f t="shared" si="9"/>
        <v>Non-Responder</v>
      </c>
      <c r="AR81" t="s">
        <v>61</v>
      </c>
      <c r="AS81" t="s">
        <v>62</v>
      </c>
      <c r="AT81" t="s">
        <v>63</v>
      </c>
      <c r="AU81">
        <v>1.77</v>
      </c>
      <c r="AW81">
        <v>24</v>
      </c>
      <c r="AX81">
        <v>0.56497200000000003</v>
      </c>
      <c r="AY81">
        <v>49.435029999999998</v>
      </c>
      <c r="AZ81">
        <v>10.5</v>
      </c>
      <c r="BA81">
        <v>2.3809520000000002</v>
      </c>
      <c r="BB81" t="s">
        <v>283</v>
      </c>
      <c r="BC81" t="s">
        <v>284</v>
      </c>
      <c r="BD81" t="s">
        <v>285</v>
      </c>
    </row>
    <row r="82" spans="1:56" x14ac:dyDescent="0.2">
      <c r="A82" t="s">
        <v>365</v>
      </c>
      <c r="B82" t="s">
        <v>48</v>
      </c>
      <c r="C82" t="s">
        <v>49</v>
      </c>
      <c r="D82" t="s">
        <v>366</v>
      </c>
      <c r="E82" s="1">
        <v>44090</v>
      </c>
      <c r="F82" s="1">
        <v>44179</v>
      </c>
      <c r="G82" s="1">
        <v>43985</v>
      </c>
      <c r="H82" s="1">
        <v>44036</v>
      </c>
      <c r="I82" s="1">
        <v>44041</v>
      </c>
      <c r="J82" s="1">
        <v>44048</v>
      </c>
      <c r="M82" s="1">
        <v>44109</v>
      </c>
      <c r="N82" s="1">
        <v>45294</v>
      </c>
      <c r="Q82">
        <v>0</v>
      </c>
      <c r="R82">
        <v>0</v>
      </c>
      <c r="S82">
        <f t="shared" si="5"/>
        <v>40.935483870967744</v>
      </c>
      <c r="T82">
        <f t="shared" si="6"/>
        <v>40.935483870967744</v>
      </c>
      <c r="U82" s="2">
        <v>40.935483869999999</v>
      </c>
      <c r="V82" s="2">
        <v>40.935483869999999</v>
      </c>
      <c r="W82">
        <f t="shared" si="7"/>
        <v>38.935483870967744</v>
      </c>
      <c r="X82">
        <f t="shared" si="10"/>
        <v>38.935483870967744</v>
      </c>
      <c r="Y82" s="2">
        <v>38.935483869999999</v>
      </c>
      <c r="Z82" s="2">
        <v>38.935483869999999</v>
      </c>
      <c r="AA82">
        <v>2</v>
      </c>
      <c r="AB82" t="s">
        <v>51</v>
      </c>
      <c r="AC82" t="s">
        <v>305</v>
      </c>
      <c r="AD82">
        <v>0</v>
      </c>
      <c r="AE82">
        <v>32</v>
      </c>
      <c r="AF82">
        <v>72</v>
      </c>
      <c r="AG82" t="s">
        <v>53</v>
      </c>
      <c r="AH82" t="s">
        <v>54</v>
      </c>
      <c r="AI82" t="s">
        <v>55</v>
      </c>
      <c r="AJ82" t="s">
        <v>56</v>
      </c>
      <c r="AK82" t="s">
        <v>57</v>
      </c>
      <c r="AL82" t="s">
        <v>81</v>
      </c>
      <c r="AM82" t="s">
        <v>59</v>
      </c>
      <c r="AN82" t="s">
        <v>60</v>
      </c>
      <c r="AO82">
        <v>2</v>
      </c>
      <c r="AP82">
        <v>0</v>
      </c>
      <c r="AQ82" t="str">
        <f t="shared" si="9"/>
        <v>Non-Responder</v>
      </c>
      <c r="AR82" t="s">
        <v>61</v>
      </c>
      <c r="AS82" t="s">
        <v>62</v>
      </c>
      <c r="AT82" t="s">
        <v>63</v>
      </c>
      <c r="AU82">
        <v>0.79800000000000004</v>
      </c>
      <c r="AW82">
        <v>24</v>
      </c>
      <c r="AX82">
        <v>1.2531330000000001</v>
      </c>
      <c r="AY82">
        <v>48.746870000000001</v>
      </c>
      <c r="AZ82">
        <v>31.4</v>
      </c>
      <c r="BA82">
        <v>0.79617800000000005</v>
      </c>
      <c r="BB82" t="s">
        <v>264</v>
      </c>
      <c r="BC82" t="s">
        <v>265</v>
      </c>
      <c r="BD82" t="s">
        <v>266</v>
      </c>
    </row>
    <row r="83" spans="1:56" x14ac:dyDescent="0.2">
      <c r="A83" t="s">
        <v>367</v>
      </c>
      <c r="B83" t="s">
        <v>68</v>
      </c>
      <c r="C83" t="s">
        <v>49</v>
      </c>
      <c r="D83" t="s">
        <v>366</v>
      </c>
      <c r="E83" s="1">
        <v>44092</v>
      </c>
      <c r="F83" s="1">
        <v>44180</v>
      </c>
      <c r="G83" s="1">
        <v>43985</v>
      </c>
      <c r="H83" s="1">
        <v>44036</v>
      </c>
      <c r="I83" s="1">
        <v>44041</v>
      </c>
      <c r="J83" s="1">
        <v>44048</v>
      </c>
      <c r="M83" s="1">
        <v>44109</v>
      </c>
      <c r="N83" s="1">
        <v>45294</v>
      </c>
      <c r="Q83">
        <v>0</v>
      </c>
      <c r="R83">
        <v>0</v>
      </c>
      <c r="S83">
        <f t="shared" si="5"/>
        <v>40.935483870967744</v>
      </c>
      <c r="T83">
        <f t="shared" si="6"/>
        <v>40.935483870967744</v>
      </c>
      <c r="U83" s="2">
        <v>40.935483869999999</v>
      </c>
      <c r="V83" s="2">
        <v>40.935483869999999</v>
      </c>
      <c r="W83">
        <f t="shared" si="7"/>
        <v>38.935483870967744</v>
      </c>
      <c r="X83">
        <f t="shared" si="10"/>
        <v>38.935483870967744</v>
      </c>
      <c r="Y83" s="2">
        <v>38.935483869999999</v>
      </c>
      <c r="Z83" s="2">
        <v>38.935483869999999</v>
      </c>
      <c r="AA83">
        <v>2</v>
      </c>
      <c r="AB83" t="s">
        <v>69</v>
      </c>
      <c r="AC83" t="s">
        <v>305</v>
      </c>
      <c r="AD83">
        <v>0</v>
      </c>
      <c r="AE83">
        <v>32</v>
      </c>
      <c r="AF83">
        <v>72</v>
      </c>
      <c r="AG83" t="s">
        <v>53</v>
      </c>
      <c r="AH83" t="s">
        <v>54</v>
      </c>
      <c r="AI83" t="s">
        <v>55</v>
      </c>
      <c r="AJ83" t="s">
        <v>56</v>
      </c>
      <c r="AK83" t="s">
        <v>57</v>
      </c>
      <c r="AL83" t="s">
        <v>81</v>
      </c>
      <c r="AM83" t="s">
        <v>59</v>
      </c>
      <c r="AN83" t="s">
        <v>60</v>
      </c>
      <c r="AO83">
        <v>2</v>
      </c>
      <c r="AP83">
        <v>0</v>
      </c>
      <c r="AQ83" t="str">
        <f t="shared" si="9"/>
        <v>Non-Responder</v>
      </c>
      <c r="AR83" t="s">
        <v>61</v>
      </c>
      <c r="AS83" t="s">
        <v>62</v>
      </c>
      <c r="AT83" t="s">
        <v>63</v>
      </c>
      <c r="AU83">
        <v>1.37</v>
      </c>
      <c r="AW83">
        <v>24</v>
      </c>
      <c r="AX83">
        <v>0.72992699999999999</v>
      </c>
      <c r="AY83">
        <v>49.270069999999997</v>
      </c>
      <c r="AZ83">
        <v>11.5</v>
      </c>
      <c r="BA83">
        <v>2.1739130000000002</v>
      </c>
      <c r="BB83" t="s">
        <v>329</v>
      </c>
      <c r="BC83" t="s">
        <v>330</v>
      </c>
      <c r="BD83" t="s">
        <v>331</v>
      </c>
    </row>
    <row r="84" spans="1:56" x14ac:dyDescent="0.2">
      <c r="A84" t="s">
        <v>368</v>
      </c>
      <c r="B84" t="s">
        <v>48</v>
      </c>
      <c r="C84" t="s">
        <v>49</v>
      </c>
      <c r="D84" t="s">
        <v>369</v>
      </c>
      <c r="E84" s="1">
        <v>43825</v>
      </c>
      <c r="F84" s="1">
        <v>43888</v>
      </c>
      <c r="G84" s="1">
        <v>42460</v>
      </c>
      <c r="H84" s="1">
        <v>42485</v>
      </c>
      <c r="I84" s="1">
        <v>42486</v>
      </c>
      <c r="J84" s="1">
        <v>42493</v>
      </c>
      <c r="K84" s="1">
        <v>42537</v>
      </c>
      <c r="L84" s="1">
        <v>42580</v>
      </c>
      <c r="M84" s="1">
        <v>42530</v>
      </c>
      <c r="N84" s="1">
        <v>44722</v>
      </c>
      <c r="O84" s="1">
        <v>43950</v>
      </c>
      <c r="Q84">
        <v>1</v>
      </c>
      <c r="R84">
        <v>0</v>
      </c>
      <c r="S84">
        <f t="shared" si="5"/>
        <v>47.838709677419352</v>
      </c>
      <c r="T84">
        <f t="shared" si="6"/>
        <v>73.225806451612897</v>
      </c>
      <c r="U84" s="2">
        <v>47.838709680000001</v>
      </c>
      <c r="V84" s="2">
        <v>73.225806449999993</v>
      </c>
      <c r="W84">
        <f t="shared" si="7"/>
        <v>46.666666666666664</v>
      </c>
      <c r="X84">
        <f t="shared" si="10"/>
        <v>72.033333333333331</v>
      </c>
      <c r="Y84" s="2">
        <v>46.666666669999998</v>
      </c>
      <c r="Z84" s="2">
        <v>72.033333330000005</v>
      </c>
      <c r="AA84">
        <v>1</v>
      </c>
      <c r="AB84" t="s">
        <v>370</v>
      </c>
      <c r="AC84" t="s">
        <v>52</v>
      </c>
      <c r="AD84">
        <v>0</v>
      </c>
      <c r="AE84">
        <v>33</v>
      </c>
      <c r="AF84">
        <v>55</v>
      </c>
      <c r="AG84" t="s">
        <v>53</v>
      </c>
      <c r="AH84" t="s">
        <v>54</v>
      </c>
      <c r="AI84" t="s">
        <v>57</v>
      </c>
      <c r="AJ84" t="s">
        <v>56</v>
      </c>
      <c r="AK84" t="s">
        <v>57</v>
      </c>
      <c r="AL84" t="s">
        <v>371</v>
      </c>
      <c r="AM84" t="s">
        <v>59</v>
      </c>
      <c r="AN84" t="s">
        <v>57</v>
      </c>
      <c r="AO84">
        <v>2</v>
      </c>
      <c r="AP84">
        <v>9</v>
      </c>
      <c r="AQ84" t="str">
        <f t="shared" si="9"/>
        <v>Responder</v>
      </c>
      <c r="AR84">
        <v>0.9</v>
      </c>
      <c r="AS84" t="s">
        <v>326</v>
      </c>
      <c r="AT84" t="s">
        <v>143</v>
      </c>
      <c r="AU84">
        <v>0.124</v>
      </c>
      <c r="AV84" s="1">
        <v>42485</v>
      </c>
    </row>
    <row r="85" spans="1:56" x14ac:dyDescent="0.2">
      <c r="A85" t="s">
        <v>372</v>
      </c>
      <c r="B85" t="s">
        <v>68</v>
      </c>
      <c r="C85" t="s">
        <v>49</v>
      </c>
      <c r="D85" t="s">
        <v>369</v>
      </c>
      <c r="E85" s="1">
        <v>43825</v>
      </c>
      <c r="F85" s="1">
        <v>43901</v>
      </c>
      <c r="G85" s="1">
        <v>42460</v>
      </c>
      <c r="H85" s="1">
        <v>42485</v>
      </c>
      <c r="I85" s="1">
        <v>42486</v>
      </c>
      <c r="J85" s="1">
        <v>42493</v>
      </c>
      <c r="K85" s="1">
        <v>42537</v>
      </c>
      <c r="L85" s="1">
        <v>42580</v>
      </c>
      <c r="M85" s="1">
        <v>42530</v>
      </c>
      <c r="N85" s="1">
        <v>44722</v>
      </c>
      <c r="O85" s="1">
        <v>43950</v>
      </c>
      <c r="Q85">
        <v>1</v>
      </c>
      <c r="R85">
        <v>0</v>
      </c>
      <c r="S85">
        <f t="shared" si="5"/>
        <v>47.838709677419352</v>
      </c>
      <c r="T85">
        <f t="shared" si="6"/>
        <v>73.225806451612897</v>
      </c>
      <c r="U85" s="2">
        <v>47.838709680000001</v>
      </c>
      <c r="V85" s="2">
        <v>73.225806449999993</v>
      </c>
      <c r="W85">
        <f t="shared" si="7"/>
        <v>46.666666666666664</v>
      </c>
      <c r="X85">
        <f t="shared" si="10"/>
        <v>72.033333333333331</v>
      </c>
      <c r="Y85" s="2">
        <v>46.666666669999998</v>
      </c>
      <c r="Z85" s="2">
        <v>72.033333330000005</v>
      </c>
      <c r="AA85">
        <v>1</v>
      </c>
      <c r="AB85" t="s">
        <v>373</v>
      </c>
      <c r="AC85" t="s">
        <v>52</v>
      </c>
      <c r="AD85">
        <v>0</v>
      </c>
      <c r="AE85">
        <v>33</v>
      </c>
      <c r="AF85">
        <v>55</v>
      </c>
      <c r="AG85" t="s">
        <v>53</v>
      </c>
      <c r="AH85" t="s">
        <v>54</v>
      </c>
      <c r="AI85" t="s">
        <v>57</v>
      </c>
      <c r="AJ85" t="s">
        <v>56</v>
      </c>
      <c r="AK85" t="s">
        <v>57</v>
      </c>
      <c r="AL85" t="s">
        <v>371</v>
      </c>
      <c r="AM85" t="s">
        <v>59</v>
      </c>
      <c r="AN85" t="s">
        <v>57</v>
      </c>
      <c r="AO85">
        <v>2</v>
      </c>
      <c r="AP85">
        <v>9</v>
      </c>
      <c r="AQ85" t="str">
        <f t="shared" si="9"/>
        <v>Responder</v>
      </c>
      <c r="AR85">
        <v>0.9</v>
      </c>
      <c r="AS85" t="s">
        <v>326</v>
      </c>
      <c r="AT85" t="s">
        <v>143</v>
      </c>
      <c r="AU85">
        <v>0.19800000000000001</v>
      </c>
      <c r="AV85" s="1">
        <v>42492</v>
      </c>
    </row>
    <row r="86" spans="1:56" x14ac:dyDescent="0.2">
      <c r="A86" t="s">
        <v>374</v>
      </c>
      <c r="B86" t="s">
        <v>74</v>
      </c>
      <c r="C86" t="s">
        <v>49</v>
      </c>
      <c r="D86" t="s">
        <v>369</v>
      </c>
      <c r="E86" s="1">
        <v>43825</v>
      </c>
      <c r="F86" s="1">
        <v>43898</v>
      </c>
      <c r="G86" s="1">
        <v>42460</v>
      </c>
      <c r="H86" s="1">
        <v>42485</v>
      </c>
      <c r="I86" s="1">
        <v>42486</v>
      </c>
      <c r="J86" s="1">
        <v>42493</v>
      </c>
      <c r="K86" s="1">
        <v>42537</v>
      </c>
      <c r="L86" s="1">
        <v>42580</v>
      </c>
      <c r="M86" s="1">
        <v>42530</v>
      </c>
      <c r="N86" s="1">
        <v>44722</v>
      </c>
      <c r="O86" s="1">
        <v>43950</v>
      </c>
      <c r="Q86">
        <v>1</v>
      </c>
      <c r="R86">
        <v>0</v>
      </c>
      <c r="S86">
        <f t="shared" si="5"/>
        <v>47.838709677419352</v>
      </c>
      <c r="T86">
        <f t="shared" si="6"/>
        <v>73.225806451612897</v>
      </c>
      <c r="U86" s="2">
        <v>47.838709680000001</v>
      </c>
      <c r="V86" s="2">
        <v>73.225806449999993</v>
      </c>
      <c r="W86">
        <f t="shared" si="7"/>
        <v>46.666666666666664</v>
      </c>
      <c r="X86">
        <f t="shared" si="10"/>
        <v>72.033333333333331</v>
      </c>
      <c r="Y86" s="2">
        <v>46.666666669999998</v>
      </c>
      <c r="Z86" s="2">
        <v>72.033333330000005</v>
      </c>
      <c r="AA86">
        <v>1</v>
      </c>
      <c r="AB86" t="s">
        <v>375</v>
      </c>
      <c r="AC86" t="s">
        <v>52</v>
      </c>
      <c r="AD86">
        <v>0</v>
      </c>
      <c r="AE86">
        <v>33</v>
      </c>
      <c r="AF86">
        <v>55</v>
      </c>
      <c r="AG86" t="s">
        <v>53</v>
      </c>
      <c r="AH86" t="s">
        <v>54</v>
      </c>
      <c r="AI86" t="s">
        <v>57</v>
      </c>
      <c r="AJ86" t="s">
        <v>56</v>
      </c>
      <c r="AK86" t="s">
        <v>57</v>
      </c>
      <c r="AL86" t="s">
        <v>371</v>
      </c>
      <c r="AM86" t="s">
        <v>59</v>
      </c>
      <c r="AN86" t="s">
        <v>57</v>
      </c>
      <c r="AO86">
        <v>2</v>
      </c>
      <c r="AP86">
        <v>9</v>
      </c>
      <c r="AQ86" t="str">
        <f t="shared" si="9"/>
        <v>Responder</v>
      </c>
      <c r="AR86">
        <v>0.9</v>
      </c>
      <c r="AS86" t="s">
        <v>326</v>
      </c>
      <c r="AT86" t="s">
        <v>143</v>
      </c>
      <c r="AU86">
        <v>0.16800000000000001</v>
      </c>
      <c r="AV86" s="1">
        <v>42530</v>
      </c>
    </row>
    <row r="87" spans="1:56" x14ac:dyDescent="0.2">
      <c r="A87" t="s">
        <v>376</v>
      </c>
      <c r="B87" t="s">
        <v>48</v>
      </c>
      <c r="C87" t="s">
        <v>49</v>
      </c>
      <c r="D87" t="s">
        <v>377</v>
      </c>
      <c r="E87" s="1">
        <v>43825</v>
      </c>
      <c r="F87" s="1">
        <v>43901</v>
      </c>
      <c r="G87" s="1">
        <v>42579</v>
      </c>
      <c r="H87" s="1">
        <v>42586</v>
      </c>
      <c r="I87" s="1">
        <v>42598</v>
      </c>
      <c r="J87" s="1">
        <v>42608</v>
      </c>
      <c r="K87" s="1">
        <v>42660</v>
      </c>
      <c r="L87" s="1">
        <v>42717</v>
      </c>
      <c r="M87" s="1">
        <v>42654</v>
      </c>
      <c r="N87" s="1">
        <v>44761</v>
      </c>
      <c r="Q87">
        <v>0</v>
      </c>
      <c r="R87">
        <v>0</v>
      </c>
      <c r="S87">
        <f t="shared" si="5"/>
        <v>70.741935483870961</v>
      </c>
      <c r="T87">
        <f t="shared" si="6"/>
        <v>70.741935483870961</v>
      </c>
      <c r="U87" s="2">
        <v>70.741935479999995</v>
      </c>
      <c r="V87" s="2">
        <v>70.741935479999995</v>
      </c>
      <c r="W87">
        <f t="shared" si="7"/>
        <v>69.258064516129039</v>
      </c>
      <c r="X87">
        <f t="shared" si="10"/>
        <v>69.258064516129039</v>
      </c>
      <c r="Y87" s="2">
        <v>69.258064520000005</v>
      </c>
      <c r="Z87" s="2">
        <v>69.258064520000005</v>
      </c>
      <c r="AA87">
        <v>1</v>
      </c>
      <c r="AB87" t="s">
        <v>373</v>
      </c>
      <c r="AC87" t="s">
        <v>52</v>
      </c>
      <c r="AD87">
        <v>0</v>
      </c>
      <c r="AE87">
        <v>34</v>
      </c>
      <c r="AF87">
        <v>58</v>
      </c>
      <c r="AG87" t="s">
        <v>53</v>
      </c>
      <c r="AH87" t="s">
        <v>54</v>
      </c>
      <c r="AI87" t="s">
        <v>57</v>
      </c>
      <c r="AJ87" t="s">
        <v>56</v>
      </c>
      <c r="AK87" t="s">
        <v>57</v>
      </c>
      <c r="AL87" t="s">
        <v>371</v>
      </c>
      <c r="AM87" t="s">
        <v>59</v>
      </c>
      <c r="AN87" t="s">
        <v>57</v>
      </c>
      <c r="AO87">
        <v>1</v>
      </c>
      <c r="AP87">
        <v>7</v>
      </c>
      <c r="AQ87" t="str">
        <f t="shared" si="9"/>
        <v>Responder</v>
      </c>
      <c r="AR87" t="s">
        <v>378</v>
      </c>
      <c r="AS87" t="s">
        <v>142</v>
      </c>
      <c r="AT87" t="s">
        <v>143</v>
      </c>
      <c r="AU87">
        <v>0.05</v>
      </c>
      <c r="AV87" s="1">
        <v>42598</v>
      </c>
    </row>
    <row r="88" spans="1:56" x14ac:dyDescent="0.2">
      <c r="A88" t="s">
        <v>379</v>
      </c>
      <c r="B88" t="s">
        <v>68</v>
      </c>
      <c r="C88" t="s">
        <v>49</v>
      </c>
      <c r="D88" t="s">
        <v>377</v>
      </c>
      <c r="E88" s="1">
        <v>43825</v>
      </c>
      <c r="F88" s="1">
        <v>43888</v>
      </c>
      <c r="G88" s="1">
        <v>42579</v>
      </c>
      <c r="H88" s="1">
        <v>42586</v>
      </c>
      <c r="I88" s="1">
        <v>42598</v>
      </c>
      <c r="J88" s="1">
        <v>42608</v>
      </c>
      <c r="K88" s="1">
        <v>42660</v>
      </c>
      <c r="L88" s="1">
        <v>42717</v>
      </c>
      <c r="M88" s="1">
        <v>42654</v>
      </c>
      <c r="N88" s="1">
        <v>44761</v>
      </c>
      <c r="Q88">
        <v>0</v>
      </c>
      <c r="R88">
        <v>0</v>
      </c>
      <c r="S88">
        <f t="shared" si="5"/>
        <v>70.741935483870961</v>
      </c>
      <c r="T88">
        <f t="shared" si="6"/>
        <v>70.741935483870961</v>
      </c>
      <c r="U88" s="2">
        <v>70.741935479999995</v>
      </c>
      <c r="V88" s="2">
        <v>70.741935479999995</v>
      </c>
      <c r="W88">
        <f t="shared" si="7"/>
        <v>69.258064516129039</v>
      </c>
      <c r="X88">
        <f t="shared" si="10"/>
        <v>69.258064516129039</v>
      </c>
      <c r="Y88" s="2">
        <v>69.258064520000005</v>
      </c>
      <c r="Z88" s="2">
        <v>69.258064520000005</v>
      </c>
      <c r="AA88">
        <v>1</v>
      </c>
      <c r="AB88" t="s">
        <v>370</v>
      </c>
      <c r="AC88" t="s">
        <v>52</v>
      </c>
      <c r="AD88">
        <v>0</v>
      </c>
      <c r="AE88">
        <v>34</v>
      </c>
      <c r="AF88">
        <v>58</v>
      </c>
      <c r="AG88" t="s">
        <v>53</v>
      </c>
      <c r="AH88" t="s">
        <v>54</v>
      </c>
      <c r="AI88" t="s">
        <v>57</v>
      </c>
      <c r="AJ88" t="s">
        <v>56</v>
      </c>
      <c r="AK88" t="s">
        <v>57</v>
      </c>
      <c r="AL88" t="s">
        <v>371</v>
      </c>
      <c r="AM88" t="s">
        <v>59</v>
      </c>
      <c r="AN88" t="s">
        <v>57</v>
      </c>
      <c r="AO88">
        <v>1</v>
      </c>
      <c r="AP88">
        <v>7</v>
      </c>
      <c r="AQ88" t="str">
        <f t="shared" si="9"/>
        <v>Responder</v>
      </c>
      <c r="AR88" t="s">
        <v>378</v>
      </c>
      <c r="AS88" t="s">
        <v>142</v>
      </c>
      <c r="AT88" t="s">
        <v>143</v>
      </c>
      <c r="AU88">
        <v>0.13200000000000001</v>
      </c>
      <c r="AV88" s="1">
        <v>42607</v>
      </c>
    </row>
    <row r="89" spans="1:56" x14ac:dyDescent="0.2">
      <c r="A89" t="s">
        <v>380</v>
      </c>
      <c r="B89" t="s">
        <v>74</v>
      </c>
      <c r="C89" t="s">
        <v>49</v>
      </c>
      <c r="D89" t="s">
        <v>377</v>
      </c>
      <c r="E89" s="1">
        <v>43825</v>
      </c>
      <c r="F89" s="1">
        <v>43898</v>
      </c>
      <c r="G89" s="1">
        <v>42579</v>
      </c>
      <c r="H89" s="1">
        <v>42586</v>
      </c>
      <c r="I89" s="1">
        <v>42598</v>
      </c>
      <c r="J89" s="1">
        <v>42608</v>
      </c>
      <c r="K89" s="1">
        <v>42660</v>
      </c>
      <c r="L89" s="1">
        <v>42717</v>
      </c>
      <c r="M89" s="1">
        <v>42654</v>
      </c>
      <c r="N89" s="1">
        <v>44761</v>
      </c>
      <c r="Q89">
        <v>0</v>
      </c>
      <c r="R89">
        <v>0</v>
      </c>
      <c r="S89">
        <f t="shared" si="5"/>
        <v>70.741935483870961</v>
      </c>
      <c r="T89">
        <f t="shared" si="6"/>
        <v>70.741935483870961</v>
      </c>
      <c r="U89" s="2">
        <v>70.741935479999995</v>
      </c>
      <c r="V89" s="2">
        <v>70.741935479999995</v>
      </c>
      <c r="W89">
        <f t="shared" si="7"/>
        <v>69.258064516129039</v>
      </c>
      <c r="X89">
        <f t="shared" si="10"/>
        <v>69.258064516129039</v>
      </c>
      <c r="Y89" s="2">
        <v>69.258064520000005</v>
      </c>
      <c r="Z89" s="2">
        <v>69.258064520000005</v>
      </c>
      <c r="AA89">
        <v>1</v>
      </c>
      <c r="AB89" t="s">
        <v>375</v>
      </c>
      <c r="AC89" t="s">
        <v>52</v>
      </c>
      <c r="AD89">
        <v>0</v>
      </c>
      <c r="AE89">
        <v>34</v>
      </c>
      <c r="AF89">
        <v>58</v>
      </c>
      <c r="AG89" t="s">
        <v>53</v>
      </c>
      <c r="AH89" t="s">
        <v>54</v>
      </c>
      <c r="AI89" t="s">
        <v>57</v>
      </c>
      <c r="AJ89" t="s">
        <v>56</v>
      </c>
      <c r="AK89" t="s">
        <v>57</v>
      </c>
      <c r="AL89" t="s">
        <v>371</v>
      </c>
      <c r="AM89" t="s">
        <v>59</v>
      </c>
      <c r="AN89" t="s">
        <v>57</v>
      </c>
      <c r="AO89">
        <v>1</v>
      </c>
      <c r="AP89">
        <v>7</v>
      </c>
      <c r="AQ89" t="str">
        <f t="shared" si="9"/>
        <v>Responder</v>
      </c>
      <c r="AR89" t="s">
        <v>378</v>
      </c>
      <c r="AS89" t="s">
        <v>142</v>
      </c>
      <c r="AT89" t="s">
        <v>143</v>
      </c>
      <c r="AU89">
        <v>0.05</v>
      </c>
      <c r="AV89" s="1">
        <v>42654</v>
      </c>
    </row>
    <row r="90" spans="1:56" x14ac:dyDescent="0.2">
      <c r="A90" t="s">
        <v>381</v>
      </c>
      <c r="B90" t="s">
        <v>48</v>
      </c>
      <c r="C90" t="s">
        <v>49</v>
      </c>
      <c r="D90" t="s">
        <v>382</v>
      </c>
      <c r="E90" s="1">
        <v>43825</v>
      </c>
      <c r="F90" s="1">
        <v>43898</v>
      </c>
      <c r="G90" s="1">
        <v>42644</v>
      </c>
      <c r="H90" s="1">
        <v>42667</v>
      </c>
      <c r="I90" s="1">
        <v>42670</v>
      </c>
      <c r="J90" s="1">
        <v>42678</v>
      </c>
      <c r="K90" s="1">
        <v>42725</v>
      </c>
      <c r="L90" s="1">
        <v>42774</v>
      </c>
      <c r="M90" s="1">
        <v>42725</v>
      </c>
      <c r="N90" s="1">
        <v>44684</v>
      </c>
      <c r="Q90">
        <v>0</v>
      </c>
      <c r="R90">
        <v>0</v>
      </c>
      <c r="S90">
        <f t="shared" si="5"/>
        <v>65.966666666666669</v>
      </c>
      <c r="T90">
        <f t="shared" si="6"/>
        <v>65.966666666666669</v>
      </c>
      <c r="U90" s="2">
        <v>65.966666669999995</v>
      </c>
      <c r="V90" s="2">
        <v>65.966666669999995</v>
      </c>
      <c r="W90">
        <f t="shared" si="7"/>
        <v>64.387096774193552</v>
      </c>
      <c r="X90">
        <f t="shared" si="10"/>
        <v>64.387096774193552</v>
      </c>
      <c r="Y90" s="2">
        <v>64.387096769999999</v>
      </c>
      <c r="Z90" s="2">
        <v>64.387096769999999</v>
      </c>
      <c r="AA90">
        <v>1</v>
      </c>
      <c r="AB90" t="s">
        <v>375</v>
      </c>
      <c r="AC90" t="s">
        <v>52</v>
      </c>
      <c r="AD90">
        <v>0</v>
      </c>
      <c r="AE90">
        <v>35</v>
      </c>
      <c r="AF90">
        <v>65</v>
      </c>
      <c r="AG90" t="s">
        <v>80</v>
      </c>
      <c r="AH90" t="s">
        <v>54</v>
      </c>
      <c r="AI90" t="s">
        <v>57</v>
      </c>
      <c r="AJ90" t="s">
        <v>56</v>
      </c>
      <c r="AK90" t="s">
        <v>57</v>
      </c>
      <c r="AL90" t="s">
        <v>214</v>
      </c>
      <c r="AM90" t="s">
        <v>109</v>
      </c>
      <c r="AN90" t="s">
        <v>57</v>
      </c>
      <c r="AO90">
        <v>1</v>
      </c>
      <c r="AP90">
        <v>9</v>
      </c>
      <c r="AQ90" t="str">
        <f t="shared" si="9"/>
        <v>Responder</v>
      </c>
      <c r="AR90">
        <v>0.9</v>
      </c>
      <c r="AS90" t="s">
        <v>326</v>
      </c>
      <c r="AT90" t="s">
        <v>143</v>
      </c>
      <c r="AU90">
        <v>0.108</v>
      </c>
      <c r="AV90" s="1">
        <v>42670</v>
      </c>
    </row>
    <row r="91" spans="1:56" x14ac:dyDescent="0.2">
      <c r="A91" t="s">
        <v>383</v>
      </c>
      <c r="B91" t="s">
        <v>68</v>
      </c>
      <c r="C91" t="s">
        <v>49</v>
      </c>
      <c r="D91" t="s">
        <v>382</v>
      </c>
      <c r="E91" s="1">
        <v>43825</v>
      </c>
      <c r="F91" s="1">
        <v>43901</v>
      </c>
      <c r="G91" s="1">
        <v>42644</v>
      </c>
      <c r="H91" s="1">
        <v>42667</v>
      </c>
      <c r="I91" s="1">
        <v>42670</v>
      </c>
      <c r="J91" s="1">
        <v>42678</v>
      </c>
      <c r="K91" s="1">
        <v>42725</v>
      </c>
      <c r="L91" s="1">
        <v>42774</v>
      </c>
      <c r="M91" s="1">
        <v>42725</v>
      </c>
      <c r="N91" s="1">
        <v>44684</v>
      </c>
      <c r="Q91">
        <v>0</v>
      </c>
      <c r="R91">
        <v>0</v>
      </c>
      <c r="S91">
        <f t="shared" si="5"/>
        <v>65.966666666666669</v>
      </c>
      <c r="T91">
        <f t="shared" si="6"/>
        <v>65.966666666666669</v>
      </c>
      <c r="U91" s="2">
        <v>65.966666669999995</v>
      </c>
      <c r="V91" s="2">
        <v>65.966666669999995</v>
      </c>
      <c r="W91">
        <f t="shared" si="7"/>
        <v>64.387096774193552</v>
      </c>
      <c r="X91">
        <f t="shared" si="10"/>
        <v>64.387096774193552</v>
      </c>
      <c r="Y91" s="2">
        <v>64.387096769999999</v>
      </c>
      <c r="Z91" s="2">
        <v>64.387096769999999</v>
      </c>
      <c r="AA91">
        <v>1</v>
      </c>
      <c r="AB91" t="s">
        <v>373</v>
      </c>
      <c r="AC91" t="s">
        <v>52</v>
      </c>
      <c r="AD91">
        <v>0</v>
      </c>
      <c r="AE91">
        <v>35</v>
      </c>
      <c r="AF91">
        <v>65</v>
      </c>
      <c r="AG91" t="s">
        <v>80</v>
      </c>
      <c r="AH91" t="s">
        <v>54</v>
      </c>
      <c r="AI91" t="s">
        <v>57</v>
      </c>
      <c r="AJ91" t="s">
        <v>56</v>
      </c>
      <c r="AK91" t="s">
        <v>57</v>
      </c>
      <c r="AL91" t="s">
        <v>214</v>
      </c>
      <c r="AM91" t="s">
        <v>109</v>
      </c>
      <c r="AN91" t="s">
        <v>57</v>
      </c>
      <c r="AO91">
        <v>1</v>
      </c>
      <c r="AP91">
        <v>9</v>
      </c>
      <c r="AQ91" t="str">
        <f t="shared" si="9"/>
        <v>Responder</v>
      </c>
      <c r="AR91">
        <v>0.9</v>
      </c>
      <c r="AS91" t="s">
        <v>326</v>
      </c>
      <c r="AT91" t="s">
        <v>143</v>
      </c>
      <c r="AU91">
        <v>0.114</v>
      </c>
      <c r="AV91" s="1">
        <v>42676</v>
      </c>
    </row>
    <row r="92" spans="1:56" x14ac:dyDescent="0.2">
      <c r="A92" t="s">
        <v>384</v>
      </c>
      <c r="B92" t="s">
        <v>74</v>
      </c>
      <c r="C92" t="s">
        <v>49</v>
      </c>
      <c r="D92" t="s">
        <v>382</v>
      </c>
      <c r="E92" s="1">
        <v>43825</v>
      </c>
      <c r="F92" s="1">
        <v>43887</v>
      </c>
      <c r="G92" s="1">
        <v>42644</v>
      </c>
      <c r="H92" s="1">
        <v>42667</v>
      </c>
      <c r="I92" s="1">
        <v>42670</v>
      </c>
      <c r="J92" s="1">
        <v>42678</v>
      </c>
      <c r="K92" s="1">
        <v>42725</v>
      </c>
      <c r="L92" s="1">
        <v>42774</v>
      </c>
      <c r="M92" s="1">
        <v>42725</v>
      </c>
      <c r="N92" s="1">
        <v>44684</v>
      </c>
      <c r="Q92">
        <v>0</v>
      </c>
      <c r="R92">
        <v>0</v>
      </c>
      <c r="S92">
        <f t="shared" si="5"/>
        <v>65.966666666666669</v>
      </c>
      <c r="T92">
        <f t="shared" si="6"/>
        <v>65.966666666666669</v>
      </c>
      <c r="U92" s="2">
        <v>65.966666669999995</v>
      </c>
      <c r="V92" s="2">
        <v>65.966666669999995</v>
      </c>
      <c r="W92">
        <f t="shared" si="7"/>
        <v>64.387096774193552</v>
      </c>
      <c r="X92">
        <f t="shared" si="10"/>
        <v>64.387096774193552</v>
      </c>
      <c r="Y92" s="2">
        <v>64.387096769999999</v>
      </c>
      <c r="Z92" s="2">
        <v>64.387096769999999</v>
      </c>
      <c r="AA92">
        <v>1</v>
      </c>
      <c r="AB92" t="s">
        <v>385</v>
      </c>
      <c r="AC92" t="s">
        <v>52</v>
      </c>
      <c r="AD92">
        <v>0</v>
      </c>
      <c r="AE92">
        <v>35</v>
      </c>
      <c r="AF92">
        <v>65</v>
      </c>
      <c r="AG92" t="s">
        <v>80</v>
      </c>
      <c r="AH92" t="s">
        <v>54</v>
      </c>
      <c r="AI92" t="s">
        <v>57</v>
      </c>
      <c r="AJ92" t="s">
        <v>56</v>
      </c>
      <c r="AK92" t="s">
        <v>57</v>
      </c>
      <c r="AL92" t="s">
        <v>214</v>
      </c>
      <c r="AM92" t="s">
        <v>109</v>
      </c>
      <c r="AN92" t="s">
        <v>57</v>
      </c>
      <c r="AO92">
        <v>1</v>
      </c>
      <c r="AP92">
        <v>9</v>
      </c>
      <c r="AQ92" t="str">
        <f t="shared" si="9"/>
        <v>Responder</v>
      </c>
      <c r="AR92">
        <v>0.9</v>
      </c>
      <c r="AS92" t="s">
        <v>326</v>
      </c>
      <c r="AT92" t="s">
        <v>143</v>
      </c>
      <c r="AU92">
        <v>0.14599999999999999</v>
      </c>
      <c r="AV92" s="1">
        <v>42725</v>
      </c>
    </row>
    <row r="93" spans="1:56" x14ac:dyDescent="0.2">
      <c r="A93" t="s">
        <v>386</v>
      </c>
      <c r="B93" t="s">
        <v>48</v>
      </c>
      <c r="C93" t="s">
        <v>49</v>
      </c>
      <c r="D93" t="s">
        <v>387</v>
      </c>
      <c r="E93" s="1">
        <v>43825</v>
      </c>
      <c r="F93" s="1">
        <v>43887</v>
      </c>
      <c r="G93" s="1">
        <v>42874</v>
      </c>
      <c r="H93" s="1">
        <v>42885</v>
      </c>
      <c r="I93" s="1">
        <v>42891</v>
      </c>
      <c r="J93" s="1">
        <v>42898</v>
      </c>
      <c r="K93" s="1">
        <v>42947</v>
      </c>
      <c r="L93" s="1">
        <v>42987</v>
      </c>
      <c r="M93" s="1">
        <v>42934</v>
      </c>
      <c r="N93" s="1">
        <v>44680</v>
      </c>
      <c r="O93" s="1">
        <v>43537</v>
      </c>
      <c r="P93" s="1">
        <v>44681</v>
      </c>
      <c r="Q93">
        <v>1</v>
      </c>
      <c r="R93">
        <v>1</v>
      </c>
      <c r="S93">
        <f t="shared" si="5"/>
        <v>21.033333333333335</v>
      </c>
      <c r="T93">
        <f t="shared" si="6"/>
        <v>58.6</v>
      </c>
      <c r="U93" s="2">
        <v>21.033333330000001</v>
      </c>
      <c r="V93" s="2">
        <v>58.6</v>
      </c>
      <c r="W93">
        <f t="shared" si="7"/>
        <v>19.741935483870968</v>
      </c>
      <c r="X93">
        <f t="shared" si="10"/>
        <v>57.387096774193552</v>
      </c>
      <c r="Y93" s="2">
        <v>19.741935479999999</v>
      </c>
      <c r="Z93" s="2">
        <v>57.387096769999999</v>
      </c>
      <c r="AA93">
        <v>1</v>
      </c>
      <c r="AB93" t="s">
        <v>385</v>
      </c>
      <c r="AC93" t="s">
        <v>52</v>
      </c>
      <c r="AD93">
        <v>0</v>
      </c>
      <c r="AE93">
        <v>36</v>
      </c>
      <c r="AF93">
        <v>68</v>
      </c>
      <c r="AG93" t="s">
        <v>53</v>
      </c>
      <c r="AH93" t="s">
        <v>54</v>
      </c>
      <c r="AI93" t="s">
        <v>57</v>
      </c>
      <c r="AJ93" t="s">
        <v>56</v>
      </c>
      <c r="AK93" t="s">
        <v>57</v>
      </c>
      <c r="AL93" t="s">
        <v>249</v>
      </c>
      <c r="AM93" t="s">
        <v>109</v>
      </c>
      <c r="AN93" t="s">
        <v>57</v>
      </c>
      <c r="AO93">
        <v>1</v>
      </c>
      <c r="AP93">
        <v>2</v>
      </c>
      <c r="AQ93" t="str">
        <f t="shared" si="9"/>
        <v>Responder</v>
      </c>
      <c r="AR93" t="s">
        <v>388</v>
      </c>
      <c r="AS93" t="s">
        <v>142</v>
      </c>
      <c r="AT93" t="s">
        <v>143</v>
      </c>
      <c r="AU93">
        <v>0.21199999999999999</v>
      </c>
      <c r="AV93" s="1">
        <v>42891</v>
      </c>
    </row>
    <row r="94" spans="1:56" x14ac:dyDescent="0.2">
      <c r="A94" t="s">
        <v>389</v>
      </c>
      <c r="B94" t="s">
        <v>68</v>
      </c>
      <c r="C94" t="s">
        <v>49</v>
      </c>
      <c r="D94" t="s">
        <v>387</v>
      </c>
      <c r="E94" s="1">
        <v>43825</v>
      </c>
      <c r="F94" s="1">
        <v>43898</v>
      </c>
      <c r="G94" s="1">
        <v>42874</v>
      </c>
      <c r="H94" s="1">
        <v>42885</v>
      </c>
      <c r="I94" s="1">
        <v>42891</v>
      </c>
      <c r="J94" s="1">
        <v>42898</v>
      </c>
      <c r="K94" s="1">
        <v>42947</v>
      </c>
      <c r="L94" s="1">
        <v>42987</v>
      </c>
      <c r="M94" s="1">
        <v>42934</v>
      </c>
      <c r="N94" s="1">
        <v>44680</v>
      </c>
      <c r="O94" s="1">
        <v>43537</v>
      </c>
      <c r="P94" s="1">
        <v>44681</v>
      </c>
      <c r="Q94">
        <v>1</v>
      </c>
      <c r="R94">
        <v>1</v>
      </c>
      <c r="S94">
        <f t="shared" si="5"/>
        <v>21.033333333333335</v>
      </c>
      <c r="T94">
        <f t="shared" si="6"/>
        <v>58.6</v>
      </c>
      <c r="U94" s="2">
        <v>21.033333330000001</v>
      </c>
      <c r="V94" s="2">
        <v>58.6</v>
      </c>
      <c r="W94">
        <f t="shared" si="7"/>
        <v>19.741935483870968</v>
      </c>
      <c r="X94">
        <f t="shared" si="10"/>
        <v>57.387096774193552</v>
      </c>
      <c r="Y94" s="2">
        <v>19.741935479999999</v>
      </c>
      <c r="Z94" s="2">
        <v>57.387096769999999</v>
      </c>
      <c r="AA94">
        <v>1</v>
      </c>
      <c r="AB94" t="s">
        <v>375</v>
      </c>
      <c r="AC94" t="s">
        <v>52</v>
      </c>
      <c r="AD94">
        <v>0</v>
      </c>
      <c r="AE94">
        <v>36</v>
      </c>
      <c r="AF94">
        <v>68</v>
      </c>
      <c r="AG94" t="s">
        <v>53</v>
      </c>
      <c r="AH94" t="s">
        <v>54</v>
      </c>
      <c r="AI94" t="s">
        <v>57</v>
      </c>
      <c r="AJ94" t="s">
        <v>56</v>
      </c>
      <c r="AK94" t="s">
        <v>57</v>
      </c>
      <c r="AL94" t="s">
        <v>249</v>
      </c>
      <c r="AM94" t="s">
        <v>109</v>
      </c>
      <c r="AN94" t="s">
        <v>57</v>
      </c>
      <c r="AO94">
        <v>1</v>
      </c>
      <c r="AP94">
        <v>2</v>
      </c>
      <c r="AQ94" t="str">
        <f t="shared" si="9"/>
        <v>Responder</v>
      </c>
      <c r="AR94" t="s">
        <v>388</v>
      </c>
      <c r="AS94" t="s">
        <v>142</v>
      </c>
      <c r="AT94" t="s">
        <v>143</v>
      </c>
      <c r="AU94">
        <v>0.214</v>
      </c>
      <c r="AV94" s="1">
        <v>42895</v>
      </c>
    </row>
    <row r="95" spans="1:56" x14ac:dyDescent="0.2">
      <c r="A95" t="s">
        <v>390</v>
      </c>
      <c r="B95" t="s">
        <v>74</v>
      </c>
      <c r="C95" t="s">
        <v>49</v>
      </c>
      <c r="D95" t="s">
        <v>387</v>
      </c>
      <c r="E95" s="1">
        <v>43825</v>
      </c>
      <c r="F95" s="1">
        <v>43888</v>
      </c>
      <c r="G95" s="1">
        <v>42874</v>
      </c>
      <c r="H95" s="1">
        <v>42885</v>
      </c>
      <c r="I95" s="1">
        <v>42891</v>
      </c>
      <c r="J95" s="1">
        <v>42898</v>
      </c>
      <c r="K95" s="1">
        <v>42947</v>
      </c>
      <c r="L95" s="1">
        <v>42987</v>
      </c>
      <c r="M95" s="1">
        <v>42934</v>
      </c>
      <c r="N95" s="1">
        <v>44680</v>
      </c>
      <c r="O95" s="1">
        <v>43537</v>
      </c>
      <c r="P95" s="1">
        <v>44681</v>
      </c>
      <c r="Q95">
        <v>1</v>
      </c>
      <c r="R95">
        <v>1</v>
      </c>
      <c r="S95">
        <f t="shared" si="5"/>
        <v>21.033333333333335</v>
      </c>
      <c r="T95">
        <f t="shared" si="6"/>
        <v>58.6</v>
      </c>
      <c r="U95" s="2">
        <v>21.033333330000001</v>
      </c>
      <c r="V95" s="2">
        <v>58.6</v>
      </c>
      <c r="W95">
        <f t="shared" si="7"/>
        <v>19.741935483870968</v>
      </c>
      <c r="X95">
        <f t="shared" si="10"/>
        <v>57.387096774193552</v>
      </c>
      <c r="Y95" s="2">
        <v>19.741935479999999</v>
      </c>
      <c r="Z95" s="2">
        <v>57.387096769999999</v>
      </c>
      <c r="AA95">
        <v>1</v>
      </c>
      <c r="AB95" t="s">
        <v>370</v>
      </c>
      <c r="AC95" t="s">
        <v>52</v>
      </c>
      <c r="AD95">
        <v>0</v>
      </c>
      <c r="AE95">
        <v>36</v>
      </c>
      <c r="AF95">
        <v>68</v>
      </c>
      <c r="AG95" t="s">
        <v>53</v>
      </c>
      <c r="AH95" t="s">
        <v>54</v>
      </c>
      <c r="AI95" t="s">
        <v>57</v>
      </c>
      <c r="AJ95" t="s">
        <v>56</v>
      </c>
      <c r="AK95" t="s">
        <v>57</v>
      </c>
      <c r="AL95" t="s">
        <v>249</v>
      </c>
      <c r="AM95" t="s">
        <v>109</v>
      </c>
      <c r="AN95" t="s">
        <v>57</v>
      </c>
      <c r="AO95">
        <v>1</v>
      </c>
      <c r="AP95">
        <v>2</v>
      </c>
      <c r="AQ95" t="str">
        <f t="shared" si="9"/>
        <v>Responder</v>
      </c>
      <c r="AR95" t="s">
        <v>388</v>
      </c>
      <c r="AS95" t="s">
        <v>142</v>
      </c>
      <c r="AT95" t="s">
        <v>143</v>
      </c>
      <c r="AU95">
        <v>0.17799999999999999</v>
      </c>
      <c r="AV95" s="1">
        <v>42934</v>
      </c>
    </row>
    <row r="96" spans="1:56" x14ac:dyDescent="0.2">
      <c r="A96" t="s">
        <v>391</v>
      </c>
      <c r="B96" t="s">
        <v>48</v>
      </c>
      <c r="C96" t="s">
        <v>49</v>
      </c>
      <c r="D96" t="s">
        <v>392</v>
      </c>
      <c r="E96" s="1">
        <v>43825</v>
      </c>
      <c r="F96" s="1">
        <v>43887</v>
      </c>
      <c r="G96" s="1">
        <v>42639</v>
      </c>
      <c r="H96" s="1">
        <v>42948</v>
      </c>
      <c r="I96" s="1">
        <v>42950</v>
      </c>
      <c r="J96" s="1">
        <v>42958</v>
      </c>
      <c r="K96" s="1">
        <v>42991</v>
      </c>
      <c r="L96" s="1">
        <v>43032</v>
      </c>
      <c r="M96" s="1">
        <v>42984</v>
      </c>
      <c r="N96" s="1">
        <v>44879</v>
      </c>
      <c r="Q96">
        <v>0</v>
      </c>
      <c r="R96">
        <v>0</v>
      </c>
      <c r="S96">
        <f t="shared" si="5"/>
        <v>63.096774193548384</v>
      </c>
      <c r="T96">
        <f t="shared" si="6"/>
        <v>63.096774193548384</v>
      </c>
      <c r="U96" s="2">
        <v>63.096774189999998</v>
      </c>
      <c r="V96" s="2">
        <v>63.096774189999998</v>
      </c>
      <c r="W96">
        <f t="shared" si="7"/>
        <v>62.266666666666666</v>
      </c>
      <c r="X96">
        <f t="shared" si="10"/>
        <v>62.266666666666666</v>
      </c>
      <c r="Y96" s="2">
        <v>62.266666669999999</v>
      </c>
      <c r="Z96" s="2">
        <v>62.266666669999999</v>
      </c>
      <c r="AA96">
        <v>1</v>
      </c>
      <c r="AB96" t="s">
        <v>385</v>
      </c>
      <c r="AC96" t="s">
        <v>52</v>
      </c>
      <c r="AD96">
        <v>1</v>
      </c>
      <c r="AE96">
        <v>37</v>
      </c>
      <c r="AF96">
        <v>28</v>
      </c>
      <c r="AG96" t="s">
        <v>80</v>
      </c>
      <c r="AH96" t="s">
        <v>54</v>
      </c>
      <c r="AI96" t="s">
        <v>57</v>
      </c>
      <c r="AJ96" t="s">
        <v>56</v>
      </c>
      <c r="AK96" t="s">
        <v>57</v>
      </c>
      <c r="AL96" t="s">
        <v>393</v>
      </c>
      <c r="AM96" t="s">
        <v>59</v>
      </c>
      <c r="AN96" t="s">
        <v>60</v>
      </c>
      <c r="AO96">
        <v>1</v>
      </c>
      <c r="AP96">
        <v>7</v>
      </c>
      <c r="AQ96" t="str">
        <f t="shared" si="9"/>
        <v>Responder</v>
      </c>
      <c r="AR96" t="s">
        <v>378</v>
      </c>
      <c r="AS96" t="s">
        <v>142</v>
      </c>
      <c r="AT96" t="s">
        <v>143</v>
      </c>
      <c r="AU96">
        <v>0.05</v>
      </c>
      <c r="AV96" s="1">
        <v>42950</v>
      </c>
    </row>
    <row r="97" spans="1:48" x14ac:dyDescent="0.2">
      <c r="A97" t="s">
        <v>394</v>
      </c>
      <c r="B97" t="s">
        <v>68</v>
      </c>
      <c r="C97" t="s">
        <v>49</v>
      </c>
      <c r="D97" t="s">
        <v>392</v>
      </c>
      <c r="E97" s="1">
        <v>43825</v>
      </c>
      <c r="F97" s="1">
        <v>43898</v>
      </c>
      <c r="G97" s="1">
        <v>42639</v>
      </c>
      <c r="H97" s="1">
        <v>42948</v>
      </c>
      <c r="I97" s="1">
        <v>42950</v>
      </c>
      <c r="J97" s="1">
        <v>42958</v>
      </c>
      <c r="K97" s="1">
        <v>42991</v>
      </c>
      <c r="L97" s="1">
        <v>43032</v>
      </c>
      <c r="M97" s="1">
        <v>42984</v>
      </c>
      <c r="N97" s="1">
        <v>44879</v>
      </c>
      <c r="Q97">
        <v>0</v>
      </c>
      <c r="R97">
        <v>0</v>
      </c>
      <c r="S97">
        <f t="shared" si="5"/>
        <v>63.096774193548384</v>
      </c>
      <c r="T97">
        <f t="shared" si="6"/>
        <v>63.096774193548384</v>
      </c>
      <c r="U97" s="2">
        <v>63.096774189999998</v>
      </c>
      <c r="V97" s="2">
        <v>63.096774189999998</v>
      </c>
      <c r="W97">
        <f t="shared" si="7"/>
        <v>62.266666666666666</v>
      </c>
      <c r="X97">
        <f t="shared" si="10"/>
        <v>62.266666666666666</v>
      </c>
      <c r="Y97" s="2">
        <v>62.266666669999999</v>
      </c>
      <c r="Z97" s="2">
        <v>62.266666669999999</v>
      </c>
      <c r="AA97">
        <v>1</v>
      </c>
      <c r="AB97" t="s">
        <v>375</v>
      </c>
      <c r="AC97" t="s">
        <v>52</v>
      </c>
      <c r="AD97">
        <v>1</v>
      </c>
      <c r="AE97">
        <v>37</v>
      </c>
      <c r="AF97">
        <v>28</v>
      </c>
      <c r="AG97" t="s">
        <v>80</v>
      </c>
      <c r="AH97" t="s">
        <v>54</v>
      </c>
      <c r="AI97" t="s">
        <v>57</v>
      </c>
      <c r="AJ97" t="s">
        <v>56</v>
      </c>
      <c r="AK97" t="s">
        <v>57</v>
      </c>
      <c r="AL97" t="s">
        <v>393</v>
      </c>
      <c r="AM97" t="s">
        <v>59</v>
      </c>
      <c r="AN97" t="s">
        <v>60</v>
      </c>
      <c r="AO97">
        <v>1</v>
      </c>
      <c r="AP97">
        <v>7</v>
      </c>
      <c r="AQ97" t="str">
        <f t="shared" si="9"/>
        <v>Responder</v>
      </c>
      <c r="AR97" t="s">
        <v>378</v>
      </c>
      <c r="AS97" t="s">
        <v>142</v>
      </c>
      <c r="AT97" t="s">
        <v>143</v>
      </c>
      <c r="AU97">
        <v>0.45</v>
      </c>
      <c r="AV97" s="1">
        <v>42957</v>
      </c>
    </row>
    <row r="98" spans="1:48" x14ac:dyDescent="0.2">
      <c r="A98" t="s">
        <v>395</v>
      </c>
      <c r="B98" t="s">
        <v>74</v>
      </c>
      <c r="C98" t="s">
        <v>49</v>
      </c>
      <c r="D98" t="s">
        <v>392</v>
      </c>
      <c r="E98" s="1">
        <v>43825</v>
      </c>
      <c r="F98" s="1">
        <v>43891</v>
      </c>
      <c r="G98" s="1">
        <v>42639</v>
      </c>
      <c r="H98" s="1">
        <v>42948</v>
      </c>
      <c r="I98" s="1">
        <v>42950</v>
      </c>
      <c r="J98" s="1">
        <v>42958</v>
      </c>
      <c r="K98" s="1">
        <v>42991</v>
      </c>
      <c r="L98" s="1">
        <v>43032</v>
      </c>
      <c r="M98" s="1">
        <v>42984</v>
      </c>
      <c r="N98" s="1">
        <v>44879</v>
      </c>
      <c r="Q98">
        <v>0</v>
      </c>
      <c r="R98">
        <v>0</v>
      </c>
      <c r="S98">
        <f t="shared" si="5"/>
        <v>63.096774193548384</v>
      </c>
      <c r="T98">
        <f t="shared" si="6"/>
        <v>63.096774193548384</v>
      </c>
      <c r="U98" s="2">
        <v>63.096774189999998</v>
      </c>
      <c r="V98" s="2">
        <v>63.096774189999998</v>
      </c>
      <c r="W98">
        <f t="shared" si="7"/>
        <v>62.266666666666666</v>
      </c>
      <c r="X98">
        <f t="shared" si="10"/>
        <v>62.266666666666666</v>
      </c>
      <c r="Y98" s="2">
        <v>62.266666669999999</v>
      </c>
      <c r="Z98" s="2">
        <v>62.266666669999999</v>
      </c>
      <c r="AA98">
        <v>1</v>
      </c>
      <c r="AB98" t="s">
        <v>396</v>
      </c>
      <c r="AC98" t="s">
        <v>52</v>
      </c>
      <c r="AD98">
        <v>1</v>
      </c>
      <c r="AE98">
        <v>37</v>
      </c>
      <c r="AF98">
        <v>28</v>
      </c>
      <c r="AG98" t="s">
        <v>80</v>
      </c>
      <c r="AH98" t="s">
        <v>54</v>
      </c>
      <c r="AI98" t="s">
        <v>57</v>
      </c>
      <c r="AJ98" t="s">
        <v>56</v>
      </c>
      <c r="AK98" t="s">
        <v>57</v>
      </c>
      <c r="AL98" t="s">
        <v>393</v>
      </c>
      <c r="AM98" t="s">
        <v>59</v>
      </c>
      <c r="AN98" t="s">
        <v>60</v>
      </c>
      <c r="AO98">
        <v>1</v>
      </c>
      <c r="AP98">
        <v>7</v>
      </c>
      <c r="AQ98" t="str">
        <f t="shared" si="9"/>
        <v>Responder</v>
      </c>
      <c r="AR98" t="s">
        <v>378</v>
      </c>
      <c r="AS98" t="s">
        <v>142</v>
      </c>
      <c r="AT98" t="s">
        <v>143</v>
      </c>
      <c r="AU98">
        <v>0.126</v>
      </c>
      <c r="AV98" s="1">
        <v>42984</v>
      </c>
    </row>
    <row r="99" spans="1:48" x14ac:dyDescent="0.2">
      <c r="A99" t="s">
        <v>397</v>
      </c>
      <c r="B99" t="s">
        <v>48</v>
      </c>
      <c r="C99" t="s">
        <v>49</v>
      </c>
      <c r="D99" t="s">
        <v>398</v>
      </c>
      <c r="E99" s="1">
        <v>43829</v>
      </c>
      <c r="F99" s="1">
        <v>43888</v>
      </c>
      <c r="G99" s="1">
        <v>42949</v>
      </c>
      <c r="H99" s="1">
        <v>42964</v>
      </c>
      <c r="I99" s="1">
        <v>42971</v>
      </c>
      <c r="J99" s="1">
        <v>42979</v>
      </c>
      <c r="K99" s="1">
        <v>43019</v>
      </c>
      <c r="L99" s="1">
        <v>43061</v>
      </c>
      <c r="M99" s="1">
        <v>43012</v>
      </c>
      <c r="N99" s="1">
        <v>44557</v>
      </c>
      <c r="O99" s="1">
        <v>43880</v>
      </c>
      <c r="P99" s="1">
        <v>44558</v>
      </c>
      <c r="Q99">
        <v>1</v>
      </c>
      <c r="R99">
        <v>1</v>
      </c>
      <c r="S99">
        <f t="shared" si="5"/>
        <v>29.6</v>
      </c>
      <c r="T99">
        <f t="shared" si="6"/>
        <v>51.9</v>
      </c>
      <c r="U99" s="2">
        <v>29.6</v>
      </c>
      <c r="V99" s="2">
        <v>51.9</v>
      </c>
      <c r="W99">
        <f t="shared" si="7"/>
        <v>28.483870967741936</v>
      </c>
      <c r="X99">
        <f t="shared" si="10"/>
        <v>50.774193548387096</v>
      </c>
      <c r="Y99" s="2">
        <v>28.483870970000002</v>
      </c>
      <c r="Z99" s="2">
        <v>50.77419355</v>
      </c>
      <c r="AA99">
        <v>1</v>
      </c>
      <c r="AB99" t="s">
        <v>370</v>
      </c>
      <c r="AC99" t="s">
        <v>52</v>
      </c>
      <c r="AD99">
        <v>0</v>
      </c>
      <c r="AE99">
        <v>38</v>
      </c>
      <c r="AF99">
        <v>60</v>
      </c>
      <c r="AG99" t="s">
        <v>53</v>
      </c>
      <c r="AH99" t="s">
        <v>54</v>
      </c>
      <c r="AI99" t="s">
        <v>57</v>
      </c>
      <c r="AJ99" t="s">
        <v>56</v>
      </c>
      <c r="AK99" t="s">
        <v>57</v>
      </c>
      <c r="AL99" t="s">
        <v>399</v>
      </c>
      <c r="AM99" t="s">
        <v>59</v>
      </c>
      <c r="AN99" t="s">
        <v>57</v>
      </c>
      <c r="AO99">
        <v>2</v>
      </c>
      <c r="AP99">
        <v>2</v>
      </c>
      <c r="AQ99" t="str">
        <f t="shared" si="9"/>
        <v>Responder</v>
      </c>
      <c r="AR99" t="s">
        <v>388</v>
      </c>
      <c r="AS99" t="s">
        <v>142</v>
      </c>
      <c r="AT99" t="s">
        <v>143</v>
      </c>
      <c r="AU99">
        <v>0.108</v>
      </c>
      <c r="AV99" s="1">
        <v>42971</v>
      </c>
    </row>
    <row r="100" spans="1:48" x14ac:dyDescent="0.2">
      <c r="A100" t="s">
        <v>400</v>
      </c>
      <c r="B100" t="s">
        <v>68</v>
      </c>
      <c r="C100" t="s">
        <v>49</v>
      </c>
      <c r="D100" t="s">
        <v>398</v>
      </c>
      <c r="E100" s="1">
        <v>43829</v>
      </c>
      <c r="F100" s="1">
        <v>43888</v>
      </c>
      <c r="G100" s="1">
        <v>42949</v>
      </c>
      <c r="H100" s="1">
        <v>42964</v>
      </c>
      <c r="I100" s="1">
        <v>42971</v>
      </c>
      <c r="J100" s="1">
        <v>42979</v>
      </c>
      <c r="K100" s="1">
        <v>43019</v>
      </c>
      <c r="L100" s="1">
        <v>43061</v>
      </c>
      <c r="M100" s="1">
        <v>43012</v>
      </c>
      <c r="N100" s="1">
        <v>44557</v>
      </c>
      <c r="O100" s="1">
        <v>43880</v>
      </c>
      <c r="P100" s="1">
        <v>44558</v>
      </c>
      <c r="Q100">
        <v>1</v>
      </c>
      <c r="R100">
        <v>1</v>
      </c>
      <c r="S100">
        <f t="shared" si="5"/>
        <v>29.6</v>
      </c>
      <c r="T100">
        <f t="shared" si="6"/>
        <v>51.9</v>
      </c>
      <c r="U100" s="2">
        <v>29.6</v>
      </c>
      <c r="V100" s="2">
        <v>51.9</v>
      </c>
      <c r="W100">
        <f t="shared" si="7"/>
        <v>28.483870967741936</v>
      </c>
      <c r="X100">
        <f t="shared" si="10"/>
        <v>50.774193548387096</v>
      </c>
      <c r="Y100" s="2">
        <v>28.483870970000002</v>
      </c>
      <c r="Z100" s="2">
        <v>50.77419355</v>
      </c>
      <c r="AA100">
        <v>1</v>
      </c>
      <c r="AB100" t="s">
        <v>370</v>
      </c>
      <c r="AC100" t="s">
        <v>52</v>
      </c>
      <c r="AD100">
        <v>0</v>
      </c>
      <c r="AE100">
        <v>38</v>
      </c>
      <c r="AF100">
        <v>60</v>
      </c>
      <c r="AG100" t="s">
        <v>53</v>
      </c>
      <c r="AH100" t="s">
        <v>54</v>
      </c>
      <c r="AI100" t="s">
        <v>57</v>
      </c>
      <c r="AJ100" t="s">
        <v>56</v>
      </c>
      <c r="AK100" t="s">
        <v>57</v>
      </c>
      <c r="AL100" t="s">
        <v>399</v>
      </c>
      <c r="AM100" t="s">
        <v>59</v>
      </c>
      <c r="AN100" t="s">
        <v>57</v>
      </c>
      <c r="AO100">
        <v>2</v>
      </c>
      <c r="AP100">
        <v>2</v>
      </c>
      <c r="AQ100" t="str">
        <f t="shared" si="9"/>
        <v>Responder</v>
      </c>
      <c r="AR100" t="s">
        <v>388</v>
      </c>
      <c r="AS100" t="s">
        <v>142</v>
      </c>
      <c r="AT100" t="s">
        <v>143</v>
      </c>
      <c r="AU100">
        <v>0.16600000000000001</v>
      </c>
      <c r="AV100" s="1">
        <v>42978</v>
      </c>
    </row>
    <row r="101" spans="1:48" x14ac:dyDescent="0.2">
      <c r="A101" t="s">
        <v>401</v>
      </c>
      <c r="B101" t="s">
        <v>74</v>
      </c>
      <c r="C101" t="s">
        <v>49</v>
      </c>
      <c r="D101" t="s">
        <v>398</v>
      </c>
      <c r="E101" s="1">
        <v>43829</v>
      </c>
      <c r="F101" s="1">
        <v>43898</v>
      </c>
      <c r="G101" s="1">
        <v>42949</v>
      </c>
      <c r="H101" s="1">
        <v>42964</v>
      </c>
      <c r="I101" s="1">
        <v>42971</v>
      </c>
      <c r="J101" s="1">
        <v>42979</v>
      </c>
      <c r="K101" s="1">
        <v>43019</v>
      </c>
      <c r="L101" s="1">
        <v>43061</v>
      </c>
      <c r="M101" s="1">
        <v>43012</v>
      </c>
      <c r="N101" s="1">
        <v>44557</v>
      </c>
      <c r="O101" s="1">
        <v>43880</v>
      </c>
      <c r="P101" s="1">
        <v>44558</v>
      </c>
      <c r="Q101">
        <v>1</v>
      </c>
      <c r="R101">
        <v>1</v>
      </c>
      <c r="S101">
        <f t="shared" si="5"/>
        <v>29.6</v>
      </c>
      <c r="T101">
        <f t="shared" si="6"/>
        <v>51.9</v>
      </c>
      <c r="U101" s="2">
        <v>29.6</v>
      </c>
      <c r="V101" s="2">
        <v>51.9</v>
      </c>
      <c r="W101">
        <f t="shared" si="7"/>
        <v>28.483870967741936</v>
      </c>
      <c r="X101">
        <f t="shared" si="10"/>
        <v>50.774193548387096</v>
      </c>
      <c r="Y101" s="2">
        <v>28.483870970000002</v>
      </c>
      <c r="Z101" s="2">
        <v>50.77419355</v>
      </c>
      <c r="AA101">
        <v>1</v>
      </c>
      <c r="AB101" t="s">
        <v>375</v>
      </c>
      <c r="AC101" t="s">
        <v>52</v>
      </c>
      <c r="AD101">
        <v>0</v>
      </c>
      <c r="AE101">
        <v>38</v>
      </c>
      <c r="AF101">
        <v>60</v>
      </c>
      <c r="AG101" t="s">
        <v>53</v>
      </c>
      <c r="AH101" t="s">
        <v>54</v>
      </c>
      <c r="AI101" t="s">
        <v>57</v>
      </c>
      <c r="AJ101" t="s">
        <v>56</v>
      </c>
      <c r="AK101" t="s">
        <v>57</v>
      </c>
      <c r="AL101" t="s">
        <v>399</v>
      </c>
      <c r="AM101" t="s">
        <v>59</v>
      </c>
      <c r="AN101" t="s">
        <v>57</v>
      </c>
      <c r="AO101">
        <v>2</v>
      </c>
      <c r="AP101">
        <v>2</v>
      </c>
      <c r="AQ101" t="str">
        <f t="shared" si="9"/>
        <v>Responder</v>
      </c>
      <c r="AR101" t="s">
        <v>388</v>
      </c>
      <c r="AS101" t="s">
        <v>142</v>
      </c>
      <c r="AT101" t="s">
        <v>143</v>
      </c>
      <c r="AU101">
        <v>0.13400000000000001</v>
      </c>
      <c r="AV101" s="1">
        <v>43012</v>
      </c>
    </row>
    <row r="102" spans="1:48" x14ac:dyDescent="0.2">
      <c r="A102" t="s">
        <v>402</v>
      </c>
      <c r="B102" t="s">
        <v>48</v>
      </c>
      <c r="C102" t="s">
        <v>49</v>
      </c>
      <c r="D102" t="s">
        <v>403</v>
      </c>
      <c r="E102" s="1">
        <v>43829</v>
      </c>
      <c r="F102" s="1">
        <v>43898</v>
      </c>
      <c r="G102" s="1">
        <v>42978</v>
      </c>
      <c r="H102" s="1">
        <v>43007</v>
      </c>
      <c r="I102" s="1">
        <v>43011</v>
      </c>
      <c r="J102" s="1">
        <v>43024</v>
      </c>
      <c r="K102" s="1">
        <v>43059</v>
      </c>
      <c r="L102" s="1">
        <v>43104</v>
      </c>
      <c r="M102" s="1">
        <v>43052</v>
      </c>
      <c r="N102" s="1">
        <v>45182</v>
      </c>
      <c r="Q102">
        <v>0</v>
      </c>
      <c r="R102">
        <v>0</v>
      </c>
      <c r="S102">
        <f t="shared" si="5"/>
        <v>70.903225806451616</v>
      </c>
      <c r="T102">
        <f t="shared" si="6"/>
        <v>70.903225806451616</v>
      </c>
      <c r="U102" s="2">
        <v>70.903225809999995</v>
      </c>
      <c r="V102" s="2">
        <v>70.903225809999995</v>
      </c>
      <c r="W102">
        <f t="shared" si="7"/>
        <v>70</v>
      </c>
      <c r="X102">
        <f t="shared" si="10"/>
        <v>70</v>
      </c>
      <c r="Y102" s="2">
        <v>70</v>
      </c>
      <c r="Z102" s="2">
        <v>70</v>
      </c>
      <c r="AA102">
        <v>1</v>
      </c>
      <c r="AB102" t="s">
        <v>375</v>
      </c>
      <c r="AC102" t="s">
        <v>52</v>
      </c>
      <c r="AD102">
        <v>1</v>
      </c>
      <c r="AE102">
        <v>39</v>
      </c>
      <c r="AF102">
        <v>53</v>
      </c>
      <c r="AG102" t="s">
        <v>80</v>
      </c>
      <c r="AH102" t="s">
        <v>54</v>
      </c>
      <c r="AI102" t="s">
        <v>57</v>
      </c>
      <c r="AJ102" t="s">
        <v>56</v>
      </c>
      <c r="AK102" t="s">
        <v>55</v>
      </c>
      <c r="AL102" t="s">
        <v>404</v>
      </c>
      <c r="AM102" t="s">
        <v>109</v>
      </c>
      <c r="AN102" t="s">
        <v>57</v>
      </c>
      <c r="AO102">
        <v>2</v>
      </c>
      <c r="AP102">
        <v>9</v>
      </c>
      <c r="AQ102" t="str">
        <f t="shared" si="9"/>
        <v>Responder</v>
      </c>
      <c r="AR102" t="s">
        <v>405</v>
      </c>
      <c r="AS102" t="s">
        <v>326</v>
      </c>
      <c r="AT102" t="s">
        <v>143</v>
      </c>
      <c r="AU102">
        <v>0.05</v>
      </c>
      <c r="AV102" s="1">
        <v>43011</v>
      </c>
    </row>
    <row r="103" spans="1:48" x14ac:dyDescent="0.2">
      <c r="A103" t="s">
        <v>406</v>
      </c>
      <c r="B103" t="s">
        <v>68</v>
      </c>
      <c r="C103" t="s">
        <v>49</v>
      </c>
      <c r="D103" t="s">
        <v>403</v>
      </c>
      <c r="E103" s="1">
        <v>43829</v>
      </c>
      <c r="F103" s="1">
        <v>43889</v>
      </c>
      <c r="G103" s="1">
        <v>42978</v>
      </c>
      <c r="H103" s="1">
        <v>43007</v>
      </c>
      <c r="I103" s="1">
        <v>43011</v>
      </c>
      <c r="J103" s="1">
        <v>43024</v>
      </c>
      <c r="K103" s="1">
        <v>43059</v>
      </c>
      <c r="L103" s="1">
        <v>43104</v>
      </c>
      <c r="M103" s="1">
        <v>43052</v>
      </c>
      <c r="N103" s="1">
        <v>45182</v>
      </c>
      <c r="Q103">
        <v>0</v>
      </c>
      <c r="R103">
        <v>0</v>
      </c>
      <c r="S103">
        <f t="shared" si="5"/>
        <v>70.903225806451616</v>
      </c>
      <c r="T103">
        <f t="shared" si="6"/>
        <v>70.903225806451616</v>
      </c>
      <c r="U103" s="2">
        <v>70.903225809999995</v>
      </c>
      <c r="V103" s="2">
        <v>70.903225809999995</v>
      </c>
      <c r="W103">
        <f t="shared" si="7"/>
        <v>70</v>
      </c>
      <c r="X103">
        <f t="shared" si="10"/>
        <v>70</v>
      </c>
      <c r="Y103" s="2">
        <v>70</v>
      </c>
      <c r="Z103" s="2">
        <v>70</v>
      </c>
      <c r="AA103">
        <v>1</v>
      </c>
      <c r="AB103" t="s">
        <v>407</v>
      </c>
      <c r="AC103" t="s">
        <v>52</v>
      </c>
      <c r="AD103">
        <v>1</v>
      </c>
      <c r="AE103">
        <v>39</v>
      </c>
      <c r="AF103">
        <v>53</v>
      </c>
      <c r="AG103" t="s">
        <v>80</v>
      </c>
      <c r="AH103" t="s">
        <v>54</v>
      </c>
      <c r="AI103" t="s">
        <v>57</v>
      </c>
      <c r="AJ103" t="s">
        <v>56</v>
      </c>
      <c r="AK103" t="s">
        <v>55</v>
      </c>
      <c r="AL103" t="s">
        <v>404</v>
      </c>
      <c r="AM103" t="s">
        <v>109</v>
      </c>
      <c r="AN103" t="s">
        <v>57</v>
      </c>
      <c r="AO103">
        <v>2</v>
      </c>
      <c r="AP103">
        <v>9</v>
      </c>
      <c r="AQ103" t="str">
        <f t="shared" si="9"/>
        <v>Responder</v>
      </c>
      <c r="AR103" t="s">
        <v>405</v>
      </c>
      <c r="AS103" t="s">
        <v>326</v>
      </c>
      <c r="AT103" t="s">
        <v>143</v>
      </c>
      <c r="AU103">
        <v>0.182</v>
      </c>
      <c r="AV103" s="1">
        <v>43021</v>
      </c>
    </row>
    <row r="104" spans="1:48" x14ac:dyDescent="0.2">
      <c r="A104" t="s">
        <v>408</v>
      </c>
      <c r="B104" t="s">
        <v>74</v>
      </c>
      <c r="C104" t="s">
        <v>49</v>
      </c>
      <c r="D104" t="s">
        <v>403</v>
      </c>
      <c r="E104" s="1">
        <v>43829</v>
      </c>
      <c r="F104" s="1">
        <v>43891</v>
      </c>
      <c r="G104" s="1">
        <v>42978</v>
      </c>
      <c r="H104" s="1">
        <v>43007</v>
      </c>
      <c r="I104" s="1">
        <v>43011</v>
      </c>
      <c r="J104" s="1">
        <v>43024</v>
      </c>
      <c r="K104" s="1">
        <v>43059</v>
      </c>
      <c r="L104" s="1">
        <v>43104</v>
      </c>
      <c r="M104" s="1">
        <v>43052</v>
      </c>
      <c r="N104" s="1">
        <v>45182</v>
      </c>
      <c r="Q104">
        <v>0</v>
      </c>
      <c r="R104">
        <v>0</v>
      </c>
      <c r="S104">
        <f t="shared" si="5"/>
        <v>70.903225806451616</v>
      </c>
      <c r="T104">
        <f t="shared" si="6"/>
        <v>70.903225806451616</v>
      </c>
      <c r="U104" s="2">
        <v>70.903225809999995</v>
      </c>
      <c r="V104" s="2">
        <v>70.903225809999995</v>
      </c>
      <c r="W104">
        <f t="shared" si="7"/>
        <v>70</v>
      </c>
      <c r="X104">
        <f t="shared" si="10"/>
        <v>70</v>
      </c>
      <c r="Y104" s="2">
        <v>70</v>
      </c>
      <c r="Z104" s="2">
        <v>70</v>
      </c>
      <c r="AA104">
        <v>1</v>
      </c>
      <c r="AB104" t="s">
        <v>396</v>
      </c>
      <c r="AC104" t="s">
        <v>52</v>
      </c>
      <c r="AD104">
        <v>1</v>
      </c>
      <c r="AE104">
        <v>39</v>
      </c>
      <c r="AF104">
        <v>53</v>
      </c>
      <c r="AG104" t="s">
        <v>80</v>
      </c>
      <c r="AH104" t="s">
        <v>54</v>
      </c>
      <c r="AI104" t="s">
        <v>57</v>
      </c>
      <c r="AJ104" t="s">
        <v>56</v>
      </c>
      <c r="AK104" t="s">
        <v>55</v>
      </c>
      <c r="AL104" t="s">
        <v>404</v>
      </c>
      <c r="AM104" t="s">
        <v>109</v>
      </c>
      <c r="AN104" t="s">
        <v>57</v>
      </c>
      <c r="AO104">
        <v>2</v>
      </c>
      <c r="AP104">
        <v>9</v>
      </c>
      <c r="AQ104" t="str">
        <f t="shared" si="9"/>
        <v>Responder</v>
      </c>
      <c r="AR104" t="s">
        <v>405</v>
      </c>
      <c r="AS104" t="s">
        <v>326</v>
      </c>
      <c r="AT104" t="s">
        <v>143</v>
      </c>
      <c r="AU104">
        <v>0.13200000000000001</v>
      </c>
      <c r="AV104" s="1">
        <v>43052</v>
      </c>
    </row>
    <row r="105" spans="1:48" x14ac:dyDescent="0.2">
      <c r="A105" t="s">
        <v>409</v>
      </c>
      <c r="B105" t="s">
        <v>48</v>
      </c>
      <c r="C105" t="s">
        <v>49</v>
      </c>
      <c r="D105" t="s">
        <v>410</v>
      </c>
      <c r="E105" s="1">
        <v>43829</v>
      </c>
      <c r="F105" s="1">
        <v>43887</v>
      </c>
      <c r="G105" s="1">
        <v>43060</v>
      </c>
      <c r="H105" s="1">
        <v>43081</v>
      </c>
      <c r="I105" s="1">
        <v>43088</v>
      </c>
      <c r="J105" s="1">
        <v>43109</v>
      </c>
      <c r="K105" s="1">
        <v>43160</v>
      </c>
      <c r="L105" s="1">
        <v>43200</v>
      </c>
      <c r="N105" s="1">
        <v>45048</v>
      </c>
      <c r="Q105">
        <v>0</v>
      </c>
      <c r="R105">
        <v>0</v>
      </c>
      <c r="S105">
        <f t="shared" si="5"/>
        <v>63.741935483870968</v>
      </c>
      <c r="T105">
        <f t="shared" si="6"/>
        <v>63.741935483870968</v>
      </c>
      <c r="U105" s="2">
        <v>63.741935480000002</v>
      </c>
      <c r="V105" s="2">
        <v>63.741935480000002</v>
      </c>
      <c r="Y105" s="2">
        <v>53.975304199550543</v>
      </c>
      <c r="Z105" s="2">
        <v>53.632725738415814</v>
      </c>
      <c r="AA105">
        <v>1</v>
      </c>
      <c r="AB105" t="s">
        <v>385</v>
      </c>
      <c r="AC105" t="s">
        <v>52</v>
      </c>
      <c r="AD105">
        <v>0</v>
      </c>
      <c r="AE105">
        <v>40</v>
      </c>
      <c r="AF105">
        <v>68</v>
      </c>
      <c r="AG105" t="s">
        <v>80</v>
      </c>
      <c r="AH105" t="s">
        <v>54</v>
      </c>
      <c r="AI105" t="s">
        <v>55</v>
      </c>
      <c r="AJ105" t="s">
        <v>56</v>
      </c>
      <c r="AK105" t="s">
        <v>57</v>
      </c>
      <c r="AL105" t="s">
        <v>399</v>
      </c>
      <c r="AM105" t="s">
        <v>109</v>
      </c>
      <c r="AN105" t="s">
        <v>57</v>
      </c>
      <c r="AO105">
        <v>1</v>
      </c>
      <c r="AP105">
        <v>10</v>
      </c>
      <c r="AQ105" t="str">
        <f t="shared" si="9"/>
        <v>Responder</v>
      </c>
      <c r="AR105">
        <v>1</v>
      </c>
      <c r="AS105" t="s">
        <v>326</v>
      </c>
      <c r="AT105" t="s">
        <v>143</v>
      </c>
      <c r="AU105">
        <v>0.11</v>
      </c>
      <c r="AV105" s="1">
        <v>43084</v>
      </c>
    </row>
    <row r="106" spans="1:48" x14ac:dyDescent="0.2">
      <c r="A106" t="s">
        <v>411</v>
      </c>
      <c r="B106" t="s">
        <v>68</v>
      </c>
      <c r="C106" t="s">
        <v>49</v>
      </c>
      <c r="D106" t="s">
        <v>410</v>
      </c>
      <c r="E106" s="1">
        <v>43829</v>
      </c>
      <c r="F106" s="1">
        <v>43889</v>
      </c>
      <c r="G106" s="1">
        <v>43060</v>
      </c>
      <c r="H106" s="1">
        <v>43081</v>
      </c>
      <c r="I106" s="1">
        <v>43088</v>
      </c>
      <c r="J106" s="1">
        <v>43109</v>
      </c>
      <c r="K106" s="1">
        <v>43160</v>
      </c>
      <c r="L106" s="1">
        <v>43200</v>
      </c>
      <c r="N106" s="1">
        <v>45048</v>
      </c>
      <c r="Q106">
        <v>0</v>
      </c>
      <c r="R106">
        <v>0</v>
      </c>
      <c r="S106">
        <f t="shared" si="5"/>
        <v>63.741935483870968</v>
      </c>
      <c r="T106">
        <f t="shared" si="6"/>
        <v>63.741935483870968</v>
      </c>
      <c r="U106" s="2">
        <v>63.741935480000002</v>
      </c>
      <c r="V106" s="2">
        <v>63.741935480000002</v>
      </c>
      <c r="Y106" s="2">
        <v>53.975304199550543</v>
      </c>
      <c r="Z106" s="2">
        <v>53.632725738415814</v>
      </c>
      <c r="AA106">
        <v>1</v>
      </c>
      <c r="AB106" t="s">
        <v>407</v>
      </c>
      <c r="AC106" t="s">
        <v>52</v>
      </c>
      <c r="AD106">
        <v>0</v>
      </c>
      <c r="AE106">
        <v>40</v>
      </c>
      <c r="AF106">
        <v>68</v>
      </c>
      <c r="AG106" t="s">
        <v>80</v>
      </c>
      <c r="AH106" t="s">
        <v>54</v>
      </c>
      <c r="AI106" t="s">
        <v>55</v>
      </c>
      <c r="AJ106" t="s">
        <v>56</v>
      </c>
      <c r="AK106" t="s">
        <v>57</v>
      </c>
      <c r="AL106" t="s">
        <v>399</v>
      </c>
      <c r="AM106" t="s">
        <v>109</v>
      </c>
      <c r="AN106" t="s">
        <v>57</v>
      </c>
      <c r="AO106">
        <v>1</v>
      </c>
      <c r="AP106">
        <v>10</v>
      </c>
      <c r="AQ106" t="str">
        <f t="shared" si="9"/>
        <v>Responder</v>
      </c>
      <c r="AR106">
        <v>1</v>
      </c>
      <c r="AS106" t="s">
        <v>326</v>
      </c>
      <c r="AT106" t="s">
        <v>143</v>
      </c>
      <c r="AU106">
        <v>0.106</v>
      </c>
      <c r="AV106" s="1">
        <v>43105</v>
      </c>
    </row>
    <row r="107" spans="1:48" x14ac:dyDescent="0.2">
      <c r="A107" t="s">
        <v>412</v>
      </c>
      <c r="B107" t="s">
        <v>48</v>
      </c>
      <c r="C107" t="s">
        <v>49</v>
      </c>
      <c r="D107" t="s">
        <v>413</v>
      </c>
      <c r="E107" s="1">
        <v>43829</v>
      </c>
      <c r="F107" s="1">
        <v>43887</v>
      </c>
      <c r="G107" s="1">
        <v>43060</v>
      </c>
      <c r="H107" s="1">
        <v>43083</v>
      </c>
      <c r="I107" s="1">
        <v>43091</v>
      </c>
      <c r="J107" s="1">
        <v>43112</v>
      </c>
      <c r="K107" s="1">
        <v>43165</v>
      </c>
      <c r="L107" s="1">
        <v>43206</v>
      </c>
      <c r="M107" s="1">
        <v>43158</v>
      </c>
      <c r="N107" s="1">
        <v>43951</v>
      </c>
      <c r="Q107">
        <v>0</v>
      </c>
      <c r="R107">
        <v>0</v>
      </c>
      <c r="S107">
        <f t="shared" si="5"/>
        <v>27.580645161290324</v>
      </c>
      <c r="T107">
        <f t="shared" si="6"/>
        <v>27.580645161290324</v>
      </c>
      <c r="U107" s="2">
        <v>27.58064516</v>
      </c>
      <c r="V107" s="2">
        <v>27.58064516</v>
      </c>
      <c r="W107">
        <f t="shared" si="7"/>
        <v>26.107142857142858</v>
      </c>
      <c r="X107">
        <f t="shared" si="10"/>
        <v>26.107142857142858</v>
      </c>
      <c r="Y107" s="2">
        <v>26.10714286</v>
      </c>
      <c r="Z107" s="2">
        <v>26.10714286</v>
      </c>
      <c r="AA107">
        <v>1</v>
      </c>
      <c r="AB107" t="s">
        <v>385</v>
      </c>
      <c r="AC107" t="s">
        <v>52</v>
      </c>
      <c r="AD107">
        <v>0</v>
      </c>
      <c r="AE107">
        <v>41</v>
      </c>
      <c r="AF107">
        <v>55</v>
      </c>
      <c r="AG107" t="s">
        <v>80</v>
      </c>
      <c r="AH107" t="s">
        <v>54</v>
      </c>
      <c r="AI107" t="s">
        <v>55</v>
      </c>
      <c r="AJ107" t="s">
        <v>56</v>
      </c>
      <c r="AK107" t="s">
        <v>57</v>
      </c>
      <c r="AL107" t="s">
        <v>96</v>
      </c>
      <c r="AM107" t="s">
        <v>59</v>
      </c>
      <c r="AN107" t="s">
        <v>57</v>
      </c>
      <c r="AO107">
        <v>2</v>
      </c>
      <c r="AP107">
        <v>4</v>
      </c>
      <c r="AQ107" t="str">
        <f t="shared" si="9"/>
        <v>Responder</v>
      </c>
      <c r="AR107" t="s">
        <v>414</v>
      </c>
      <c r="AS107" t="s">
        <v>142</v>
      </c>
      <c r="AT107" t="s">
        <v>143</v>
      </c>
      <c r="AU107">
        <v>0.14599999999999999</v>
      </c>
      <c r="AV107" s="1">
        <v>43083</v>
      </c>
    </row>
    <row r="108" spans="1:48" x14ac:dyDescent="0.2">
      <c r="A108" t="s">
        <v>415</v>
      </c>
      <c r="B108" t="s">
        <v>68</v>
      </c>
      <c r="C108" t="s">
        <v>49</v>
      </c>
      <c r="D108" t="s">
        <v>413</v>
      </c>
      <c r="E108" s="1">
        <v>43829</v>
      </c>
      <c r="F108" s="1">
        <v>43888</v>
      </c>
      <c r="G108" s="1">
        <v>43060</v>
      </c>
      <c r="H108" s="1">
        <v>43083</v>
      </c>
      <c r="I108" s="1">
        <v>43091</v>
      </c>
      <c r="J108" s="1">
        <v>43112</v>
      </c>
      <c r="K108" s="1">
        <v>43165</v>
      </c>
      <c r="L108" s="1">
        <v>43206</v>
      </c>
      <c r="M108" s="1">
        <v>43158</v>
      </c>
      <c r="N108" s="1">
        <v>43951</v>
      </c>
      <c r="Q108">
        <v>0</v>
      </c>
      <c r="R108">
        <v>0</v>
      </c>
      <c r="S108">
        <f t="shared" si="5"/>
        <v>27.580645161290324</v>
      </c>
      <c r="T108">
        <f t="shared" si="6"/>
        <v>27.580645161290324</v>
      </c>
      <c r="U108" s="2">
        <v>27.58064516</v>
      </c>
      <c r="V108" s="2">
        <v>27.58064516</v>
      </c>
      <c r="W108">
        <f t="shared" si="7"/>
        <v>26.107142857142858</v>
      </c>
      <c r="X108">
        <f t="shared" si="10"/>
        <v>26.107142857142858</v>
      </c>
      <c r="Y108" s="2">
        <v>26.10714286</v>
      </c>
      <c r="Z108" s="2">
        <v>26.10714286</v>
      </c>
      <c r="AA108">
        <v>1</v>
      </c>
      <c r="AB108" t="s">
        <v>370</v>
      </c>
      <c r="AC108" t="s">
        <v>52</v>
      </c>
      <c r="AD108">
        <v>0</v>
      </c>
      <c r="AE108">
        <v>41</v>
      </c>
      <c r="AF108">
        <v>55</v>
      </c>
      <c r="AG108" t="s">
        <v>80</v>
      </c>
      <c r="AH108" t="s">
        <v>54</v>
      </c>
      <c r="AI108" t="s">
        <v>55</v>
      </c>
      <c r="AJ108" t="s">
        <v>56</v>
      </c>
      <c r="AK108" t="s">
        <v>57</v>
      </c>
      <c r="AL108" t="s">
        <v>96</v>
      </c>
      <c r="AM108" t="s">
        <v>59</v>
      </c>
      <c r="AN108" t="s">
        <v>57</v>
      </c>
      <c r="AO108">
        <v>2</v>
      </c>
      <c r="AP108">
        <v>4</v>
      </c>
      <c r="AQ108" t="str">
        <f t="shared" si="9"/>
        <v>Responder</v>
      </c>
      <c r="AR108" t="s">
        <v>414</v>
      </c>
      <c r="AS108" t="s">
        <v>142</v>
      </c>
      <c r="AT108" t="s">
        <v>143</v>
      </c>
      <c r="AU108">
        <v>0.23</v>
      </c>
      <c r="AV108" s="1">
        <v>43112</v>
      </c>
    </row>
    <row r="109" spans="1:48" x14ac:dyDescent="0.2">
      <c r="A109" t="s">
        <v>416</v>
      </c>
      <c r="B109" t="s">
        <v>74</v>
      </c>
      <c r="C109" t="s">
        <v>49</v>
      </c>
      <c r="D109" t="s">
        <v>413</v>
      </c>
      <c r="E109" s="1">
        <v>43829</v>
      </c>
      <c r="F109" s="1">
        <v>43901</v>
      </c>
      <c r="G109" s="1">
        <v>43060</v>
      </c>
      <c r="H109" s="1">
        <v>43083</v>
      </c>
      <c r="I109" s="1">
        <v>43091</v>
      </c>
      <c r="J109" s="1">
        <v>43112</v>
      </c>
      <c r="K109" s="1">
        <v>43165</v>
      </c>
      <c r="L109" s="1">
        <v>43206</v>
      </c>
      <c r="M109" s="1">
        <v>43158</v>
      </c>
      <c r="N109" s="1">
        <v>43951</v>
      </c>
      <c r="Q109">
        <v>0</v>
      </c>
      <c r="R109">
        <v>0</v>
      </c>
      <c r="S109">
        <f t="shared" si="5"/>
        <v>27.580645161290324</v>
      </c>
      <c r="T109">
        <f t="shared" si="6"/>
        <v>27.580645161290324</v>
      </c>
      <c r="U109" s="2">
        <v>27.58064516</v>
      </c>
      <c r="V109" s="2">
        <v>27.58064516</v>
      </c>
      <c r="W109">
        <f t="shared" si="7"/>
        <v>26.107142857142858</v>
      </c>
      <c r="X109">
        <f t="shared" si="10"/>
        <v>26.107142857142858</v>
      </c>
      <c r="Y109" s="2">
        <v>26.10714286</v>
      </c>
      <c r="Z109" s="2">
        <v>26.10714286</v>
      </c>
      <c r="AA109">
        <v>1</v>
      </c>
      <c r="AB109" t="s">
        <v>373</v>
      </c>
      <c r="AC109" t="s">
        <v>52</v>
      </c>
      <c r="AD109">
        <v>0</v>
      </c>
      <c r="AE109">
        <v>41</v>
      </c>
      <c r="AF109">
        <v>55</v>
      </c>
      <c r="AG109" t="s">
        <v>80</v>
      </c>
      <c r="AH109" t="s">
        <v>54</v>
      </c>
      <c r="AI109" t="s">
        <v>55</v>
      </c>
      <c r="AJ109" t="s">
        <v>56</v>
      </c>
      <c r="AK109" t="s">
        <v>57</v>
      </c>
      <c r="AL109" t="s">
        <v>96</v>
      </c>
      <c r="AM109" t="s">
        <v>59</v>
      </c>
      <c r="AN109" t="s">
        <v>57</v>
      </c>
      <c r="AO109">
        <v>2</v>
      </c>
      <c r="AP109">
        <v>4</v>
      </c>
      <c r="AQ109" t="str">
        <f t="shared" si="9"/>
        <v>Responder</v>
      </c>
      <c r="AR109" t="s">
        <v>414</v>
      </c>
      <c r="AS109" t="s">
        <v>142</v>
      </c>
      <c r="AT109" t="s">
        <v>143</v>
      </c>
      <c r="AU109">
        <v>0.1</v>
      </c>
      <c r="AV109" s="1">
        <v>43158</v>
      </c>
    </row>
    <row r="110" spans="1:48" x14ac:dyDescent="0.2">
      <c r="A110" t="s">
        <v>417</v>
      </c>
      <c r="B110" t="s">
        <v>48</v>
      </c>
      <c r="C110" t="s">
        <v>49</v>
      </c>
      <c r="D110" t="s">
        <v>418</v>
      </c>
      <c r="E110" s="1">
        <v>43829</v>
      </c>
      <c r="F110" s="1">
        <v>43889</v>
      </c>
      <c r="G110" s="1">
        <v>43102</v>
      </c>
      <c r="H110" s="1">
        <v>43118</v>
      </c>
      <c r="I110" s="1">
        <v>43116</v>
      </c>
      <c r="J110" s="1">
        <v>43136</v>
      </c>
      <c r="K110" s="1">
        <v>43185</v>
      </c>
      <c r="L110" s="1">
        <v>43224</v>
      </c>
      <c r="M110" s="1">
        <v>43179</v>
      </c>
      <c r="N110" s="1">
        <v>44646</v>
      </c>
      <c r="P110" s="1">
        <v>44647</v>
      </c>
      <c r="Q110">
        <v>1</v>
      </c>
      <c r="R110">
        <v>1</v>
      </c>
      <c r="S110">
        <v>49.785714285714285</v>
      </c>
      <c r="T110">
        <f t="shared" si="6"/>
        <v>49.785714285714285</v>
      </c>
      <c r="U110" s="2">
        <v>49.785714290000001</v>
      </c>
      <c r="V110" s="2">
        <v>49.785714290000001</v>
      </c>
      <c r="W110">
        <v>48.225806451612904</v>
      </c>
      <c r="X110">
        <f t="shared" si="10"/>
        <v>48.225806451612904</v>
      </c>
      <c r="Y110" s="2">
        <v>48.22580645</v>
      </c>
      <c r="Z110" s="2">
        <v>48.22580645</v>
      </c>
      <c r="AA110">
        <v>1</v>
      </c>
      <c r="AB110" t="s">
        <v>407</v>
      </c>
      <c r="AC110" t="s">
        <v>52</v>
      </c>
      <c r="AD110">
        <v>0</v>
      </c>
      <c r="AE110">
        <v>42</v>
      </c>
      <c r="AF110">
        <v>45</v>
      </c>
      <c r="AG110" t="s">
        <v>80</v>
      </c>
      <c r="AH110" t="s">
        <v>54</v>
      </c>
      <c r="AI110" t="s">
        <v>55</v>
      </c>
      <c r="AJ110" t="s">
        <v>56</v>
      </c>
      <c r="AK110" t="s">
        <v>55</v>
      </c>
      <c r="AL110" t="s">
        <v>108</v>
      </c>
      <c r="AM110" t="s">
        <v>59</v>
      </c>
      <c r="AN110" t="s">
        <v>60</v>
      </c>
      <c r="AO110">
        <v>2</v>
      </c>
      <c r="AP110">
        <v>4</v>
      </c>
      <c r="AQ110" t="str">
        <f t="shared" si="9"/>
        <v>Responder</v>
      </c>
      <c r="AR110" t="s">
        <v>414</v>
      </c>
      <c r="AS110" t="s">
        <v>142</v>
      </c>
      <c r="AT110" t="s">
        <v>143</v>
      </c>
      <c r="AU110">
        <v>0.05</v>
      </c>
      <c r="AV110" s="1">
        <v>43126</v>
      </c>
    </row>
    <row r="111" spans="1:48" x14ac:dyDescent="0.2">
      <c r="A111" t="s">
        <v>419</v>
      </c>
      <c r="B111" t="s">
        <v>68</v>
      </c>
      <c r="C111" t="s">
        <v>49</v>
      </c>
      <c r="D111" t="s">
        <v>418</v>
      </c>
      <c r="E111" s="1">
        <v>43829</v>
      </c>
      <c r="F111" s="1">
        <v>43889</v>
      </c>
      <c r="G111" s="1">
        <v>43102</v>
      </c>
      <c r="H111" s="1">
        <v>43118</v>
      </c>
      <c r="I111" s="1">
        <v>43116</v>
      </c>
      <c r="J111" s="1">
        <v>43136</v>
      </c>
      <c r="K111" s="1">
        <v>43185</v>
      </c>
      <c r="L111" s="1">
        <v>43224</v>
      </c>
      <c r="M111" s="1">
        <v>43179</v>
      </c>
      <c r="N111" s="1">
        <v>44646</v>
      </c>
      <c r="P111" s="1">
        <v>44647</v>
      </c>
      <c r="Q111">
        <v>1</v>
      </c>
      <c r="R111">
        <v>1</v>
      </c>
      <c r="S111">
        <v>49.785714285714285</v>
      </c>
      <c r="T111">
        <f t="shared" si="6"/>
        <v>49.785714285714285</v>
      </c>
      <c r="U111" s="2">
        <v>49.785714290000001</v>
      </c>
      <c r="V111" s="2">
        <v>49.785714290000001</v>
      </c>
      <c r="W111">
        <v>48.225806451612904</v>
      </c>
      <c r="X111">
        <f t="shared" si="10"/>
        <v>48.225806451612904</v>
      </c>
      <c r="Y111" s="2">
        <v>48.22580645</v>
      </c>
      <c r="Z111" s="2">
        <v>48.22580645</v>
      </c>
      <c r="AA111">
        <v>1</v>
      </c>
      <c r="AB111" t="s">
        <v>407</v>
      </c>
      <c r="AC111" t="s">
        <v>52</v>
      </c>
      <c r="AD111">
        <v>0</v>
      </c>
      <c r="AE111">
        <v>42</v>
      </c>
      <c r="AF111">
        <v>45</v>
      </c>
      <c r="AG111" t="s">
        <v>80</v>
      </c>
      <c r="AH111" t="s">
        <v>54</v>
      </c>
      <c r="AI111" t="s">
        <v>55</v>
      </c>
      <c r="AJ111" t="s">
        <v>56</v>
      </c>
      <c r="AK111" t="s">
        <v>55</v>
      </c>
      <c r="AL111" t="s">
        <v>108</v>
      </c>
      <c r="AM111" t="s">
        <v>59</v>
      </c>
      <c r="AN111" t="s">
        <v>60</v>
      </c>
      <c r="AO111">
        <v>2</v>
      </c>
      <c r="AP111">
        <v>4</v>
      </c>
      <c r="AQ111" t="str">
        <f t="shared" si="9"/>
        <v>Responder</v>
      </c>
      <c r="AR111" t="s">
        <v>414</v>
      </c>
      <c r="AS111" t="s">
        <v>142</v>
      </c>
      <c r="AT111" t="s">
        <v>143</v>
      </c>
      <c r="AU111">
        <v>0.18</v>
      </c>
      <c r="AV111" s="1">
        <v>43133</v>
      </c>
    </row>
    <row r="112" spans="1:48" x14ac:dyDescent="0.2">
      <c r="A112" t="s">
        <v>420</v>
      </c>
      <c r="B112" t="s">
        <v>74</v>
      </c>
      <c r="C112" t="s">
        <v>49</v>
      </c>
      <c r="D112" t="s">
        <v>418</v>
      </c>
      <c r="E112" s="1">
        <v>43829</v>
      </c>
      <c r="F112" s="1">
        <v>43887</v>
      </c>
      <c r="G112" s="1">
        <v>43102</v>
      </c>
      <c r="H112" s="1">
        <v>43118</v>
      </c>
      <c r="I112" s="1">
        <v>43116</v>
      </c>
      <c r="J112" s="1">
        <v>43136</v>
      </c>
      <c r="K112" s="1">
        <v>43185</v>
      </c>
      <c r="L112" s="1">
        <v>43224</v>
      </c>
      <c r="M112" s="1">
        <v>43179</v>
      </c>
      <c r="N112" s="1">
        <v>44646</v>
      </c>
      <c r="P112" s="1">
        <v>44647</v>
      </c>
      <c r="Q112">
        <v>1</v>
      </c>
      <c r="R112">
        <v>1</v>
      </c>
      <c r="S112">
        <v>49.785714285714285</v>
      </c>
      <c r="T112">
        <f t="shared" si="6"/>
        <v>49.785714285714285</v>
      </c>
      <c r="U112" s="2">
        <v>49.785714290000001</v>
      </c>
      <c r="V112" s="2">
        <v>49.785714290000001</v>
      </c>
      <c r="W112">
        <v>48.225806451612904</v>
      </c>
      <c r="X112">
        <f t="shared" si="10"/>
        <v>48.225806451612904</v>
      </c>
      <c r="Y112" s="2">
        <v>48.22580645</v>
      </c>
      <c r="Z112" s="2">
        <v>48.22580645</v>
      </c>
      <c r="AA112">
        <v>1</v>
      </c>
      <c r="AB112" t="s">
        <v>385</v>
      </c>
      <c r="AC112" t="s">
        <v>52</v>
      </c>
      <c r="AD112">
        <v>0</v>
      </c>
      <c r="AE112">
        <v>42</v>
      </c>
      <c r="AF112">
        <v>45</v>
      </c>
      <c r="AG112" t="s">
        <v>80</v>
      </c>
      <c r="AH112" t="s">
        <v>54</v>
      </c>
      <c r="AI112" t="s">
        <v>55</v>
      </c>
      <c r="AJ112" t="s">
        <v>56</v>
      </c>
      <c r="AK112" t="s">
        <v>55</v>
      </c>
      <c r="AL112" t="s">
        <v>108</v>
      </c>
      <c r="AM112" t="s">
        <v>59</v>
      </c>
      <c r="AN112" t="s">
        <v>60</v>
      </c>
      <c r="AO112">
        <v>2</v>
      </c>
      <c r="AP112">
        <v>4</v>
      </c>
      <c r="AQ112" t="str">
        <f t="shared" si="9"/>
        <v>Responder</v>
      </c>
      <c r="AR112" t="s">
        <v>414</v>
      </c>
      <c r="AS112" t="s">
        <v>142</v>
      </c>
      <c r="AT112" t="s">
        <v>143</v>
      </c>
      <c r="AU112">
        <v>0.05</v>
      </c>
      <c r="AV112" s="1">
        <v>43179</v>
      </c>
    </row>
    <row r="113" spans="1:48" x14ac:dyDescent="0.2">
      <c r="A113" t="s">
        <v>421</v>
      </c>
      <c r="B113" t="s">
        <v>48</v>
      </c>
      <c r="C113" t="s">
        <v>49</v>
      </c>
      <c r="D113" t="s">
        <v>422</v>
      </c>
      <c r="E113" s="1">
        <v>43829</v>
      </c>
      <c r="F113" s="1">
        <v>43901</v>
      </c>
      <c r="G113" s="1">
        <v>43179</v>
      </c>
      <c r="H113" s="1">
        <v>43180</v>
      </c>
      <c r="I113" s="1">
        <v>43187</v>
      </c>
      <c r="J113" s="1">
        <v>43217</v>
      </c>
      <c r="K113" s="1">
        <v>43267</v>
      </c>
      <c r="L113" s="1">
        <v>43312</v>
      </c>
      <c r="M113" s="1">
        <v>43263</v>
      </c>
      <c r="N113" s="1">
        <v>45002</v>
      </c>
      <c r="Q113">
        <v>0</v>
      </c>
      <c r="R113">
        <v>0</v>
      </c>
      <c r="S113">
        <f t="shared" si="5"/>
        <v>58.6</v>
      </c>
      <c r="T113">
        <f t="shared" si="6"/>
        <v>58.6</v>
      </c>
      <c r="U113" s="2">
        <v>58.6</v>
      </c>
      <c r="V113" s="2">
        <v>58.6</v>
      </c>
      <c r="W113">
        <f t="shared" si="7"/>
        <v>57.166666666666664</v>
      </c>
      <c r="X113">
        <f>IF(R113=0, DATEDIF(M113,N113,"M")+DATEDIF(M113,N113,"MD")/DAY(EOMONTH(M113,0)), DATEDIF(M113,P113,"M")+DATEDIF(M113,P113,"MD")/DAY(EOMONTH(M113,0)))</f>
        <v>57.166666666666664</v>
      </c>
      <c r="Y113" s="2">
        <v>57.166666669999998</v>
      </c>
      <c r="Z113" s="2">
        <v>57.166666669999998</v>
      </c>
      <c r="AA113">
        <v>1</v>
      </c>
      <c r="AB113" t="s">
        <v>373</v>
      </c>
      <c r="AC113" t="s">
        <v>52</v>
      </c>
      <c r="AD113">
        <v>1</v>
      </c>
      <c r="AE113">
        <v>43</v>
      </c>
      <c r="AF113">
        <v>61</v>
      </c>
      <c r="AG113" t="s">
        <v>80</v>
      </c>
      <c r="AH113" t="s">
        <v>54</v>
      </c>
      <c r="AI113" t="s">
        <v>55</v>
      </c>
      <c r="AJ113" t="s">
        <v>56</v>
      </c>
      <c r="AK113" t="s">
        <v>55</v>
      </c>
      <c r="AL113" t="s">
        <v>81</v>
      </c>
      <c r="AM113" t="s">
        <v>59</v>
      </c>
      <c r="AN113" t="s">
        <v>60</v>
      </c>
      <c r="AO113">
        <v>0</v>
      </c>
      <c r="AP113">
        <v>2</v>
      </c>
      <c r="AQ113" t="str">
        <f t="shared" si="9"/>
        <v>Responder</v>
      </c>
      <c r="AR113">
        <v>0.2</v>
      </c>
      <c r="AS113" t="s">
        <v>142</v>
      </c>
      <c r="AT113" t="s">
        <v>143</v>
      </c>
      <c r="AU113">
        <v>0.05</v>
      </c>
      <c r="AV113" s="1">
        <v>43187</v>
      </c>
    </row>
    <row r="114" spans="1:48" x14ac:dyDescent="0.2">
      <c r="A114" t="s">
        <v>423</v>
      </c>
      <c r="B114" t="s">
        <v>68</v>
      </c>
      <c r="C114" t="s">
        <v>49</v>
      </c>
      <c r="D114" t="s">
        <v>422</v>
      </c>
      <c r="E114" s="1">
        <v>43829</v>
      </c>
      <c r="F114" s="1">
        <v>43898</v>
      </c>
      <c r="G114" s="1">
        <v>43179</v>
      </c>
      <c r="H114" s="1">
        <v>43180</v>
      </c>
      <c r="I114" s="1">
        <v>43187</v>
      </c>
      <c r="J114" s="1">
        <v>43217</v>
      </c>
      <c r="K114" s="1">
        <v>43267</v>
      </c>
      <c r="L114" s="1">
        <v>43312</v>
      </c>
      <c r="M114" s="1">
        <v>43263</v>
      </c>
      <c r="N114" s="1">
        <v>45002</v>
      </c>
      <c r="Q114">
        <v>0</v>
      </c>
      <c r="R114">
        <v>0</v>
      </c>
      <c r="S114">
        <f t="shared" si="5"/>
        <v>58.6</v>
      </c>
      <c r="T114">
        <f t="shared" si="6"/>
        <v>58.6</v>
      </c>
      <c r="U114" s="2">
        <v>58.6</v>
      </c>
      <c r="V114" s="2">
        <v>58.6</v>
      </c>
      <c r="W114">
        <f t="shared" si="7"/>
        <v>57.166666666666664</v>
      </c>
      <c r="X114">
        <f t="shared" ref="X114:X141" si="11">IF(R114=0, DATEDIF(M114,N114,"M")+DATEDIF(M114,N114,"MD")/DAY(EOMONTH(M114,0)), DATEDIF(M114,P114,"M")+DATEDIF(M114,P114,"MD")/DAY(EOMONTH(M114,0)))</f>
        <v>57.166666666666664</v>
      </c>
      <c r="Y114" s="2">
        <v>57.166666669999998</v>
      </c>
      <c r="Z114" s="2">
        <v>57.166666669999998</v>
      </c>
      <c r="AA114">
        <v>1</v>
      </c>
      <c r="AB114" t="s">
        <v>375</v>
      </c>
      <c r="AC114" t="s">
        <v>52</v>
      </c>
      <c r="AD114">
        <v>1</v>
      </c>
      <c r="AE114">
        <v>43</v>
      </c>
      <c r="AF114">
        <v>61</v>
      </c>
      <c r="AG114" t="s">
        <v>80</v>
      </c>
      <c r="AH114" t="s">
        <v>54</v>
      </c>
      <c r="AI114" t="s">
        <v>55</v>
      </c>
      <c r="AJ114" t="s">
        <v>56</v>
      </c>
      <c r="AK114" t="s">
        <v>55</v>
      </c>
      <c r="AL114" t="s">
        <v>81</v>
      </c>
      <c r="AM114" t="s">
        <v>59</v>
      </c>
      <c r="AN114" t="s">
        <v>60</v>
      </c>
      <c r="AO114">
        <v>0</v>
      </c>
      <c r="AP114">
        <v>2</v>
      </c>
      <c r="AQ114" t="str">
        <f t="shared" si="9"/>
        <v>Responder</v>
      </c>
      <c r="AR114">
        <v>0.2</v>
      </c>
      <c r="AS114" t="s">
        <v>142</v>
      </c>
      <c r="AT114" t="s">
        <v>143</v>
      </c>
      <c r="AU114">
        <v>0.29599999999999999</v>
      </c>
      <c r="AV114" s="1">
        <v>43217</v>
      </c>
    </row>
    <row r="115" spans="1:48" x14ac:dyDescent="0.2">
      <c r="A115" t="s">
        <v>424</v>
      </c>
      <c r="B115" t="s">
        <v>74</v>
      </c>
      <c r="C115" t="s">
        <v>49</v>
      </c>
      <c r="D115" t="s">
        <v>422</v>
      </c>
      <c r="E115" s="1">
        <v>43829</v>
      </c>
      <c r="F115" s="1">
        <v>43891</v>
      </c>
      <c r="G115" s="1">
        <v>43179</v>
      </c>
      <c r="H115" s="1">
        <v>43180</v>
      </c>
      <c r="I115" s="1">
        <v>43187</v>
      </c>
      <c r="J115" s="1">
        <v>43217</v>
      </c>
      <c r="K115" s="1">
        <v>43267</v>
      </c>
      <c r="L115" s="1">
        <v>43312</v>
      </c>
      <c r="M115" s="1">
        <v>43263</v>
      </c>
      <c r="N115" s="1">
        <v>45002</v>
      </c>
      <c r="Q115">
        <v>0</v>
      </c>
      <c r="R115">
        <v>0</v>
      </c>
      <c r="S115">
        <f t="shared" si="5"/>
        <v>58.6</v>
      </c>
      <c r="T115">
        <f t="shared" si="6"/>
        <v>58.6</v>
      </c>
      <c r="U115" s="2">
        <v>58.6</v>
      </c>
      <c r="V115" s="2">
        <v>58.6</v>
      </c>
      <c r="W115">
        <f t="shared" si="7"/>
        <v>57.166666666666664</v>
      </c>
      <c r="X115">
        <f t="shared" si="11"/>
        <v>57.166666666666664</v>
      </c>
      <c r="Y115" s="2">
        <v>57.166666669999998</v>
      </c>
      <c r="Z115" s="2">
        <v>57.166666669999998</v>
      </c>
      <c r="AA115">
        <v>1</v>
      </c>
      <c r="AB115" t="s">
        <v>396</v>
      </c>
      <c r="AC115" t="s">
        <v>52</v>
      </c>
      <c r="AD115">
        <v>1</v>
      </c>
      <c r="AE115">
        <v>43</v>
      </c>
      <c r="AF115">
        <v>61</v>
      </c>
      <c r="AG115" t="s">
        <v>80</v>
      </c>
      <c r="AH115" t="s">
        <v>54</v>
      </c>
      <c r="AI115" t="s">
        <v>55</v>
      </c>
      <c r="AJ115" t="s">
        <v>56</v>
      </c>
      <c r="AK115" t="s">
        <v>55</v>
      </c>
      <c r="AL115" t="s">
        <v>81</v>
      </c>
      <c r="AM115" t="s">
        <v>59</v>
      </c>
      <c r="AN115" t="s">
        <v>60</v>
      </c>
      <c r="AO115">
        <v>0</v>
      </c>
      <c r="AP115">
        <v>2</v>
      </c>
      <c r="AQ115" t="str">
        <f t="shared" si="9"/>
        <v>Responder</v>
      </c>
      <c r="AR115">
        <v>0.2</v>
      </c>
      <c r="AS115" t="s">
        <v>142</v>
      </c>
      <c r="AT115" t="s">
        <v>143</v>
      </c>
      <c r="AU115">
        <v>0.05</v>
      </c>
      <c r="AV115" s="1">
        <v>43263</v>
      </c>
    </row>
    <row r="116" spans="1:48" x14ac:dyDescent="0.2">
      <c r="A116" t="s">
        <v>425</v>
      </c>
      <c r="B116" t="s">
        <v>48</v>
      </c>
      <c r="C116" t="s">
        <v>49</v>
      </c>
      <c r="D116" t="s">
        <v>426</v>
      </c>
      <c r="E116" s="1">
        <v>43830</v>
      </c>
      <c r="F116" s="1">
        <v>43889</v>
      </c>
      <c r="G116" s="1">
        <v>43375</v>
      </c>
      <c r="H116" s="1">
        <v>43425</v>
      </c>
      <c r="I116" s="1">
        <v>43432</v>
      </c>
      <c r="J116" s="1">
        <v>43440</v>
      </c>
      <c r="K116" s="1">
        <v>43496</v>
      </c>
      <c r="L116" s="1">
        <v>43553</v>
      </c>
      <c r="M116" s="1">
        <v>43488</v>
      </c>
      <c r="N116" s="1">
        <v>44826</v>
      </c>
      <c r="Q116">
        <v>0</v>
      </c>
      <c r="R116">
        <v>0</v>
      </c>
      <c r="S116">
        <f t="shared" si="5"/>
        <v>45.516129032258064</v>
      </c>
      <c r="T116">
        <f t="shared" si="6"/>
        <v>45.516129032258064</v>
      </c>
      <c r="U116" s="2">
        <v>45.516129030000002</v>
      </c>
      <c r="V116" s="2">
        <v>45.516129030000002</v>
      </c>
      <c r="W116">
        <f t="shared" si="7"/>
        <v>43.967741935483872</v>
      </c>
      <c r="X116">
        <f t="shared" si="11"/>
        <v>43.967741935483872</v>
      </c>
      <c r="Y116" s="2">
        <v>43.967741940000003</v>
      </c>
      <c r="Z116" s="2">
        <v>43.967741940000003</v>
      </c>
      <c r="AA116">
        <v>1</v>
      </c>
      <c r="AB116" t="s">
        <v>407</v>
      </c>
      <c r="AC116" t="s">
        <v>52</v>
      </c>
      <c r="AD116">
        <v>0</v>
      </c>
      <c r="AE116">
        <v>44</v>
      </c>
      <c r="AF116">
        <v>59</v>
      </c>
      <c r="AG116" t="s">
        <v>80</v>
      </c>
      <c r="AH116" t="s">
        <v>54</v>
      </c>
      <c r="AI116" t="s">
        <v>55</v>
      </c>
      <c r="AJ116" t="s">
        <v>56</v>
      </c>
      <c r="AK116" t="s">
        <v>55</v>
      </c>
      <c r="AL116" t="s">
        <v>108</v>
      </c>
      <c r="AM116" t="s">
        <v>109</v>
      </c>
      <c r="AN116" t="s">
        <v>60</v>
      </c>
      <c r="AO116">
        <v>1</v>
      </c>
      <c r="AP116">
        <v>2</v>
      </c>
      <c r="AQ116" t="str">
        <f t="shared" si="9"/>
        <v>Responder</v>
      </c>
      <c r="AR116">
        <v>0.2</v>
      </c>
      <c r="AS116" t="s">
        <v>142</v>
      </c>
      <c r="AT116" t="s">
        <v>143</v>
      </c>
      <c r="AU116">
        <v>0.11799999999999999</v>
      </c>
      <c r="AV116" s="1">
        <v>43425</v>
      </c>
    </row>
    <row r="117" spans="1:48" x14ac:dyDescent="0.2">
      <c r="A117" t="s">
        <v>427</v>
      </c>
      <c r="B117" t="s">
        <v>68</v>
      </c>
      <c r="C117" t="s">
        <v>49</v>
      </c>
      <c r="D117" t="s">
        <v>426</v>
      </c>
      <c r="E117" s="1">
        <v>43830</v>
      </c>
      <c r="F117" s="1">
        <v>43898</v>
      </c>
      <c r="G117" s="1">
        <v>43375</v>
      </c>
      <c r="H117" s="1">
        <v>43425</v>
      </c>
      <c r="I117" s="1">
        <v>43432</v>
      </c>
      <c r="J117" s="1">
        <v>43440</v>
      </c>
      <c r="K117" s="1">
        <v>43496</v>
      </c>
      <c r="L117" s="1">
        <v>43553</v>
      </c>
      <c r="M117" s="1">
        <v>43488</v>
      </c>
      <c r="N117" s="1">
        <v>44826</v>
      </c>
      <c r="Q117">
        <v>0</v>
      </c>
      <c r="R117">
        <v>0</v>
      </c>
      <c r="S117">
        <f t="shared" si="5"/>
        <v>45.516129032258064</v>
      </c>
      <c r="T117">
        <f t="shared" si="6"/>
        <v>45.516129032258064</v>
      </c>
      <c r="U117" s="2">
        <v>45.516129030000002</v>
      </c>
      <c r="V117" s="2">
        <v>45.516129030000002</v>
      </c>
      <c r="W117">
        <f t="shared" si="7"/>
        <v>43.967741935483872</v>
      </c>
      <c r="X117">
        <f t="shared" si="11"/>
        <v>43.967741935483872</v>
      </c>
      <c r="Y117" s="2">
        <v>43.967741940000003</v>
      </c>
      <c r="Z117" s="2">
        <v>43.967741940000003</v>
      </c>
      <c r="AA117">
        <v>1</v>
      </c>
      <c r="AB117" t="s">
        <v>375</v>
      </c>
      <c r="AC117" t="s">
        <v>52</v>
      </c>
      <c r="AD117">
        <v>0</v>
      </c>
      <c r="AE117">
        <v>44</v>
      </c>
      <c r="AF117">
        <v>59</v>
      </c>
      <c r="AG117" t="s">
        <v>80</v>
      </c>
      <c r="AH117" t="s">
        <v>54</v>
      </c>
      <c r="AI117" t="s">
        <v>55</v>
      </c>
      <c r="AJ117" t="s">
        <v>56</v>
      </c>
      <c r="AK117" t="s">
        <v>55</v>
      </c>
      <c r="AL117" t="s">
        <v>108</v>
      </c>
      <c r="AM117" t="s">
        <v>109</v>
      </c>
      <c r="AN117" t="s">
        <v>60</v>
      </c>
      <c r="AO117">
        <v>1</v>
      </c>
      <c r="AP117">
        <v>2</v>
      </c>
      <c r="AQ117" t="str">
        <f t="shared" si="9"/>
        <v>Responder</v>
      </c>
      <c r="AR117">
        <v>0.2</v>
      </c>
      <c r="AS117" t="s">
        <v>142</v>
      </c>
      <c r="AT117" t="s">
        <v>143</v>
      </c>
      <c r="AU117">
        <v>0.10199999999999999</v>
      </c>
      <c r="AV117" s="1">
        <v>43440</v>
      </c>
    </row>
    <row r="118" spans="1:48" x14ac:dyDescent="0.2">
      <c r="A118" t="s">
        <v>428</v>
      </c>
      <c r="B118" t="s">
        <v>74</v>
      </c>
      <c r="C118" t="s">
        <v>49</v>
      </c>
      <c r="D118" t="s">
        <v>426</v>
      </c>
      <c r="E118" s="1">
        <v>43830</v>
      </c>
      <c r="F118" s="1">
        <v>43887</v>
      </c>
      <c r="G118" s="1">
        <v>43375</v>
      </c>
      <c r="H118" s="1">
        <v>43425</v>
      </c>
      <c r="I118" s="1">
        <v>43432</v>
      </c>
      <c r="J118" s="1">
        <v>43440</v>
      </c>
      <c r="K118" s="1">
        <v>43496</v>
      </c>
      <c r="L118" s="1">
        <v>43553</v>
      </c>
      <c r="M118" s="1">
        <v>43488</v>
      </c>
      <c r="N118" s="1">
        <v>44826</v>
      </c>
      <c r="Q118">
        <v>0</v>
      </c>
      <c r="R118">
        <v>0</v>
      </c>
      <c r="S118">
        <f t="shared" si="5"/>
        <v>45.516129032258064</v>
      </c>
      <c r="T118">
        <f t="shared" si="6"/>
        <v>45.516129032258064</v>
      </c>
      <c r="U118" s="2">
        <v>45.516129030000002</v>
      </c>
      <c r="V118" s="2">
        <v>45.516129030000002</v>
      </c>
      <c r="W118">
        <f t="shared" si="7"/>
        <v>43.967741935483872</v>
      </c>
      <c r="X118">
        <f t="shared" si="11"/>
        <v>43.967741935483872</v>
      </c>
      <c r="Y118" s="2">
        <v>43.967741940000003</v>
      </c>
      <c r="Z118" s="2">
        <v>43.967741940000003</v>
      </c>
      <c r="AA118">
        <v>1</v>
      </c>
      <c r="AB118" t="s">
        <v>385</v>
      </c>
      <c r="AC118" t="s">
        <v>52</v>
      </c>
      <c r="AD118">
        <v>0</v>
      </c>
      <c r="AE118">
        <v>44</v>
      </c>
      <c r="AF118">
        <v>59</v>
      </c>
      <c r="AG118" t="s">
        <v>80</v>
      </c>
      <c r="AH118" t="s">
        <v>54</v>
      </c>
      <c r="AI118" t="s">
        <v>55</v>
      </c>
      <c r="AJ118" t="s">
        <v>56</v>
      </c>
      <c r="AK118" t="s">
        <v>55</v>
      </c>
      <c r="AL118" t="s">
        <v>108</v>
      </c>
      <c r="AM118" t="s">
        <v>109</v>
      </c>
      <c r="AN118" t="s">
        <v>60</v>
      </c>
      <c r="AO118">
        <v>1</v>
      </c>
      <c r="AP118">
        <v>2</v>
      </c>
      <c r="AQ118" t="str">
        <f t="shared" si="9"/>
        <v>Responder</v>
      </c>
      <c r="AR118">
        <v>0.2</v>
      </c>
      <c r="AS118" t="s">
        <v>142</v>
      </c>
      <c r="AT118" t="s">
        <v>143</v>
      </c>
      <c r="AU118">
        <v>0.13</v>
      </c>
      <c r="AV118" s="1">
        <v>43488</v>
      </c>
    </row>
    <row r="119" spans="1:48" x14ac:dyDescent="0.2">
      <c r="A119" t="s">
        <v>429</v>
      </c>
      <c r="B119" t="s">
        <v>48</v>
      </c>
      <c r="C119" t="s">
        <v>49</v>
      </c>
      <c r="D119" t="s">
        <v>430</v>
      </c>
      <c r="E119" s="1">
        <v>43830</v>
      </c>
      <c r="F119" s="1">
        <v>43888</v>
      </c>
      <c r="G119" s="1">
        <v>42991</v>
      </c>
      <c r="H119" s="1">
        <v>43006</v>
      </c>
      <c r="I119" s="1">
        <v>43018</v>
      </c>
      <c r="J119" s="1">
        <v>43025</v>
      </c>
      <c r="K119" s="1">
        <v>43066</v>
      </c>
      <c r="L119" s="1">
        <v>43109</v>
      </c>
      <c r="M119" s="1">
        <v>43059</v>
      </c>
      <c r="N119" s="1">
        <v>44320</v>
      </c>
      <c r="Q119">
        <v>0</v>
      </c>
      <c r="R119">
        <v>0</v>
      </c>
      <c r="S119">
        <f t="shared" si="5"/>
        <v>42.548387096774192</v>
      </c>
      <c r="T119">
        <f t="shared" si="6"/>
        <v>42.548387096774192</v>
      </c>
      <c r="U119" s="2">
        <v>42.548387099999999</v>
      </c>
      <c r="V119" s="2">
        <v>42.548387099999999</v>
      </c>
      <c r="W119">
        <f t="shared" si="7"/>
        <v>41.466666666666669</v>
      </c>
      <c r="X119">
        <f t="shared" si="11"/>
        <v>41.466666666666669</v>
      </c>
      <c r="Y119" s="2">
        <v>41.466666670000002</v>
      </c>
      <c r="Z119" s="2">
        <v>41.466666670000002</v>
      </c>
      <c r="AA119">
        <v>1</v>
      </c>
      <c r="AB119" t="s">
        <v>370</v>
      </c>
      <c r="AC119" t="s">
        <v>119</v>
      </c>
      <c r="AD119">
        <v>1</v>
      </c>
      <c r="AE119">
        <v>45</v>
      </c>
      <c r="AF119">
        <v>56</v>
      </c>
      <c r="AG119" t="s">
        <v>80</v>
      </c>
      <c r="AH119" t="s">
        <v>54</v>
      </c>
      <c r="AI119" t="s">
        <v>57</v>
      </c>
      <c r="AJ119" t="s">
        <v>56</v>
      </c>
      <c r="AK119" t="s">
        <v>57</v>
      </c>
      <c r="AL119" t="s">
        <v>197</v>
      </c>
      <c r="AM119" t="s">
        <v>109</v>
      </c>
      <c r="AN119" t="s">
        <v>60</v>
      </c>
      <c r="AO119">
        <v>1</v>
      </c>
      <c r="AP119">
        <v>9</v>
      </c>
      <c r="AQ119" t="str">
        <f t="shared" si="9"/>
        <v>Responder</v>
      </c>
      <c r="AR119" t="s">
        <v>431</v>
      </c>
      <c r="AS119" t="s">
        <v>326</v>
      </c>
      <c r="AT119" t="s">
        <v>143</v>
      </c>
      <c r="AU119">
        <v>1.1599999999999999</v>
      </c>
      <c r="AV119" s="1">
        <v>43019</v>
      </c>
    </row>
    <row r="120" spans="1:48" x14ac:dyDescent="0.2">
      <c r="A120" t="s">
        <v>432</v>
      </c>
      <c r="B120" t="s">
        <v>68</v>
      </c>
      <c r="C120" t="s">
        <v>49</v>
      </c>
      <c r="D120" t="s">
        <v>430</v>
      </c>
      <c r="E120" s="1">
        <v>43830</v>
      </c>
      <c r="F120" s="1">
        <v>43901</v>
      </c>
      <c r="G120" s="1">
        <v>42991</v>
      </c>
      <c r="H120" s="1">
        <v>43006</v>
      </c>
      <c r="I120" s="1">
        <v>43018</v>
      </c>
      <c r="J120" s="1">
        <v>43025</v>
      </c>
      <c r="K120" s="1">
        <v>43066</v>
      </c>
      <c r="L120" s="1">
        <v>43109</v>
      </c>
      <c r="M120" s="1">
        <v>43059</v>
      </c>
      <c r="N120" s="1">
        <v>44320</v>
      </c>
      <c r="Q120">
        <v>0</v>
      </c>
      <c r="R120">
        <v>0</v>
      </c>
      <c r="S120">
        <f t="shared" si="5"/>
        <v>42.548387096774192</v>
      </c>
      <c r="T120">
        <f t="shared" si="6"/>
        <v>42.548387096774192</v>
      </c>
      <c r="U120" s="2">
        <v>42.548387099999999</v>
      </c>
      <c r="V120" s="2">
        <v>42.548387099999999</v>
      </c>
      <c r="W120">
        <f t="shared" si="7"/>
        <v>41.466666666666669</v>
      </c>
      <c r="X120">
        <f t="shared" si="11"/>
        <v>41.466666666666669</v>
      </c>
      <c r="Y120" s="2">
        <v>41.466666670000002</v>
      </c>
      <c r="Z120" s="2">
        <v>41.466666670000002</v>
      </c>
      <c r="AA120">
        <v>1</v>
      </c>
      <c r="AB120" t="s">
        <v>373</v>
      </c>
      <c r="AC120" t="s">
        <v>119</v>
      </c>
      <c r="AD120">
        <v>1</v>
      </c>
      <c r="AE120">
        <v>45</v>
      </c>
      <c r="AF120">
        <v>56</v>
      </c>
      <c r="AG120" t="s">
        <v>80</v>
      </c>
      <c r="AH120" t="s">
        <v>54</v>
      </c>
      <c r="AI120" t="s">
        <v>57</v>
      </c>
      <c r="AJ120" t="s">
        <v>56</v>
      </c>
      <c r="AK120" t="s">
        <v>57</v>
      </c>
      <c r="AL120" t="s">
        <v>197</v>
      </c>
      <c r="AM120" t="s">
        <v>109</v>
      </c>
      <c r="AN120" t="s">
        <v>60</v>
      </c>
      <c r="AO120">
        <v>1</v>
      </c>
      <c r="AP120">
        <v>9</v>
      </c>
      <c r="AQ120" t="str">
        <f t="shared" si="9"/>
        <v>Responder</v>
      </c>
      <c r="AR120" t="s">
        <v>431</v>
      </c>
      <c r="AS120" t="s">
        <v>326</v>
      </c>
      <c r="AT120" t="s">
        <v>143</v>
      </c>
      <c r="AU120">
        <v>1.67</v>
      </c>
      <c r="AV120" s="1">
        <v>43026</v>
      </c>
    </row>
    <row r="121" spans="1:48" x14ac:dyDescent="0.2">
      <c r="A121" t="s">
        <v>433</v>
      </c>
      <c r="B121" t="s">
        <v>74</v>
      </c>
      <c r="C121" t="s">
        <v>49</v>
      </c>
      <c r="D121" t="s">
        <v>430</v>
      </c>
      <c r="E121" s="1">
        <v>43830</v>
      </c>
      <c r="F121" s="1">
        <v>43898</v>
      </c>
      <c r="G121" s="1">
        <v>42991</v>
      </c>
      <c r="H121" s="1">
        <v>43006</v>
      </c>
      <c r="I121" s="1">
        <v>43018</v>
      </c>
      <c r="J121" s="1">
        <v>43025</v>
      </c>
      <c r="K121" s="1">
        <v>43066</v>
      </c>
      <c r="L121" s="1">
        <v>43109</v>
      </c>
      <c r="M121" s="1">
        <v>43059</v>
      </c>
      <c r="N121" s="1">
        <v>44320</v>
      </c>
      <c r="Q121">
        <v>0</v>
      </c>
      <c r="R121">
        <v>0</v>
      </c>
      <c r="S121">
        <f t="shared" si="5"/>
        <v>42.548387096774192</v>
      </c>
      <c r="T121">
        <f t="shared" si="6"/>
        <v>42.548387096774192</v>
      </c>
      <c r="U121" s="2">
        <v>42.548387099999999</v>
      </c>
      <c r="V121" s="2">
        <v>42.548387099999999</v>
      </c>
      <c r="W121">
        <f t="shared" si="7"/>
        <v>41.466666666666669</v>
      </c>
      <c r="X121">
        <f t="shared" si="11"/>
        <v>41.466666666666669</v>
      </c>
      <c r="Y121" s="2">
        <v>41.466666670000002</v>
      </c>
      <c r="Z121" s="2">
        <v>41.466666670000002</v>
      </c>
      <c r="AA121">
        <v>1</v>
      </c>
      <c r="AB121" t="s">
        <v>375</v>
      </c>
      <c r="AC121" t="s">
        <v>119</v>
      </c>
      <c r="AD121">
        <v>1</v>
      </c>
      <c r="AE121">
        <v>45</v>
      </c>
      <c r="AF121">
        <v>56</v>
      </c>
      <c r="AG121" t="s">
        <v>80</v>
      </c>
      <c r="AH121" t="s">
        <v>54</v>
      </c>
      <c r="AI121" t="s">
        <v>57</v>
      </c>
      <c r="AJ121" t="s">
        <v>56</v>
      </c>
      <c r="AK121" t="s">
        <v>57</v>
      </c>
      <c r="AL121" t="s">
        <v>197</v>
      </c>
      <c r="AM121" t="s">
        <v>109</v>
      </c>
      <c r="AN121" t="s">
        <v>60</v>
      </c>
      <c r="AO121">
        <v>1</v>
      </c>
      <c r="AP121">
        <v>9</v>
      </c>
      <c r="AQ121" t="str">
        <f t="shared" si="9"/>
        <v>Responder</v>
      </c>
      <c r="AR121" t="s">
        <v>431</v>
      </c>
      <c r="AS121" t="s">
        <v>326</v>
      </c>
      <c r="AT121" t="s">
        <v>143</v>
      </c>
      <c r="AU121">
        <v>0.16200000000000001</v>
      </c>
      <c r="AV121" s="1">
        <v>43060</v>
      </c>
    </row>
    <row r="122" spans="1:48" x14ac:dyDescent="0.2">
      <c r="A122" t="s">
        <v>434</v>
      </c>
      <c r="B122" t="s">
        <v>48</v>
      </c>
      <c r="C122" t="s">
        <v>49</v>
      </c>
      <c r="D122" t="s">
        <v>435</v>
      </c>
      <c r="E122" s="1">
        <v>43830</v>
      </c>
      <c r="F122" s="1">
        <v>43889</v>
      </c>
      <c r="G122" s="1">
        <v>42374</v>
      </c>
      <c r="H122" s="1">
        <v>42396</v>
      </c>
      <c r="I122" s="1">
        <v>42409</v>
      </c>
      <c r="J122" s="1">
        <v>42422</v>
      </c>
      <c r="K122" s="1">
        <v>42465</v>
      </c>
      <c r="L122" s="1">
        <v>42503</v>
      </c>
      <c r="M122" s="1">
        <v>42458</v>
      </c>
      <c r="N122" s="1">
        <v>43247</v>
      </c>
      <c r="O122" s="1">
        <v>42641</v>
      </c>
      <c r="P122" s="1">
        <v>43248</v>
      </c>
      <c r="Q122">
        <v>1</v>
      </c>
      <c r="R122">
        <v>1</v>
      </c>
      <c r="S122">
        <f t="shared" si="5"/>
        <v>7.2068965517241379</v>
      </c>
      <c r="T122">
        <f t="shared" si="6"/>
        <v>27.206896551724139</v>
      </c>
      <c r="U122" s="2">
        <v>7.2068965519999999</v>
      </c>
      <c r="V122" s="2">
        <v>27.20689655</v>
      </c>
      <c r="W122">
        <f t="shared" si="7"/>
        <v>5.967741935483871</v>
      </c>
      <c r="X122">
        <f t="shared" si="11"/>
        <v>25.93548387096774</v>
      </c>
      <c r="Y122" s="2">
        <v>5.9677419350000003</v>
      </c>
      <c r="Z122" s="2">
        <v>25.935483869999999</v>
      </c>
      <c r="AA122">
        <v>1</v>
      </c>
      <c r="AB122" t="s">
        <v>407</v>
      </c>
      <c r="AC122" t="s">
        <v>52</v>
      </c>
      <c r="AD122">
        <v>0</v>
      </c>
      <c r="AE122">
        <v>46</v>
      </c>
      <c r="AF122">
        <v>47</v>
      </c>
      <c r="AG122" t="s">
        <v>80</v>
      </c>
      <c r="AH122" t="s">
        <v>54</v>
      </c>
      <c r="AI122" t="s">
        <v>57</v>
      </c>
      <c r="AJ122" t="s">
        <v>56</v>
      </c>
      <c r="AK122" t="s">
        <v>57</v>
      </c>
      <c r="AL122" t="s">
        <v>108</v>
      </c>
      <c r="AM122" t="s">
        <v>109</v>
      </c>
      <c r="AN122" t="s">
        <v>57</v>
      </c>
      <c r="AO122">
        <v>1</v>
      </c>
      <c r="AP122">
        <v>0</v>
      </c>
      <c r="AQ122" t="str">
        <f t="shared" si="9"/>
        <v>Non-Responder</v>
      </c>
      <c r="AR122" t="s">
        <v>436</v>
      </c>
      <c r="AS122" t="s">
        <v>62</v>
      </c>
      <c r="AT122" t="s">
        <v>63</v>
      </c>
      <c r="AU122">
        <v>0.17199999999999999</v>
      </c>
      <c r="AV122" s="1">
        <v>42409</v>
      </c>
    </row>
    <row r="123" spans="1:48" x14ac:dyDescent="0.2">
      <c r="A123" t="s">
        <v>437</v>
      </c>
      <c r="B123" t="s">
        <v>68</v>
      </c>
      <c r="C123" t="s">
        <v>49</v>
      </c>
      <c r="D123" t="s">
        <v>435</v>
      </c>
      <c r="E123" s="1">
        <v>43830</v>
      </c>
      <c r="F123" s="1">
        <v>43891</v>
      </c>
      <c r="G123" s="1">
        <v>42374</v>
      </c>
      <c r="H123" s="1">
        <v>42396</v>
      </c>
      <c r="I123" s="1">
        <v>42409</v>
      </c>
      <c r="J123" s="1">
        <v>42422</v>
      </c>
      <c r="K123" s="1">
        <v>42465</v>
      </c>
      <c r="L123" s="1">
        <v>42503</v>
      </c>
      <c r="M123" s="1">
        <v>42458</v>
      </c>
      <c r="N123" s="1">
        <v>43247</v>
      </c>
      <c r="O123" s="1">
        <v>42641</v>
      </c>
      <c r="P123" s="1">
        <v>43248</v>
      </c>
      <c r="Q123">
        <v>1</v>
      </c>
      <c r="R123">
        <v>1</v>
      </c>
      <c r="S123">
        <f t="shared" si="5"/>
        <v>7.2068965517241379</v>
      </c>
      <c r="T123">
        <f t="shared" si="6"/>
        <v>27.206896551724139</v>
      </c>
      <c r="U123" s="2">
        <v>7.2068965519999999</v>
      </c>
      <c r="V123" s="2">
        <v>27.20689655</v>
      </c>
      <c r="W123">
        <f t="shared" si="7"/>
        <v>5.967741935483871</v>
      </c>
      <c r="X123">
        <f t="shared" si="11"/>
        <v>25.93548387096774</v>
      </c>
      <c r="Y123" s="2">
        <v>5.9677419350000003</v>
      </c>
      <c r="Z123" s="2">
        <v>25.935483869999999</v>
      </c>
      <c r="AA123">
        <v>1</v>
      </c>
      <c r="AB123" t="s">
        <v>396</v>
      </c>
      <c r="AC123" t="s">
        <v>52</v>
      </c>
      <c r="AD123">
        <v>0</v>
      </c>
      <c r="AE123">
        <v>46</v>
      </c>
      <c r="AF123">
        <v>47</v>
      </c>
      <c r="AG123" t="s">
        <v>80</v>
      </c>
      <c r="AH123" t="s">
        <v>54</v>
      </c>
      <c r="AI123" t="s">
        <v>57</v>
      </c>
      <c r="AJ123" t="s">
        <v>56</v>
      </c>
      <c r="AK123" t="s">
        <v>57</v>
      </c>
      <c r="AL123" t="s">
        <v>108</v>
      </c>
      <c r="AM123" t="s">
        <v>109</v>
      </c>
      <c r="AN123" t="s">
        <v>57</v>
      </c>
      <c r="AO123">
        <v>1</v>
      </c>
      <c r="AP123">
        <v>0</v>
      </c>
      <c r="AQ123" t="str">
        <f t="shared" si="9"/>
        <v>Non-Responder</v>
      </c>
      <c r="AR123" t="s">
        <v>436</v>
      </c>
      <c r="AS123" t="s">
        <v>62</v>
      </c>
      <c r="AT123" t="s">
        <v>63</v>
      </c>
      <c r="AU123">
        <v>0.11799999999999999</v>
      </c>
      <c r="AV123" s="1">
        <v>42419</v>
      </c>
    </row>
    <row r="124" spans="1:48" x14ac:dyDescent="0.2">
      <c r="A124" t="s">
        <v>438</v>
      </c>
      <c r="B124" t="s">
        <v>74</v>
      </c>
      <c r="C124" t="s">
        <v>49</v>
      </c>
      <c r="D124" t="s">
        <v>435</v>
      </c>
      <c r="E124" s="1">
        <v>43830</v>
      </c>
      <c r="F124" s="1">
        <v>43889</v>
      </c>
      <c r="G124" s="1">
        <v>42374</v>
      </c>
      <c r="H124" s="1">
        <v>42396</v>
      </c>
      <c r="I124" s="1">
        <v>42409</v>
      </c>
      <c r="J124" s="1">
        <v>42422</v>
      </c>
      <c r="K124" s="1">
        <v>42465</v>
      </c>
      <c r="L124" s="1">
        <v>42503</v>
      </c>
      <c r="M124" s="1">
        <v>42458</v>
      </c>
      <c r="N124" s="1">
        <v>43247</v>
      </c>
      <c r="O124" s="1">
        <v>42641</v>
      </c>
      <c r="P124" s="1">
        <v>43248</v>
      </c>
      <c r="Q124">
        <v>1</v>
      </c>
      <c r="R124">
        <v>1</v>
      </c>
      <c r="S124">
        <f t="shared" si="5"/>
        <v>7.2068965517241379</v>
      </c>
      <c r="T124">
        <f t="shared" si="6"/>
        <v>27.206896551724139</v>
      </c>
      <c r="U124" s="2">
        <v>7.2068965519999999</v>
      </c>
      <c r="V124" s="2">
        <v>27.20689655</v>
      </c>
      <c r="W124">
        <f t="shared" si="7"/>
        <v>5.967741935483871</v>
      </c>
      <c r="X124">
        <f t="shared" si="11"/>
        <v>25.93548387096774</v>
      </c>
      <c r="Y124" s="2">
        <v>5.9677419350000003</v>
      </c>
      <c r="Z124" s="2">
        <v>25.935483869999999</v>
      </c>
      <c r="AA124">
        <v>1</v>
      </c>
      <c r="AB124" t="s">
        <v>407</v>
      </c>
      <c r="AC124" t="s">
        <v>52</v>
      </c>
      <c r="AD124">
        <v>0</v>
      </c>
      <c r="AE124">
        <v>46</v>
      </c>
      <c r="AF124">
        <v>47</v>
      </c>
      <c r="AG124" t="s">
        <v>80</v>
      </c>
      <c r="AH124" t="s">
        <v>54</v>
      </c>
      <c r="AI124" t="s">
        <v>57</v>
      </c>
      <c r="AJ124" t="s">
        <v>56</v>
      </c>
      <c r="AK124" t="s">
        <v>57</v>
      </c>
      <c r="AL124" t="s">
        <v>108</v>
      </c>
      <c r="AM124" t="s">
        <v>109</v>
      </c>
      <c r="AN124" t="s">
        <v>57</v>
      </c>
      <c r="AO124">
        <v>1</v>
      </c>
      <c r="AP124">
        <v>0</v>
      </c>
      <c r="AQ124" t="str">
        <f t="shared" si="9"/>
        <v>Non-Responder</v>
      </c>
      <c r="AR124" t="s">
        <v>436</v>
      </c>
      <c r="AS124" t="s">
        <v>62</v>
      </c>
      <c r="AT124" t="s">
        <v>63</v>
      </c>
      <c r="AU124">
        <v>0.19800000000000001</v>
      </c>
      <c r="AV124" s="1">
        <v>42458</v>
      </c>
    </row>
    <row r="125" spans="1:48" x14ac:dyDescent="0.2">
      <c r="A125" t="s">
        <v>439</v>
      </c>
      <c r="B125" t="s">
        <v>48</v>
      </c>
      <c r="C125" t="s">
        <v>49</v>
      </c>
      <c r="D125" t="s">
        <v>440</v>
      </c>
      <c r="E125" s="1">
        <v>43830</v>
      </c>
      <c r="F125" s="1">
        <v>43889</v>
      </c>
      <c r="G125" s="1">
        <v>42709</v>
      </c>
      <c r="H125" s="1">
        <v>42719</v>
      </c>
      <c r="I125" s="1">
        <v>42724</v>
      </c>
      <c r="J125" s="1">
        <v>42745</v>
      </c>
      <c r="K125" s="1">
        <v>42793</v>
      </c>
      <c r="L125" s="1">
        <v>42832</v>
      </c>
      <c r="M125" s="1">
        <v>42787</v>
      </c>
      <c r="N125" s="1">
        <v>42963</v>
      </c>
      <c r="O125" s="1">
        <v>42926</v>
      </c>
      <c r="P125" s="1">
        <v>42964</v>
      </c>
      <c r="Q125">
        <v>1</v>
      </c>
      <c r="R125">
        <v>1</v>
      </c>
      <c r="S125">
        <f t="shared" si="5"/>
        <v>6</v>
      </c>
      <c r="T125">
        <f t="shared" si="6"/>
        <v>7.225806451612903</v>
      </c>
      <c r="U125" s="2">
        <v>6</v>
      </c>
      <c r="V125" s="2">
        <v>7.2258064519999996</v>
      </c>
      <c r="W125">
        <f t="shared" si="7"/>
        <v>4.6785714285714288</v>
      </c>
      <c r="X125">
        <f t="shared" si="11"/>
        <v>5.9642857142857144</v>
      </c>
      <c r="Y125" s="2">
        <v>4.6785714289999998</v>
      </c>
      <c r="Z125" s="2">
        <v>5.9642857139999998</v>
      </c>
      <c r="AA125">
        <v>1</v>
      </c>
      <c r="AB125" t="s">
        <v>407</v>
      </c>
      <c r="AC125" t="s">
        <v>52</v>
      </c>
      <c r="AD125">
        <v>0</v>
      </c>
      <c r="AE125">
        <v>47</v>
      </c>
      <c r="AF125">
        <v>54</v>
      </c>
      <c r="AG125" t="s">
        <v>53</v>
      </c>
      <c r="AH125" t="s">
        <v>54</v>
      </c>
      <c r="AI125" t="s">
        <v>57</v>
      </c>
      <c r="AJ125" t="s">
        <v>56</v>
      </c>
      <c r="AK125" t="s">
        <v>57</v>
      </c>
      <c r="AL125" t="s">
        <v>96</v>
      </c>
      <c r="AM125" t="s">
        <v>59</v>
      </c>
      <c r="AN125" t="s">
        <v>57</v>
      </c>
      <c r="AO125">
        <v>1</v>
      </c>
      <c r="AP125">
        <v>0</v>
      </c>
      <c r="AQ125" t="str">
        <f t="shared" si="9"/>
        <v>Non-Responder</v>
      </c>
      <c r="AR125" t="s">
        <v>436</v>
      </c>
      <c r="AS125" t="s">
        <v>62</v>
      </c>
      <c r="AT125" t="s">
        <v>63</v>
      </c>
      <c r="AU125">
        <v>0.216</v>
      </c>
      <c r="AV125" s="1">
        <v>42724</v>
      </c>
    </row>
    <row r="126" spans="1:48" x14ac:dyDescent="0.2">
      <c r="A126" t="s">
        <v>441</v>
      </c>
      <c r="B126" t="s">
        <v>68</v>
      </c>
      <c r="C126" t="s">
        <v>49</v>
      </c>
      <c r="D126" t="s">
        <v>440</v>
      </c>
      <c r="E126" s="1">
        <v>43830</v>
      </c>
      <c r="F126" s="1">
        <v>43901</v>
      </c>
      <c r="G126" s="1">
        <v>42709</v>
      </c>
      <c r="H126" s="1">
        <v>42719</v>
      </c>
      <c r="I126" s="1">
        <v>42724</v>
      </c>
      <c r="J126" s="1">
        <v>42745</v>
      </c>
      <c r="K126" s="1">
        <v>42793</v>
      </c>
      <c r="L126" s="1">
        <v>42832</v>
      </c>
      <c r="M126" s="1">
        <v>42787</v>
      </c>
      <c r="N126" s="1">
        <v>42963</v>
      </c>
      <c r="O126" s="1">
        <v>42926</v>
      </c>
      <c r="P126" s="1">
        <v>42964</v>
      </c>
      <c r="Q126">
        <v>1</v>
      </c>
      <c r="R126">
        <v>1</v>
      </c>
      <c r="S126">
        <f t="shared" si="5"/>
        <v>6</v>
      </c>
      <c r="T126">
        <f t="shared" si="6"/>
        <v>7.225806451612903</v>
      </c>
      <c r="U126" s="2">
        <v>6</v>
      </c>
      <c r="V126" s="2">
        <v>7.2258064519999996</v>
      </c>
      <c r="W126">
        <f t="shared" si="7"/>
        <v>4.6785714285714288</v>
      </c>
      <c r="X126">
        <f t="shared" si="11"/>
        <v>5.9642857142857144</v>
      </c>
      <c r="Y126" s="2">
        <v>4.6785714289999998</v>
      </c>
      <c r="Z126" s="2">
        <v>5.9642857139999998</v>
      </c>
      <c r="AA126">
        <v>1</v>
      </c>
      <c r="AB126" t="s">
        <v>373</v>
      </c>
      <c r="AC126" t="s">
        <v>52</v>
      </c>
      <c r="AD126">
        <v>0</v>
      </c>
      <c r="AE126">
        <v>47</v>
      </c>
      <c r="AF126">
        <v>54</v>
      </c>
      <c r="AG126" t="s">
        <v>53</v>
      </c>
      <c r="AH126" t="s">
        <v>54</v>
      </c>
      <c r="AI126" t="s">
        <v>57</v>
      </c>
      <c r="AJ126" t="s">
        <v>56</v>
      </c>
      <c r="AK126" t="s">
        <v>57</v>
      </c>
      <c r="AL126" t="s">
        <v>96</v>
      </c>
      <c r="AM126" t="s">
        <v>59</v>
      </c>
      <c r="AN126" t="s">
        <v>57</v>
      </c>
      <c r="AO126">
        <v>1</v>
      </c>
      <c r="AP126">
        <v>0</v>
      </c>
      <c r="AQ126" t="str">
        <f t="shared" si="9"/>
        <v>Non-Responder</v>
      </c>
      <c r="AR126" t="s">
        <v>436</v>
      </c>
      <c r="AS126" t="s">
        <v>62</v>
      </c>
      <c r="AT126" t="s">
        <v>63</v>
      </c>
      <c r="AU126">
        <v>0.32400000000000001</v>
      </c>
      <c r="AV126" s="1">
        <v>42741</v>
      </c>
    </row>
    <row r="127" spans="1:48" x14ac:dyDescent="0.2">
      <c r="A127" t="s">
        <v>442</v>
      </c>
      <c r="B127" t="s">
        <v>74</v>
      </c>
      <c r="C127" t="s">
        <v>49</v>
      </c>
      <c r="D127" t="s">
        <v>440</v>
      </c>
      <c r="E127" s="1">
        <v>43830</v>
      </c>
      <c r="F127" s="1">
        <v>43898</v>
      </c>
      <c r="G127" s="1">
        <v>42709</v>
      </c>
      <c r="H127" s="1">
        <v>42719</v>
      </c>
      <c r="I127" s="1">
        <v>42724</v>
      </c>
      <c r="J127" s="1">
        <v>42745</v>
      </c>
      <c r="K127" s="1">
        <v>42793</v>
      </c>
      <c r="L127" s="1">
        <v>42832</v>
      </c>
      <c r="M127" s="1">
        <v>42787</v>
      </c>
      <c r="N127" s="1">
        <v>42963</v>
      </c>
      <c r="O127" s="1">
        <v>42926</v>
      </c>
      <c r="P127" s="1">
        <v>42964</v>
      </c>
      <c r="Q127">
        <v>1</v>
      </c>
      <c r="R127">
        <v>1</v>
      </c>
      <c r="S127">
        <f t="shared" si="5"/>
        <v>6</v>
      </c>
      <c r="T127">
        <f t="shared" si="6"/>
        <v>7.225806451612903</v>
      </c>
      <c r="U127" s="2">
        <v>6</v>
      </c>
      <c r="V127" s="2">
        <v>7.2258064519999996</v>
      </c>
      <c r="W127">
        <f t="shared" si="7"/>
        <v>4.6785714285714288</v>
      </c>
      <c r="X127">
        <f t="shared" si="11"/>
        <v>5.9642857142857144</v>
      </c>
      <c r="Y127" s="2">
        <v>4.6785714289999998</v>
      </c>
      <c r="Z127" s="2">
        <v>5.9642857139999998</v>
      </c>
      <c r="AA127">
        <v>1</v>
      </c>
      <c r="AB127" t="s">
        <v>375</v>
      </c>
      <c r="AC127" t="s">
        <v>52</v>
      </c>
      <c r="AD127">
        <v>0</v>
      </c>
      <c r="AE127">
        <v>47</v>
      </c>
      <c r="AF127">
        <v>54</v>
      </c>
      <c r="AG127" t="s">
        <v>53</v>
      </c>
      <c r="AH127" t="s">
        <v>54</v>
      </c>
      <c r="AI127" t="s">
        <v>57</v>
      </c>
      <c r="AJ127" t="s">
        <v>56</v>
      </c>
      <c r="AK127" t="s">
        <v>57</v>
      </c>
      <c r="AL127" t="s">
        <v>96</v>
      </c>
      <c r="AM127" t="s">
        <v>59</v>
      </c>
      <c r="AN127" t="s">
        <v>57</v>
      </c>
      <c r="AO127">
        <v>1</v>
      </c>
      <c r="AP127">
        <v>0</v>
      </c>
      <c r="AQ127" t="str">
        <f t="shared" si="9"/>
        <v>Non-Responder</v>
      </c>
      <c r="AR127" t="s">
        <v>436</v>
      </c>
      <c r="AS127" t="s">
        <v>62</v>
      </c>
      <c r="AT127" t="s">
        <v>63</v>
      </c>
      <c r="AU127">
        <v>0.19</v>
      </c>
      <c r="AV127" s="1">
        <v>42787</v>
      </c>
    </row>
    <row r="128" spans="1:48" x14ac:dyDescent="0.2">
      <c r="A128" t="s">
        <v>443</v>
      </c>
      <c r="B128" t="s">
        <v>48</v>
      </c>
      <c r="C128" t="s">
        <v>49</v>
      </c>
      <c r="D128" t="s">
        <v>444</v>
      </c>
      <c r="E128" s="1">
        <v>43830</v>
      </c>
      <c r="F128" s="1">
        <v>43901</v>
      </c>
      <c r="G128" s="1">
        <v>42955</v>
      </c>
      <c r="H128" s="1">
        <v>42977</v>
      </c>
      <c r="I128" s="1">
        <v>42984</v>
      </c>
      <c r="J128" s="1">
        <v>42993</v>
      </c>
      <c r="K128" s="1">
        <v>43046</v>
      </c>
      <c r="L128" s="1">
        <v>43089</v>
      </c>
      <c r="M128" s="1">
        <v>43039</v>
      </c>
      <c r="N128" s="1">
        <v>43355</v>
      </c>
      <c r="O128" s="1">
        <v>43216</v>
      </c>
      <c r="P128" s="1">
        <v>43356</v>
      </c>
      <c r="Q128">
        <v>1</v>
      </c>
      <c r="R128">
        <v>1</v>
      </c>
      <c r="S128">
        <f t="shared" si="5"/>
        <v>7.3666666666666663</v>
      </c>
      <c r="T128">
        <f t="shared" si="6"/>
        <v>11.966666666666667</v>
      </c>
      <c r="U128" s="2">
        <v>7.3666666669999996</v>
      </c>
      <c r="V128" s="2">
        <v>11.96666667</v>
      </c>
      <c r="W128">
        <f t="shared" si="7"/>
        <v>5.838709677419355</v>
      </c>
      <c r="X128">
        <f t="shared" si="11"/>
        <v>10.419354838709678</v>
      </c>
      <c r="Y128" s="2">
        <v>5.8387096769999998</v>
      </c>
      <c r="Z128" s="2">
        <v>10.41935484</v>
      </c>
      <c r="AA128">
        <v>1</v>
      </c>
      <c r="AB128" t="s">
        <v>373</v>
      </c>
      <c r="AC128" t="s">
        <v>52</v>
      </c>
      <c r="AD128">
        <v>0</v>
      </c>
      <c r="AE128">
        <v>48</v>
      </c>
      <c r="AF128">
        <v>47</v>
      </c>
      <c r="AG128" t="s">
        <v>53</v>
      </c>
      <c r="AH128" t="s">
        <v>54</v>
      </c>
      <c r="AI128" t="s">
        <v>55</v>
      </c>
      <c r="AJ128" t="s">
        <v>56</v>
      </c>
      <c r="AK128" t="s">
        <v>55</v>
      </c>
      <c r="AL128" t="s">
        <v>404</v>
      </c>
      <c r="AM128" t="s">
        <v>59</v>
      </c>
      <c r="AN128" t="s">
        <v>57</v>
      </c>
      <c r="AO128">
        <v>1</v>
      </c>
      <c r="AP128">
        <v>0</v>
      </c>
      <c r="AQ128" t="str">
        <f t="shared" si="9"/>
        <v>Non-Responder</v>
      </c>
      <c r="AR128" t="s">
        <v>436</v>
      </c>
      <c r="AS128" t="s">
        <v>62</v>
      </c>
      <c r="AT128" t="s">
        <v>63</v>
      </c>
      <c r="AU128">
        <v>0.186</v>
      </c>
      <c r="AV128" s="1">
        <v>42984</v>
      </c>
    </row>
    <row r="129" spans="1:48" x14ac:dyDescent="0.2">
      <c r="A129" t="s">
        <v>445</v>
      </c>
      <c r="B129" t="s">
        <v>68</v>
      </c>
      <c r="C129" t="s">
        <v>49</v>
      </c>
      <c r="D129" t="s">
        <v>444</v>
      </c>
      <c r="E129" s="1">
        <v>43830</v>
      </c>
      <c r="F129" s="1">
        <v>43887</v>
      </c>
      <c r="G129" s="1">
        <v>42955</v>
      </c>
      <c r="H129" s="1">
        <v>42977</v>
      </c>
      <c r="I129" s="1">
        <v>42984</v>
      </c>
      <c r="J129" s="1">
        <v>42993</v>
      </c>
      <c r="K129" s="1">
        <v>43046</v>
      </c>
      <c r="L129" s="1">
        <v>43089</v>
      </c>
      <c r="M129" s="1">
        <v>43039</v>
      </c>
      <c r="N129" s="1">
        <v>43355</v>
      </c>
      <c r="O129" s="1">
        <v>43216</v>
      </c>
      <c r="P129" s="1">
        <v>43356</v>
      </c>
      <c r="Q129">
        <v>1</v>
      </c>
      <c r="R129">
        <v>1</v>
      </c>
      <c r="S129">
        <f t="shared" si="5"/>
        <v>7.3666666666666663</v>
      </c>
      <c r="T129">
        <f t="shared" si="6"/>
        <v>11.966666666666667</v>
      </c>
      <c r="U129" s="2">
        <v>7.3666666669999996</v>
      </c>
      <c r="V129" s="2">
        <v>11.96666667</v>
      </c>
      <c r="W129">
        <f t="shared" si="7"/>
        <v>5.838709677419355</v>
      </c>
      <c r="X129">
        <f t="shared" si="11"/>
        <v>10.419354838709678</v>
      </c>
      <c r="Y129" s="2">
        <v>5.8387096769999998</v>
      </c>
      <c r="Z129" s="2">
        <v>10.41935484</v>
      </c>
      <c r="AA129">
        <v>1</v>
      </c>
      <c r="AB129" t="s">
        <v>385</v>
      </c>
      <c r="AC129" t="s">
        <v>52</v>
      </c>
      <c r="AD129">
        <v>0</v>
      </c>
      <c r="AE129">
        <v>48</v>
      </c>
      <c r="AF129">
        <v>47</v>
      </c>
      <c r="AG129" t="s">
        <v>53</v>
      </c>
      <c r="AH129" t="s">
        <v>54</v>
      </c>
      <c r="AI129" t="s">
        <v>55</v>
      </c>
      <c r="AJ129" t="s">
        <v>56</v>
      </c>
      <c r="AK129" t="s">
        <v>55</v>
      </c>
      <c r="AL129" t="s">
        <v>404</v>
      </c>
      <c r="AM129" t="s">
        <v>59</v>
      </c>
      <c r="AN129" t="s">
        <v>57</v>
      </c>
      <c r="AO129">
        <v>1</v>
      </c>
      <c r="AP129">
        <v>0</v>
      </c>
      <c r="AQ129" t="str">
        <f t="shared" si="9"/>
        <v>Non-Responder</v>
      </c>
      <c r="AR129" t="s">
        <v>436</v>
      </c>
      <c r="AS129" t="s">
        <v>62</v>
      </c>
      <c r="AT129" t="s">
        <v>63</v>
      </c>
      <c r="AU129">
        <v>0.26800000000000002</v>
      </c>
      <c r="AV129" s="1">
        <v>42993</v>
      </c>
    </row>
    <row r="130" spans="1:48" x14ac:dyDescent="0.2">
      <c r="A130" t="s">
        <v>446</v>
      </c>
      <c r="B130" t="s">
        <v>74</v>
      </c>
      <c r="C130" t="s">
        <v>49</v>
      </c>
      <c r="D130" t="s">
        <v>444</v>
      </c>
      <c r="E130" s="1">
        <v>43830</v>
      </c>
      <c r="F130" s="1">
        <v>43887</v>
      </c>
      <c r="G130" s="1">
        <v>42955</v>
      </c>
      <c r="H130" s="1">
        <v>42977</v>
      </c>
      <c r="I130" s="1">
        <v>42984</v>
      </c>
      <c r="J130" s="1">
        <v>42993</v>
      </c>
      <c r="K130" s="1">
        <v>43046</v>
      </c>
      <c r="L130" s="1">
        <v>43089</v>
      </c>
      <c r="M130" s="1">
        <v>43039</v>
      </c>
      <c r="N130" s="1">
        <v>43355</v>
      </c>
      <c r="O130" s="1">
        <v>43216</v>
      </c>
      <c r="P130" s="1">
        <v>43356</v>
      </c>
      <c r="Q130">
        <v>1</v>
      </c>
      <c r="R130">
        <v>1</v>
      </c>
      <c r="S130">
        <f t="shared" si="5"/>
        <v>7.3666666666666663</v>
      </c>
      <c r="T130">
        <f t="shared" si="6"/>
        <v>11.966666666666667</v>
      </c>
      <c r="U130" s="2">
        <v>7.3666666669999996</v>
      </c>
      <c r="V130" s="2">
        <v>11.96666667</v>
      </c>
      <c r="W130">
        <f t="shared" si="7"/>
        <v>5.838709677419355</v>
      </c>
      <c r="X130">
        <f t="shared" si="11"/>
        <v>10.419354838709678</v>
      </c>
      <c r="Y130" s="2">
        <v>5.8387096769999998</v>
      </c>
      <c r="Z130" s="2">
        <v>10.41935484</v>
      </c>
      <c r="AA130">
        <v>1</v>
      </c>
      <c r="AB130" t="s">
        <v>385</v>
      </c>
      <c r="AC130" t="s">
        <v>52</v>
      </c>
      <c r="AD130">
        <v>0</v>
      </c>
      <c r="AE130">
        <v>48</v>
      </c>
      <c r="AF130">
        <v>47</v>
      </c>
      <c r="AG130" t="s">
        <v>53</v>
      </c>
      <c r="AH130" t="s">
        <v>54</v>
      </c>
      <c r="AI130" t="s">
        <v>55</v>
      </c>
      <c r="AJ130" t="s">
        <v>56</v>
      </c>
      <c r="AK130" t="s">
        <v>55</v>
      </c>
      <c r="AL130" t="s">
        <v>404</v>
      </c>
      <c r="AM130" t="s">
        <v>59</v>
      </c>
      <c r="AN130" t="s">
        <v>57</v>
      </c>
      <c r="AO130">
        <v>1</v>
      </c>
      <c r="AP130">
        <v>0</v>
      </c>
      <c r="AQ130" t="str">
        <f t="shared" si="9"/>
        <v>Non-Responder</v>
      </c>
      <c r="AR130" t="s">
        <v>436</v>
      </c>
      <c r="AS130" t="s">
        <v>62</v>
      </c>
      <c r="AT130" t="s">
        <v>63</v>
      </c>
      <c r="AU130">
        <v>0.34</v>
      </c>
      <c r="AV130" s="1">
        <v>43040</v>
      </c>
    </row>
    <row r="131" spans="1:48" x14ac:dyDescent="0.2">
      <c r="A131" t="s">
        <v>447</v>
      </c>
      <c r="B131" t="s">
        <v>48</v>
      </c>
      <c r="C131" t="s">
        <v>49</v>
      </c>
      <c r="D131" t="s">
        <v>448</v>
      </c>
      <c r="E131" s="1">
        <v>43832</v>
      </c>
      <c r="F131" s="1">
        <v>43888</v>
      </c>
      <c r="G131" s="1">
        <v>43077</v>
      </c>
      <c r="H131" s="1">
        <v>43081</v>
      </c>
      <c r="I131" s="1">
        <v>43087</v>
      </c>
      <c r="J131" s="1">
        <v>43108</v>
      </c>
      <c r="K131" s="1">
        <v>43173</v>
      </c>
      <c r="L131" s="1">
        <v>43214</v>
      </c>
      <c r="M131" s="1">
        <v>43166</v>
      </c>
      <c r="N131" s="1">
        <v>43410</v>
      </c>
      <c r="O131" s="1">
        <v>43308</v>
      </c>
      <c r="P131" s="1">
        <v>43411</v>
      </c>
      <c r="Q131">
        <v>1</v>
      </c>
      <c r="R131">
        <v>1</v>
      </c>
      <c r="S131">
        <f t="shared" ref="S131:S181" si="12">IF(Q131=0, DATEDIF(J131,N131,"M")+DATEDIF(J131,N131,"MD")/DAY(EOMONTH(J131,0)), DATEDIF(J131,O131,"M")+DATEDIF(J131,O131,"MD")/DAY(EOMONTH(J131,0)))</f>
        <v>6.612903225806452</v>
      </c>
      <c r="T131">
        <f t="shared" ref="T131:T184" si="13">IF(R131=0, DATEDIF(J131,N131,"M")+DATEDIF(J131,N131,"MD")/DAY(EOMONTH(J131,0)), DATEDIF(J131,P131,"M")+DATEDIF(J131,P131,"MD")/DAY(EOMONTH(J131,0)))</f>
        <v>9.9677419354838719</v>
      </c>
      <c r="U131" s="2">
        <v>6.6129032260000002</v>
      </c>
      <c r="V131" s="2">
        <v>9.9677419349999994</v>
      </c>
      <c r="W131">
        <f t="shared" ref="W131:W179" si="14">IF(Q131=0, DATEDIF(M131,N131,"M")+DATEDIF(M131,N131,"MD")/DAY(EOMONTH(M131,0)), DATEDIF(M131,O131,"M")+DATEDIF(M131,O131,"MD")/DAY(EOMONTH(M131,0)))</f>
        <v>4.645161290322581</v>
      </c>
      <c r="X131">
        <f t="shared" si="11"/>
        <v>8</v>
      </c>
      <c r="Y131" s="2">
        <v>4.6451612899999999</v>
      </c>
      <c r="Z131" s="2">
        <v>8</v>
      </c>
      <c r="AA131">
        <v>1</v>
      </c>
      <c r="AB131" t="s">
        <v>370</v>
      </c>
      <c r="AC131" t="s">
        <v>52</v>
      </c>
      <c r="AD131">
        <v>0</v>
      </c>
      <c r="AE131">
        <v>49</v>
      </c>
      <c r="AF131">
        <v>27</v>
      </c>
      <c r="AG131" t="s">
        <v>80</v>
      </c>
      <c r="AH131" t="s">
        <v>54</v>
      </c>
      <c r="AI131" t="s">
        <v>57</v>
      </c>
      <c r="AJ131" t="s">
        <v>56</v>
      </c>
      <c r="AK131" t="s">
        <v>57</v>
      </c>
      <c r="AL131" t="s">
        <v>58</v>
      </c>
      <c r="AM131" t="s">
        <v>59</v>
      </c>
      <c r="AN131" t="s">
        <v>57</v>
      </c>
      <c r="AO131">
        <v>1</v>
      </c>
      <c r="AP131">
        <v>0</v>
      </c>
      <c r="AQ131" t="str">
        <f t="shared" ref="AQ131:AQ186" si="15">IF(AP131=0, "Non-Responder", "Responder")</f>
        <v>Non-Responder</v>
      </c>
      <c r="AR131" t="s">
        <v>436</v>
      </c>
      <c r="AS131" t="s">
        <v>62</v>
      </c>
      <c r="AT131" t="s">
        <v>63</v>
      </c>
      <c r="AU131">
        <v>0.11</v>
      </c>
      <c r="AV131" s="1">
        <v>43083</v>
      </c>
    </row>
    <row r="132" spans="1:48" x14ac:dyDescent="0.2">
      <c r="A132" t="s">
        <v>449</v>
      </c>
      <c r="B132" t="s">
        <v>68</v>
      </c>
      <c r="C132" t="s">
        <v>49</v>
      </c>
      <c r="D132" t="s">
        <v>448</v>
      </c>
      <c r="E132" s="1">
        <v>43832</v>
      </c>
      <c r="F132" s="1">
        <v>43889</v>
      </c>
      <c r="G132" s="1">
        <v>43077</v>
      </c>
      <c r="H132" s="1">
        <v>43081</v>
      </c>
      <c r="I132" s="1">
        <v>43087</v>
      </c>
      <c r="J132" s="1">
        <v>43108</v>
      </c>
      <c r="K132" s="1">
        <v>43173</v>
      </c>
      <c r="L132" s="1">
        <v>43214</v>
      </c>
      <c r="M132" s="1">
        <v>43166</v>
      </c>
      <c r="N132" s="1">
        <v>43410</v>
      </c>
      <c r="O132" s="1">
        <v>43308</v>
      </c>
      <c r="P132" s="1">
        <v>43411</v>
      </c>
      <c r="Q132">
        <v>1</v>
      </c>
      <c r="R132">
        <v>1</v>
      </c>
      <c r="S132">
        <f t="shared" si="12"/>
        <v>6.612903225806452</v>
      </c>
      <c r="T132">
        <f t="shared" si="13"/>
        <v>9.9677419354838719</v>
      </c>
      <c r="U132" s="2">
        <v>6.6129032260000002</v>
      </c>
      <c r="V132" s="2">
        <v>9.9677419349999994</v>
      </c>
      <c r="W132">
        <f t="shared" si="14"/>
        <v>4.645161290322581</v>
      </c>
      <c r="X132">
        <f t="shared" si="11"/>
        <v>8</v>
      </c>
      <c r="Y132" s="2">
        <v>4.6451612899999999</v>
      </c>
      <c r="Z132" s="2">
        <v>8</v>
      </c>
      <c r="AA132">
        <v>1</v>
      </c>
      <c r="AB132" t="s">
        <v>407</v>
      </c>
      <c r="AC132" t="s">
        <v>52</v>
      </c>
      <c r="AD132">
        <v>0</v>
      </c>
      <c r="AE132">
        <v>49</v>
      </c>
      <c r="AF132">
        <v>27</v>
      </c>
      <c r="AG132" t="s">
        <v>80</v>
      </c>
      <c r="AH132" t="s">
        <v>54</v>
      </c>
      <c r="AI132" t="s">
        <v>57</v>
      </c>
      <c r="AJ132" t="s">
        <v>56</v>
      </c>
      <c r="AK132" t="s">
        <v>57</v>
      </c>
      <c r="AL132" t="s">
        <v>58</v>
      </c>
      <c r="AM132" t="s">
        <v>59</v>
      </c>
      <c r="AN132" t="s">
        <v>57</v>
      </c>
      <c r="AO132">
        <v>1</v>
      </c>
      <c r="AP132">
        <v>0</v>
      </c>
      <c r="AQ132" t="str">
        <f t="shared" si="15"/>
        <v>Non-Responder</v>
      </c>
      <c r="AR132" t="s">
        <v>436</v>
      </c>
      <c r="AS132" t="s">
        <v>62</v>
      </c>
      <c r="AT132" t="s">
        <v>63</v>
      </c>
      <c r="AU132">
        <v>0.14599999999999999</v>
      </c>
      <c r="AV132" s="1">
        <v>43105</v>
      </c>
    </row>
    <row r="133" spans="1:48" x14ac:dyDescent="0.2">
      <c r="A133" t="s">
        <v>450</v>
      </c>
      <c r="B133" t="s">
        <v>74</v>
      </c>
      <c r="C133" t="s">
        <v>49</v>
      </c>
      <c r="D133" t="s">
        <v>448</v>
      </c>
      <c r="E133" s="1">
        <v>43832</v>
      </c>
      <c r="F133" s="1">
        <v>43889</v>
      </c>
      <c r="G133" s="1">
        <v>43077</v>
      </c>
      <c r="H133" s="1">
        <v>43081</v>
      </c>
      <c r="I133" s="1">
        <v>43087</v>
      </c>
      <c r="J133" s="1">
        <v>43108</v>
      </c>
      <c r="K133" s="1">
        <v>43173</v>
      </c>
      <c r="L133" s="1">
        <v>43214</v>
      </c>
      <c r="M133" s="1">
        <v>43166</v>
      </c>
      <c r="N133" s="1">
        <v>43410</v>
      </c>
      <c r="O133" s="1">
        <v>43308</v>
      </c>
      <c r="P133" s="1">
        <v>43411</v>
      </c>
      <c r="Q133">
        <v>1</v>
      </c>
      <c r="R133">
        <v>1</v>
      </c>
      <c r="S133">
        <f t="shared" si="12"/>
        <v>6.612903225806452</v>
      </c>
      <c r="T133">
        <f t="shared" si="13"/>
        <v>9.9677419354838719</v>
      </c>
      <c r="U133" s="2">
        <v>6.6129032260000002</v>
      </c>
      <c r="V133" s="2">
        <v>9.9677419349999994</v>
      </c>
      <c r="W133">
        <f t="shared" si="14"/>
        <v>4.645161290322581</v>
      </c>
      <c r="X133">
        <f t="shared" si="11"/>
        <v>8</v>
      </c>
      <c r="Y133" s="2">
        <v>4.6451612899999999</v>
      </c>
      <c r="Z133" s="2">
        <v>8</v>
      </c>
      <c r="AA133">
        <v>1</v>
      </c>
      <c r="AB133" t="s">
        <v>407</v>
      </c>
      <c r="AC133" t="s">
        <v>52</v>
      </c>
      <c r="AD133">
        <v>0</v>
      </c>
      <c r="AE133">
        <v>49</v>
      </c>
      <c r="AF133">
        <v>27</v>
      </c>
      <c r="AG133" t="s">
        <v>80</v>
      </c>
      <c r="AH133" t="s">
        <v>54</v>
      </c>
      <c r="AI133" t="s">
        <v>57</v>
      </c>
      <c r="AJ133" t="s">
        <v>56</v>
      </c>
      <c r="AK133" t="s">
        <v>57</v>
      </c>
      <c r="AL133" t="s">
        <v>58</v>
      </c>
      <c r="AM133" t="s">
        <v>59</v>
      </c>
      <c r="AN133" t="s">
        <v>57</v>
      </c>
      <c r="AO133">
        <v>1</v>
      </c>
      <c r="AP133">
        <v>0</v>
      </c>
      <c r="AQ133" t="str">
        <f t="shared" si="15"/>
        <v>Non-Responder</v>
      </c>
      <c r="AR133" t="s">
        <v>436</v>
      </c>
      <c r="AS133" t="s">
        <v>62</v>
      </c>
      <c r="AT133" t="s">
        <v>63</v>
      </c>
      <c r="AU133">
        <v>0.108</v>
      </c>
      <c r="AV133" s="1">
        <v>43166</v>
      </c>
    </row>
    <row r="134" spans="1:48" x14ac:dyDescent="0.2">
      <c r="A134" t="s">
        <v>451</v>
      </c>
      <c r="B134" t="s">
        <v>48</v>
      </c>
      <c r="C134" t="s">
        <v>49</v>
      </c>
      <c r="D134" t="s">
        <v>452</v>
      </c>
      <c r="E134" s="1">
        <v>43832</v>
      </c>
      <c r="F134" s="1">
        <v>43891</v>
      </c>
      <c r="G134" s="1">
        <v>43081</v>
      </c>
      <c r="H134" s="1">
        <v>43090</v>
      </c>
      <c r="I134" s="1">
        <v>43109</v>
      </c>
      <c r="J134" s="1">
        <v>43130</v>
      </c>
      <c r="K134" s="1">
        <v>43186</v>
      </c>
      <c r="L134" s="1">
        <v>43237</v>
      </c>
      <c r="M134" s="1">
        <v>43179</v>
      </c>
      <c r="N134" s="1">
        <v>44848</v>
      </c>
      <c r="Q134">
        <v>0</v>
      </c>
      <c r="R134">
        <v>0</v>
      </c>
      <c r="S134">
        <f t="shared" si="12"/>
        <v>56.451612903225808</v>
      </c>
      <c r="T134">
        <f t="shared" si="13"/>
        <v>56.451612903225808</v>
      </c>
      <c r="U134" s="2">
        <v>56.451612900000001</v>
      </c>
      <c r="V134" s="2">
        <v>56.451612900000001</v>
      </c>
      <c r="W134">
        <f t="shared" si="14"/>
        <v>54.774193548387096</v>
      </c>
      <c r="X134">
        <f t="shared" si="11"/>
        <v>54.774193548387096</v>
      </c>
      <c r="Y134" s="2">
        <v>54.77419355</v>
      </c>
      <c r="Z134" s="2">
        <v>54.77419355</v>
      </c>
      <c r="AA134">
        <v>1</v>
      </c>
      <c r="AB134" t="s">
        <v>396</v>
      </c>
      <c r="AC134" t="s">
        <v>52</v>
      </c>
      <c r="AD134">
        <v>0</v>
      </c>
      <c r="AE134">
        <v>50</v>
      </c>
      <c r="AF134">
        <v>48</v>
      </c>
      <c r="AG134" t="s">
        <v>80</v>
      </c>
      <c r="AH134" t="s">
        <v>54</v>
      </c>
      <c r="AI134" t="s">
        <v>57</v>
      </c>
      <c r="AJ134" t="s">
        <v>56</v>
      </c>
      <c r="AK134" t="s">
        <v>57</v>
      </c>
      <c r="AL134" t="s">
        <v>108</v>
      </c>
      <c r="AM134" t="s">
        <v>59</v>
      </c>
      <c r="AN134" t="s">
        <v>60</v>
      </c>
      <c r="AO134">
        <v>1</v>
      </c>
      <c r="AP134">
        <v>0</v>
      </c>
      <c r="AQ134" t="str">
        <f t="shared" si="15"/>
        <v>Non-Responder</v>
      </c>
      <c r="AR134" t="s">
        <v>436</v>
      </c>
      <c r="AS134" t="s">
        <v>62</v>
      </c>
      <c r="AT134" t="s">
        <v>63</v>
      </c>
      <c r="AU134">
        <v>0.05</v>
      </c>
      <c r="AV134" s="1">
        <v>43090</v>
      </c>
    </row>
    <row r="135" spans="1:48" x14ac:dyDescent="0.2">
      <c r="A135" t="s">
        <v>453</v>
      </c>
      <c r="B135" t="s">
        <v>68</v>
      </c>
      <c r="C135" t="s">
        <v>49</v>
      </c>
      <c r="D135" t="s">
        <v>452</v>
      </c>
      <c r="E135" s="1">
        <v>43832</v>
      </c>
      <c r="F135" s="1">
        <v>43887</v>
      </c>
      <c r="G135" s="1">
        <v>43081</v>
      </c>
      <c r="H135" s="1">
        <v>43090</v>
      </c>
      <c r="I135" s="1">
        <v>43109</v>
      </c>
      <c r="J135" s="1">
        <v>43130</v>
      </c>
      <c r="K135" s="1">
        <v>43186</v>
      </c>
      <c r="L135" s="1">
        <v>43237</v>
      </c>
      <c r="M135" s="1">
        <v>43179</v>
      </c>
      <c r="N135" s="1">
        <v>44848</v>
      </c>
      <c r="Q135">
        <v>0</v>
      </c>
      <c r="R135">
        <v>0</v>
      </c>
      <c r="S135">
        <f t="shared" si="12"/>
        <v>56.451612903225808</v>
      </c>
      <c r="T135">
        <f t="shared" si="13"/>
        <v>56.451612903225808</v>
      </c>
      <c r="U135" s="2">
        <v>56.451612900000001</v>
      </c>
      <c r="V135" s="2">
        <v>56.451612900000001</v>
      </c>
      <c r="W135">
        <f t="shared" si="14"/>
        <v>54.774193548387096</v>
      </c>
      <c r="X135">
        <f t="shared" si="11"/>
        <v>54.774193548387096</v>
      </c>
      <c r="Y135" s="2">
        <v>54.77419355</v>
      </c>
      <c r="Z135" s="2">
        <v>54.77419355</v>
      </c>
      <c r="AA135">
        <v>1</v>
      </c>
      <c r="AB135" t="s">
        <v>385</v>
      </c>
      <c r="AC135" t="s">
        <v>52</v>
      </c>
      <c r="AD135">
        <v>0</v>
      </c>
      <c r="AE135">
        <v>50</v>
      </c>
      <c r="AF135">
        <v>48</v>
      </c>
      <c r="AG135" t="s">
        <v>80</v>
      </c>
      <c r="AH135" t="s">
        <v>54</v>
      </c>
      <c r="AI135" t="s">
        <v>57</v>
      </c>
      <c r="AJ135" t="s">
        <v>56</v>
      </c>
      <c r="AK135" t="s">
        <v>57</v>
      </c>
      <c r="AL135" t="s">
        <v>108</v>
      </c>
      <c r="AM135" t="s">
        <v>59</v>
      </c>
      <c r="AN135" t="s">
        <v>60</v>
      </c>
      <c r="AO135">
        <v>1</v>
      </c>
      <c r="AP135">
        <v>0</v>
      </c>
      <c r="AQ135" t="str">
        <f t="shared" si="15"/>
        <v>Non-Responder</v>
      </c>
      <c r="AR135" t="s">
        <v>436</v>
      </c>
      <c r="AS135" t="s">
        <v>62</v>
      </c>
      <c r="AT135" t="s">
        <v>63</v>
      </c>
      <c r="AU135">
        <v>0.254</v>
      </c>
      <c r="AV135" s="1">
        <v>43130</v>
      </c>
    </row>
    <row r="136" spans="1:48" x14ac:dyDescent="0.2">
      <c r="A136" t="s">
        <v>454</v>
      </c>
      <c r="B136" t="s">
        <v>74</v>
      </c>
      <c r="C136" t="s">
        <v>49</v>
      </c>
      <c r="D136" t="s">
        <v>452</v>
      </c>
      <c r="E136" s="1">
        <v>43832</v>
      </c>
      <c r="F136" s="1">
        <v>43889</v>
      </c>
      <c r="G136" s="1">
        <v>43081</v>
      </c>
      <c r="H136" s="1">
        <v>43090</v>
      </c>
      <c r="I136" s="1">
        <v>43109</v>
      </c>
      <c r="J136" s="1">
        <v>43130</v>
      </c>
      <c r="K136" s="1">
        <v>43186</v>
      </c>
      <c r="L136" s="1">
        <v>43237</v>
      </c>
      <c r="M136" s="1">
        <v>43179</v>
      </c>
      <c r="N136" s="1">
        <v>44848</v>
      </c>
      <c r="Q136">
        <v>0</v>
      </c>
      <c r="R136">
        <v>0</v>
      </c>
      <c r="S136">
        <f t="shared" si="12"/>
        <v>56.451612903225808</v>
      </c>
      <c r="T136">
        <f t="shared" si="13"/>
        <v>56.451612903225808</v>
      </c>
      <c r="U136" s="2">
        <v>56.451612900000001</v>
      </c>
      <c r="V136" s="2">
        <v>56.451612900000001</v>
      </c>
      <c r="W136">
        <f t="shared" si="14"/>
        <v>54.774193548387096</v>
      </c>
      <c r="X136">
        <f t="shared" si="11"/>
        <v>54.774193548387096</v>
      </c>
      <c r="Y136" s="2">
        <v>54.77419355</v>
      </c>
      <c r="Z136" s="2">
        <v>54.77419355</v>
      </c>
      <c r="AA136">
        <v>1</v>
      </c>
      <c r="AB136" t="s">
        <v>407</v>
      </c>
      <c r="AC136" t="s">
        <v>52</v>
      </c>
      <c r="AD136">
        <v>0</v>
      </c>
      <c r="AE136">
        <v>50</v>
      </c>
      <c r="AF136">
        <v>48</v>
      </c>
      <c r="AG136" t="s">
        <v>80</v>
      </c>
      <c r="AH136" t="s">
        <v>54</v>
      </c>
      <c r="AI136" t="s">
        <v>57</v>
      </c>
      <c r="AJ136" t="s">
        <v>56</v>
      </c>
      <c r="AK136" t="s">
        <v>57</v>
      </c>
      <c r="AL136" t="s">
        <v>108</v>
      </c>
      <c r="AM136" t="s">
        <v>59</v>
      </c>
      <c r="AN136" t="s">
        <v>60</v>
      </c>
      <c r="AO136">
        <v>1</v>
      </c>
      <c r="AP136">
        <v>0</v>
      </c>
      <c r="AQ136" t="str">
        <f t="shared" si="15"/>
        <v>Non-Responder</v>
      </c>
      <c r="AR136" t="s">
        <v>436</v>
      </c>
      <c r="AS136" t="s">
        <v>62</v>
      </c>
      <c r="AT136" t="s">
        <v>63</v>
      </c>
      <c r="AU136">
        <v>0.11600000000000001</v>
      </c>
      <c r="AV136" s="1">
        <v>43179</v>
      </c>
    </row>
    <row r="137" spans="1:48" x14ac:dyDescent="0.2">
      <c r="A137" t="s">
        <v>455</v>
      </c>
      <c r="B137" t="s">
        <v>48</v>
      </c>
      <c r="C137" t="s">
        <v>49</v>
      </c>
      <c r="D137" t="s">
        <v>456</v>
      </c>
      <c r="E137" s="1">
        <v>43832</v>
      </c>
      <c r="F137" s="1">
        <v>43888</v>
      </c>
      <c r="G137" s="1">
        <v>43117</v>
      </c>
      <c r="H137" s="1">
        <v>43150</v>
      </c>
      <c r="I137" s="1">
        <v>43150</v>
      </c>
      <c r="J137" s="1">
        <v>43168</v>
      </c>
      <c r="K137" s="1">
        <v>43208</v>
      </c>
      <c r="L137" s="1">
        <v>43250</v>
      </c>
      <c r="M137" s="1">
        <v>43201</v>
      </c>
      <c r="N137" s="1">
        <v>44373</v>
      </c>
      <c r="P137" s="1">
        <v>44374</v>
      </c>
      <c r="Q137">
        <v>1</v>
      </c>
      <c r="R137">
        <v>1</v>
      </c>
      <c r="S137">
        <v>39.58064516129032</v>
      </c>
      <c r="T137">
        <f t="shared" si="13"/>
        <v>39.58064516129032</v>
      </c>
      <c r="U137" s="2">
        <v>39.580645160000003</v>
      </c>
      <c r="V137" s="2">
        <v>39.580645160000003</v>
      </c>
      <c r="W137">
        <v>38.533333333333331</v>
      </c>
      <c r="X137">
        <f t="shared" si="11"/>
        <v>38.533333333333331</v>
      </c>
      <c r="Y137" s="2">
        <v>38.533333329999998</v>
      </c>
      <c r="Z137" s="2">
        <v>38.533333329999998</v>
      </c>
      <c r="AA137">
        <v>1</v>
      </c>
      <c r="AB137" t="s">
        <v>370</v>
      </c>
      <c r="AC137" t="s">
        <v>52</v>
      </c>
      <c r="AD137">
        <v>0</v>
      </c>
      <c r="AE137">
        <v>51</v>
      </c>
      <c r="AF137">
        <v>64</v>
      </c>
      <c r="AG137" t="s">
        <v>80</v>
      </c>
      <c r="AH137" t="s">
        <v>54</v>
      </c>
      <c r="AI137" t="s">
        <v>57</v>
      </c>
      <c r="AJ137" t="s">
        <v>56</v>
      </c>
      <c r="AK137" t="s">
        <v>55</v>
      </c>
      <c r="AL137" t="s">
        <v>404</v>
      </c>
      <c r="AM137" t="s">
        <v>109</v>
      </c>
      <c r="AN137" t="s">
        <v>60</v>
      </c>
      <c r="AO137">
        <v>0</v>
      </c>
      <c r="AP137">
        <v>0</v>
      </c>
      <c r="AQ137" t="str">
        <f t="shared" si="15"/>
        <v>Non-Responder</v>
      </c>
      <c r="AR137" t="s">
        <v>436</v>
      </c>
      <c r="AS137" t="s">
        <v>62</v>
      </c>
      <c r="AT137" t="s">
        <v>63</v>
      </c>
      <c r="AU137">
        <v>0.05</v>
      </c>
      <c r="AV137" s="1">
        <v>43150</v>
      </c>
    </row>
    <row r="138" spans="1:48" x14ac:dyDescent="0.2">
      <c r="A138" t="s">
        <v>457</v>
      </c>
      <c r="B138" t="s">
        <v>68</v>
      </c>
      <c r="C138" t="s">
        <v>49</v>
      </c>
      <c r="D138" t="s">
        <v>456</v>
      </c>
      <c r="E138" s="1">
        <v>43832</v>
      </c>
      <c r="F138" s="1">
        <v>43901</v>
      </c>
      <c r="G138" s="1">
        <v>43117</v>
      </c>
      <c r="H138" s="1">
        <v>43150</v>
      </c>
      <c r="I138" s="1">
        <v>43150</v>
      </c>
      <c r="J138" s="1">
        <v>43168</v>
      </c>
      <c r="K138" s="1">
        <v>43208</v>
      </c>
      <c r="L138" s="1">
        <v>43250</v>
      </c>
      <c r="M138" s="1">
        <v>43201</v>
      </c>
      <c r="N138" s="1">
        <v>44373</v>
      </c>
      <c r="P138" s="1">
        <v>44374</v>
      </c>
      <c r="Q138">
        <v>1</v>
      </c>
      <c r="R138">
        <v>1</v>
      </c>
      <c r="S138">
        <v>39.58064516129032</v>
      </c>
      <c r="T138">
        <f t="shared" si="13"/>
        <v>39.58064516129032</v>
      </c>
      <c r="U138" s="2">
        <v>39.580645160000003</v>
      </c>
      <c r="V138" s="2">
        <v>39.580645160000003</v>
      </c>
      <c r="W138">
        <v>38.533333333333331</v>
      </c>
      <c r="X138">
        <f t="shared" si="11"/>
        <v>38.533333333333331</v>
      </c>
      <c r="Y138" s="2">
        <v>38.533333329999998</v>
      </c>
      <c r="Z138" s="2">
        <v>38.533333329999998</v>
      </c>
      <c r="AA138">
        <v>1</v>
      </c>
      <c r="AB138" t="s">
        <v>373</v>
      </c>
      <c r="AC138" t="s">
        <v>52</v>
      </c>
      <c r="AD138">
        <v>0</v>
      </c>
      <c r="AE138">
        <v>51</v>
      </c>
      <c r="AF138">
        <v>64</v>
      </c>
      <c r="AG138" t="s">
        <v>80</v>
      </c>
      <c r="AH138" t="s">
        <v>54</v>
      </c>
      <c r="AI138" t="s">
        <v>57</v>
      </c>
      <c r="AJ138" t="s">
        <v>56</v>
      </c>
      <c r="AK138" t="s">
        <v>55</v>
      </c>
      <c r="AL138" t="s">
        <v>404</v>
      </c>
      <c r="AM138" t="s">
        <v>109</v>
      </c>
      <c r="AN138" t="s">
        <v>60</v>
      </c>
      <c r="AO138">
        <v>0</v>
      </c>
      <c r="AP138">
        <v>0</v>
      </c>
      <c r="AQ138" t="str">
        <f t="shared" si="15"/>
        <v>Non-Responder</v>
      </c>
      <c r="AR138" t="s">
        <v>436</v>
      </c>
      <c r="AS138" t="s">
        <v>62</v>
      </c>
      <c r="AT138" t="s">
        <v>63</v>
      </c>
      <c r="AU138">
        <v>0.05</v>
      </c>
      <c r="AV138" s="1">
        <v>43166</v>
      </c>
    </row>
    <row r="139" spans="1:48" x14ac:dyDescent="0.2">
      <c r="A139" t="s">
        <v>458</v>
      </c>
      <c r="B139" t="s">
        <v>74</v>
      </c>
      <c r="C139" t="s">
        <v>49</v>
      </c>
      <c r="D139" t="s">
        <v>456</v>
      </c>
      <c r="E139" s="1">
        <v>43832</v>
      </c>
      <c r="F139" s="1">
        <v>43888</v>
      </c>
      <c r="G139" s="1">
        <v>43117</v>
      </c>
      <c r="H139" s="1">
        <v>43150</v>
      </c>
      <c r="I139" s="1">
        <v>43150</v>
      </c>
      <c r="J139" s="1">
        <v>43168</v>
      </c>
      <c r="K139" s="1">
        <v>43208</v>
      </c>
      <c r="L139" s="1">
        <v>43250</v>
      </c>
      <c r="M139" s="1">
        <v>43201</v>
      </c>
      <c r="N139" s="1">
        <v>44373</v>
      </c>
      <c r="P139" s="1">
        <v>44374</v>
      </c>
      <c r="Q139">
        <v>1</v>
      </c>
      <c r="R139">
        <v>1</v>
      </c>
      <c r="S139">
        <v>39.58064516129032</v>
      </c>
      <c r="T139">
        <f t="shared" si="13"/>
        <v>39.58064516129032</v>
      </c>
      <c r="U139" s="2">
        <v>39.580645160000003</v>
      </c>
      <c r="V139" s="2">
        <v>39.580645160000003</v>
      </c>
      <c r="W139">
        <v>38.533333333333331</v>
      </c>
      <c r="X139">
        <f t="shared" si="11"/>
        <v>38.533333333333331</v>
      </c>
      <c r="Y139" s="2">
        <v>38.533333329999998</v>
      </c>
      <c r="Z139" s="2">
        <v>38.533333329999998</v>
      </c>
      <c r="AA139">
        <v>1</v>
      </c>
      <c r="AB139" t="s">
        <v>370</v>
      </c>
      <c r="AC139" t="s">
        <v>52</v>
      </c>
      <c r="AD139">
        <v>0</v>
      </c>
      <c r="AE139">
        <v>51</v>
      </c>
      <c r="AF139">
        <v>64</v>
      </c>
      <c r="AG139" t="s">
        <v>80</v>
      </c>
      <c r="AH139" t="s">
        <v>54</v>
      </c>
      <c r="AI139" t="s">
        <v>57</v>
      </c>
      <c r="AJ139" t="s">
        <v>56</v>
      </c>
      <c r="AK139" t="s">
        <v>55</v>
      </c>
      <c r="AL139" t="s">
        <v>404</v>
      </c>
      <c r="AM139" t="s">
        <v>109</v>
      </c>
      <c r="AN139" t="s">
        <v>60</v>
      </c>
      <c r="AO139">
        <v>0</v>
      </c>
      <c r="AP139">
        <v>0</v>
      </c>
      <c r="AQ139" t="str">
        <f t="shared" si="15"/>
        <v>Non-Responder</v>
      </c>
      <c r="AR139" t="s">
        <v>436</v>
      </c>
      <c r="AS139" t="s">
        <v>62</v>
      </c>
      <c r="AT139" t="s">
        <v>63</v>
      </c>
      <c r="AU139">
        <v>0.05</v>
      </c>
      <c r="AV139" s="1">
        <v>43201</v>
      </c>
    </row>
    <row r="140" spans="1:48" x14ac:dyDescent="0.2">
      <c r="A140" t="s">
        <v>459</v>
      </c>
      <c r="B140" t="s">
        <v>48</v>
      </c>
      <c r="C140" t="s">
        <v>49</v>
      </c>
      <c r="D140" t="s">
        <v>460</v>
      </c>
      <c r="E140" s="1">
        <v>43832</v>
      </c>
      <c r="F140" s="1">
        <v>43887</v>
      </c>
      <c r="G140" s="1">
        <v>43160</v>
      </c>
      <c r="H140" s="1">
        <v>43172</v>
      </c>
      <c r="I140" s="1">
        <v>43173</v>
      </c>
      <c r="J140" s="1">
        <v>43182</v>
      </c>
      <c r="K140" s="1">
        <v>43235</v>
      </c>
      <c r="L140" s="1">
        <v>43277</v>
      </c>
      <c r="M140" s="1">
        <v>43227</v>
      </c>
      <c r="N140" s="1">
        <v>45190</v>
      </c>
      <c r="Q140">
        <v>0</v>
      </c>
      <c r="R140">
        <v>0</v>
      </c>
      <c r="S140">
        <f t="shared" si="12"/>
        <v>65.935483870967744</v>
      </c>
      <c r="T140">
        <f t="shared" si="13"/>
        <v>65.935483870967744</v>
      </c>
      <c r="U140" s="2">
        <v>65.935483869999999</v>
      </c>
      <c r="V140" s="2">
        <v>65.935483869999999</v>
      </c>
      <c r="W140">
        <f t="shared" si="14"/>
        <v>64.451612903225808</v>
      </c>
      <c r="X140">
        <f t="shared" si="11"/>
        <v>64.451612903225808</v>
      </c>
      <c r="Y140" s="2">
        <v>64.451612900000001</v>
      </c>
      <c r="Z140" s="2">
        <v>64.451612900000001</v>
      </c>
      <c r="AA140">
        <v>1</v>
      </c>
      <c r="AB140" t="s">
        <v>385</v>
      </c>
      <c r="AC140" t="s">
        <v>52</v>
      </c>
      <c r="AD140">
        <v>1</v>
      </c>
      <c r="AE140">
        <v>52</v>
      </c>
      <c r="AF140">
        <v>72</v>
      </c>
      <c r="AG140" t="s">
        <v>53</v>
      </c>
      <c r="AH140" t="s">
        <v>60</v>
      </c>
      <c r="AI140" t="s">
        <v>55</v>
      </c>
      <c r="AJ140" t="s">
        <v>461</v>
      </c>
      <c r="AK140" t="s">
        <v>55</v>
      </c>
      <c r="AL140" t="s">
        <v>96</v>
      </c>
      <c r="AM140" t="s">
        <v>59</v>
      </c>
      <c r="AN140" t="s">
        <v>60</v>
      </c>
      <c r="AO140">
        <v>1</v>
      </c>
      <c r="AP140">
        <v>0</v>
      </c>
      <c r="AQ140" t="str">
        <f t="shared" si="15"/>
        <v>Non-Responder</v>
      </c>
      <c r="AR140" t="s">
        <v>436</v>
      </c>
      <c r="AS140" t="s">
        <v>62</v>
      </c>
      <c r="AT140" t="s">
        <v>63</v>
      </c>
      <c r="AU140">
        <v>0.05</v>
      </c>
      <c r="AV140" s="1">
        <v>43173</v>
      </c>
    </row>
    <row r="141" spans="1:48" x14ac:dyDescent="0.2">
      <c r="A141" t="s">
        <v>462</v>
      </c>
      <c r="B141" t="s">
        <v>68</v>
      </c>
      <c r="C141" t="s">
        <v>49</v>
      </c>
      <c r="D141" t="s">
        <v>460</v>
      </c>
      <c r="E141" s="1">
        <v>43832</v>
      </c>
      <c r="F141" s="1">
        <v>43891</v>
      </c>
      <c r="G141" s="1">
        <v>43160</v>
      </c>
      <c r="H141" s="1">
        <v>43172</v>
      </c>
      <c r="I141" s="1">
        <v>43173</v>
      </c>
      <c r="J141" s="1">
        <v>43182</v>
      </c>
      <c r="K141" s="1">
        <v>43235</v>
      </c>
      <c r="L141" s="1">
        <v>43277</v>
      </c>
      <c r="M141" s="1">
        <v>43227</v>
      </c>
      <c r="N141" s="1">
        <v>45190</v>
      </c>
      <c r="Q141">
        <v>0</v>
      </c>
      <c r="R141">
        <v>0</v>
      </c>
      <c r="S141">
        <f t="shared" si="12"/>
        <v>65.935483870967744</v>
      </c>
      <c r="T141">
        <f t="shared" si="13"/>
        <v>65.935483870967744</v>
      </c>
      <c r="U141" s="2">
        <v>65.935483869999999</v>
      </c>
      <c r="V141" s="2">
        <v>65.935483869999999</v>
      </c>
      <c r="W141">
        <f t="shared" si="14"/>
        <v>64.451612903225808</v>
      </c>
      <c r="X141">
        <f t="shared" si="11"/>
        <v>64.451612903225808</v>
      </c>
      <c r="Y141" s="2">
        <v>64.451612900000001</v>
      </c>
      <c r="Z141" s="2">
        <v>64.451612900000001</v>
      </c>
      <c r="AA141">
        <v>1</v>
      </c>
      <c r="AB141" t="s">
        <v>396</v>
      </c>
      <c r="AC141" t="s">
        <v>52</v>
      </c>
      <c r="AD141">
        <v>1</v>
      </c>
      <c r="AE141">
        <v>52</v>
      </c>
      <c r="AF141">
        <v>72</v>
      </c>
      <c r="AG141" t="s">
        <v>53</v>
      </c>
      <c r="AH141" t="s">
        <v>60</v>
      </c>
      <c r="AI141" t="s">
        <v>55</v>
      </c>
      <c r="AJ141" t="s">
        <v>461</v>
      </c>
      <c r="AK141" t="s">
        <v>55</v>
      </c>
      <c r="AL141" t="s">
        <v>96</v>
      </c>
      <c r="AM141" t="s">
        <v>59</v>
      </c>
      <c r="AN141" t="s">
        <v>60</v>
      </c>
      <c r="AO141">
        <v>1</v>
      </c>
      <c r="AP141">
        <v>0</v>
      </c>
      <c r="AQ141" t="str">
        <f t="shared" si="15"/>
        <v>Non-Responder</v>
      </c>
      <c r="AR141" t="s">
        <v>436</v>
      </c>
      <c r="AS141" t="s">
        <v>62</v>
      </c>
      <c r="AT141" t="s">
        <v>63</v>
      </c>
      <c r="AU141">
        <v>0.26</v>
      </c>
      <c r="AV141" s="1">
        <v>43182</v>
      </c>
    </row>
    <row r="142" spans="1:48" x14ac:dyDescent="0.2">
      <c r="A142" t="s">
        <v>463</v>
      </c>
      <c r="B142" t="s">
        <v>74</v>
      </c>
      <c r="C142" t="s">
        <v>49</v>
      </c>
      <c r="D142" t="s">
        <v>460</v>
      </c>
      <c r="E142" s="1">
        <v>43832</v>
      </c>
      <c r="F142" s="1">
        <v>43887</v>
      </c>
      <c r="G142" s="1">
        <v>43160</v>
      </c>
      <c r="H142" s="1">
        <v>43172</v>
      </c>
      <c r="I142" s="1">
        <v>43173</v>
      </c>
      <c r="J142" s="1">
        <v>43182</v>
      </c>
      <c r="K142" s="1">
        <v>43235</v>
      </c>
      <c r="L142" s="1">
        <v>43277</v>
      </c>
      <c r="M142" s="1">
        <v>43227</v>
      </c>
      <c r="N142" s="1">
        <v>45190</v>
      </c>
      <c r="Q142">
        <v>0</v>
      </c>
      <c r="R142">
        <v>0</v>
      </c>
      <c r="S142">
        <f t="shared" si="12"/>
        <v>65.935483870967744</v>
      </c>
      <c r="T142">
        <f t="shared" si="13"/>
        <v>65.935483870967744</v>
      </c>
      <c r="U142" s="2">
        <v>65.935483869999999</v>
      </c>
      <c r="V142" s="2">
        <v>65.935483869999999</v>
      </c>
      <c r="W142">
        <f t="shared" si="14"/>
        <v>64.451612903225808</v>
      </c>
      <c r="X142">
        <f>IF(R142=0, DATEDIF(M142,N142,"M")+DATEDIF(M142,N142,"MD")/DAY(EOMONTH(M142,0)), DATEDIF(M142,P142,"M")+DATEDIF(M142,P142,"MD")/DAY(EOMONTH(M142,0)))</f>
        <v>64.451612903225808</v>
      </c>
      <c r="Y142" s="2">
        <v>64.451612900000001</v>
      </c>
      <c r="Z142" s="2">
        <v>64.451612900000001</v>
      </c>
      <c r="AA142">
        <v>1</v>
      </c>
      <c r="AB142" t="s">
        <v>385</v>
      </c>
      <c r="AC142" t="s">
        <v>52</v>
      </c>
      <c r="AD142">
        <v>1</v>
      </c>
      <c r="AE142">
        <v>52</v>
      </c>
      <c r="AF142">
        <v>72</v>
      </c>
      <c r="AG142" t="s">
        <v>53</v>
      </c>
      <c r="AH142" t="s">
        <v>60</v>
      </c>
      <c r="AI142" t="s">
        <v>55</v>
      </c>
      <c r="AJ142" t="s">
        <v>461</v>
      </c>
      <c r="AK142" t="s">
        <v>55</v>
      </c>
      <c r="AL142" t="s">
        <v>96</v>
      </c>
      <c r="AM142" t="s">
        <v>59</v>
      </c>
      <c r="AN142" t="s">
        <v>60</v>
      </c>
      <c r="AO142">
        <v>1</v>
      </c>
      <c r="AP142">
        <v>0</v>
      </c>
      <c r="AQ142" t="str">
        <f t="shared" si="15"/>
        <v>Non-Responder</v>
      </c>
      <c r="AR142" t="s">
        <v>436</v>
      </c>
      <c r="AS142" t="s">
        <v>62</v>
      </c>
      <c r="AT142" t="s">
        <v>63</v>
      </c>
      <c r="AU142">
        <v>1.0900000000000001</v>
      </c>
      <c r="AV142" s="1">
        <v>43227</v>
      </c>
    </row>
    <row r="143" spans="1:48" x14ac:dyDescent="0.2">
      <c r="A143" t="s">
        <v>464</v>
      </c>
      <c r="B143" t="s">
        <v>48</v>
      </c>
      <c r="C143" t="s">
        <v>49</v>
      </c>
      <c r="D143" t="s">
        <v>465</v>
      </c>
      <c r="E143" s="1">
        <v>43832</v>
      </c>
      <c r="F143" s="1">
        <v>43889</v>
      </c>
      <c r="G143" s="1">
        <v>43146</v>
      </c>
      <c r="H143" s="1">
        <v>43181</v>
      </c>
      <c r="I143" s="1">
        <v>43182</v>
      </c>
      <c r="J143" s="1">
        <v>43192</v>
      </c>
      <c r="K143" s="1">
        <v>43229</v>
      </c>
      <c r="L143" s="1">
        <v>43277</v>
      </c>
      <c r="M143" s="1">
        <v>43222</v>
      </c>
      <c r="N143" s="1">
        <v>44069</v>
      </c>
      <c r="O143" s="1">
        <v>43838</v>
      </c>
      <c r="P143" s="1">
        <v>44070</v>
      </c>
      <c r="Q143">
        <v>1</v>
      </c>
      <c r="R143">
        <v>1</v>
      </c>
      <c r="S143">
        <f t="shared" si="12"/>
        <v>21.2</v>
      </c>
      <c r="T143">
        <f t="shared" si="13"/>
        <v>28.833333333333332</v>
      </c>
      <c r="U143" s="2">
        <v>21.2</v>
      </c>
      <c r="V143" s="2">
        <v>28.833333329999999</v>
      </c>
      <c r="W143">
        <f t="shared" si="14"/>
        <v>20.193548387096776</v>
      </c>
      <c r="X143">
        <f t="shared" ref="X143:X184" si="16">IF(R143=0, DATEDIF(M143,N143,"M")+DATEDIF(M143,N143,"MD")/DAY(EOMONTH(M143,0)), DATEDIF(M143,P143,"M")+DATEDIF(M143,P143,"MD")/DAY(EOMONTH(M143,0)))</f>
        <v>27.806451612903224</v>
      </c>
      <c r="Y143" s="2">
        <v>20.19354839</v>
      </c>
      <c r="Z143" s="2">
        <v>27.80645161</v>
      </c>
      <c r="AA143">
        <v>1</v>
      </c>
      <c r="AB143" t="s">
        <v>407</v>
      </c>
      <c r="AC143" t="s">
        <v>52</v>
      </c>
      <c r="AD143">
        <v>0</v>
      </c>
      <c r="AE143">
        <v>53</v>
      </c>
      <c r="AF143">
        <v>70</v>
      </c>
      <c r="AG143" t="s">
        <v>80</v>
      </c>
      <c r="AH143" t="s">
        <v>54</v>
      </c>
      <c r="AI143" t="s">
        <v>57</v>
      </c>
      <c r="AJ143" t="s">
        <v>56</v>
      </c>
      <c r="AK143" t="s">
        <v>57</v>
      </c>
      <c r="AL143" t="s">
        <v>96</v>
      </c>
      <c r="AM143" t="s">
        <v>59</v>
      </c>
      <c r="AN143" t="s">
        <v>60</v>
      </c>
      <c r="AO143">
        <v>2</v>
      </c>
      <c r="AP143">
        <v>0</v>
      </c>
      <c r="AQ143" t="str">
        <f t="shared" si="15"/>
        <v>Non-Responder</v>
      </c>
      <c r="AR143" t="s">
        <v>436</v>
      </c>
      <c r="AS143" t="s">
        <v>62</v>
      </c>
      <c r="AT143" t="s">
        <v>63</v>
      </c>
      <c r="AU143">
        <v>0.3</v>
      </c>
      <c r="AV143" s="1">
        <v>43181</v>
      </c>
    </row>
    <row r="144" spans="1:48" x14ac:dyDescent="0.2">
      <c r="A144" t="s">
        <v>466</v>
      </c>
      <c r="B144" t="s">
        <v>68</v>
      </c>
      <c r="C144" t="s">
        <v>49</v>
      </c>
      <c r="D144" t="s">
        <v>465</v>
      </c>
      <c r="E144" s="1">
        <v>43832</v>
      </c>
      <c r="F144" s="1">
        <v>43887</v>
      </c>
      <c r="G144" s="1">
        <v>43146</v>
      </c>
      <c r="H144" s="1">
        <v>43181</v>
      </c>
      <c r="I144" s="1">
        <v>43182</v>
      </c>
      <c r="J144" s="1">
        <v>43192</v>
      </c>
      <c r="K144" s="1">
        <v>43229</v>
      </c>
      <c r="L144" s="1">
        <v>43277</v>
      </c>
      <c r="M144" s="1">
        <v>43222</v>
      </c>
      <c r="N144" s="1">
        <v>44069</v>
      </c>
      <c r="O144" s="1">
        <v>43838</v>
      </c>
      <c r="P144" s="1">
        <v>44070</v>
      </c>
      <c r="Q144">
        <v>1</v>
      </c>
      <c r="R144">
        <v>1</v>
      </c>
      <c r="S144">
        <f t="shared" si="12"/>
        <v>21.2</v>
      </c>
      <c r="T144">
        <f t="shared" si="13"/>
        <v>28.833333333333332</v>
      </c>
      <c r="U144" s="2">
        <v>21.2</v>
      </c>
      <c r="V144" s="2">
        <v>28.833333329999999</v>
      </c>
      <c r="W144">
        <f t="shared" si="14"/>
        <v>20.193548387096776</v>
      </c>
      <c r="X144">
        <f t="shared" si="16"/>
        <v>27.806451612903224</v>
      </c>
      <c r="Y144" s="2">
        <v>20.19354839</v>
      </c>
      <c r="Z144" s="2">
        <v>27.80645161</v>
      </c>
      <c r="AA144">
        <v>1</v>
      </c>
      <c r="AB144" t="s">
        <v>385</v>
      </c>
      <c r="AC144" t="s">
        <v>52</v>
      </c>
      <c r="AD144">
        <v>0</v>
      </c>
      <c r="AE144">
        <v>53</v>
      </c>
      <c r="AF144">
        <v>70</v>
      </c>
      <c r="AG144" t="s">
        <v>80</v>
      </c>
      <c r="AH144" t="s">
        <v>54</v>
      </c>
      <c r="AI144" t="s">
        <v>57</v>
      </c>
      <c r="AJ144" t="s">
        <v>56</v>
      </c>
      <c r="AK144" t="s">
        <v>57</v>
      </c>
      <c r="AL144" t="s">
        <v>96</v>
      </c>
      <c r="AM144" t="s">
        <v>59</v>
      </c>
      <c r="AN144" t="s">
        <v>60</v>
      </c>
      <c r="AO144">
        <v>2</v>
      </c>
      <c r="AP144">
        <v>0</v>
      </c>
      <c r="AQ144" t="str">
        <f t="shared" si="15"/>
        <v>Non-Responder</v>
      </c>
      <c r="AR144" t="s">
        <v>436</v>
      </c>
      <c r="AS144" t="s">
        <v>62</v>
      </c>
      <c r="AT144" t="s">
        <v>63</v>
      </c>
      <c r="AU144">
        <v>0.314</v>
      </c>
      <c r="AV144" s="1">
        <v>43189</v>
      </c>
    </row>
    <row r="145" spans="1:48" x14ac:dyDescent="0.2">
      <c r="A145" t="s">
        <v>467</v>
      </c>
      <c r="B145" t="s">
        <v>74</v>
      </c>
      <c r="C145" t="s">
        <v>49</v>
      </c>
      <c r="D145" t="s">
        <v>465</v>
      </c>
      <c r="E145" s="1">
        <v>43832</v>
      </c>
      <c r="F145" s="1">
        <v>43898</v>
      </c>
      <c r="G145" s="1">
        <v>43146</v>
      </c>
      <c r="H145" s="1">
        <v>43181</v>
      </c>
      <c r="I145" s="1">
        <v>43182</v>
      </c>
      <c r="J145" s="1">
        <v>43192</v>
      </c>
      <c r="K145" s="1">
        <v>43229</v>
      </c>
      <c r="L145" s="1">
        <v>43277</v>
      </c>
      <c r="M145" s="1">
        <v>43222</v>
      </c>
      <c r="N145" s="1">
        <v>44069</v>
      </c>
      <c r="O145" s="1">
        <v>43838</v>
      </c>
      <c r="P145" s="1">
        <v>44070</v>
      </c>
      <c r="Q145">
        <v>1</v>
      </c>
      <c r="R145">
        <v>1</v>
      </c>
      <c r="S145">
        <f t="shared" si="12"/>
        <v>21.2</v>
      </c>
      <c r="T145">
        <f t="shared" si="13"/>
        <v>28.833333333333332</v>
      </c>
      <c r="U145" s="2">
        <v>21.2</v>
      </c>
      <c r="V145" s="2">
        <v>28.833333329999999</v>
      </c>
      <c r="W145">
        <f t="shared" si="14"/>
        <v>20.193548387096776</v>
      </c>
      <c r="X145">
        <f t="shared" si="16"/>
        <v>27.806451612903224</v>
      </c>
      <c r="Y145" s="2">
        <v>20.19354839</v>
      </c>
      <c r="Z145" s="2">
        <v>27.80645161</v>
      </c>
      <c r="AA145">
        <v>1</v>
      </c>
      <c r="AB145" t="s">
        <v>375</v>
      </c>
      <c r="AC145" t="s">
        <v>52</v>
      </c>
      <c r="AD145">
        <v>0</v>
      </c>
      <c r="AE145">
        <v>53</v>
      </c>
      <c r="AF145">
        <v>70</v>
      </c>
      <c r="AG145" t="s">
        <v>80</v>
      </c>
      <c r="AH145" t="s">
        <v>54</v>
      </c>
      <c r="AI145" t="s">
        <v>57</v>
      </c>
      <c r="AJ145" t="s">
        <v>56</v>
      </c>
      <c r="AK145" t="s">
        <v>57</v>
      </c>
      <c r="AL145" t="s">
        <v>96</v>
      </c>
      <c r="AM145" t="s">
        <v>59</v>
      </c>
      <c r="AN145" t="s">
        <v>60</v>
      </c>
      <c r="AO145">
        <v>2</v>
      </c>
      <c r="AP145">
        <v>0</v>
      </c>
      <c r="AQ145" t="str">
        <f t="shared" si="15"/>
        <v>Non-Responder</v>
      </c>
      <c r="AR145" t="s">
        <v>436</v>
      </c>
      <c r="AS145" t="s">
        <v>62</v>
      </c>
      <c r="AT145" t="s">
        <v>63</v>
      </c>
      <c r="AU145">
        <v>0.188</v>
      </c>
      <c r="AV145" s="1">
        <v>43223</v>
      </c>
    </row>
    <row r="146" spans="1:48" x14ac:dyDescent="0.2">
      <c r="A146" t="s">
        <v>468</v>
      </c>
      <c r="B146" t="s">
        <v>48</v>
      </c>
      <c r="C146" t="s">
        <v>49</v>
      </c>
      <c r="D146" t="s">
        <v>469</v>
      </c>
      <c r="E146" s="1">
        <v>43832</v>
      </c>
      <c r="F146" s="1">
        <v>43888</v>
      </c>
      <c r="G146" s="1">
        <v>43271</v>
      </c>
      <c r="H146" s="1">
        <v>43319</v>
      </c>
      <c r="I146" s="1">
        <v>43319</v>
      </c>
      <c r="J146" s="1">
        <v>43326</v>
      </c>
      <c r="N146" s="1">
        <v>43326</v>
      </c>
      <c r="Q146">
        <v>0</v>
      </c>
      <c r="R146">
        <v>0</v>
      </c>
      <c r="U146" s="2">
        <v>55.068996599999998</v>
      </c>
      <c r="V146" s="2">
        <v>54.756465176448593</v>
      </c>
      <c r="Y146" s="2">
        <v>53.975304199550543</v>
      </c>
      <c r="Z146" s="2">
        <v>53.632725738415814</v>
      </c>
      <c r="AA146">
        <v>1</v>
      </c>
      <c r="AB146" t="s">
        <v>370</v>
      </c>
      <c r="AC146" t="s">
        <v>52</v>
      </c>
      <c r="AD146">
        <v>0</v>
      </c>
      <c r="AE146">
        <v>54</v>
      </c>
      <c r="AF146">
        <v>69</v>
      </c>
      <c r="AG146" t="s">
        <v>80</v>
      </c>
      <c r="AH146" t="s">
        <v>54</v>
      </c>
      <c r="AI146" t="s">
        <v>55</v>
      </c>
      <c r="AJ146" t="s">
        <v>56</v>
      </c>
      <c r="AK146" t="s">
        <v>57</v>
      </c>
      <c r="AL146" t="s">
        <v>470</v>
      </c>
      <c r="AM146" t="s">
        <v>109</v>
      </c>
      <c r="AN146" t="s">
        <v>60</v>
      </c>
      <c r="AO146">
        <v>0</v>
      </c>
      <c r="AP146">
        <v>2</v>
      </c>
      <c r="AQ146" t="str">
        <f t="shared" si="15"/>
        <v>Responder</v>
      </c>
      <c r="AR146">
        <v>0.2</v>
      </c>
      <c r="AS146" t="s">
        <v>142</v>
      </c>
      <c r="AT146" t="s">
        <v>143</v>
      </c>
      <c r="AU146">
        <v>0.3</v>
      </c>
      <c r="AV146" s="1">
        <v>43320</v>
      </c>
    </row>
    <row r="147" spans="1:48" x14ac:dyDescent="0.2">
      <c r="A147" t="s">
        <v>471</v>
      </c>
      <c r="B147" t="s">
        <v>68</v>
      </c>
      <c r="C147" t="s">
        <v>49</v>
      </c>
      <c r="D147" t="s">
        <v>469</v>
      </c>
      <c r="E147" s="1">
        <v>43832</v>
      </c>
      <c r="F147" s="1">
        <v>43891</v>
      </c>
      <c r="G147" s="1">
        <v>43271</v>
      </c>
      <c r="H147" s="1">
        <v>43319</v>
      </c>
      <c r="I147" s="1">
        <v>43319</v>
      </c>
      <c r="J147" s="1">
        <v>43326</v>
      </c>
      <c r="N147" s="1">
        <v>43326</v>
      </c>
      <c r="Q147">
        <v>0</v>
      </c>
      <c r="R147">
        <v>0</v>
      </c>
      <c r="U147" s="2">
        <v>55.068996599999998</v>
      </c>
      <c r="V147" s="2">
        <v>54.756465176448593</v>
      </c>
      <c r="Y147" s="2">
        <v>53.975304199550543</v>
      </c>
      <c r="Z147" s="2">
        <v>53.632725738415814</v>
      </c>
      <c r="AA147">
        <v>1</v>
      </c>
      <c r="AB147" t="s">
        <v>396</v>
      </c>
      <c r="AC147" t="s">
        <v>52</v>
      </c>
      <c r="AD147">
        <v>0</v>
      </c>
      <c r="AE147">
        <v>54</v>
      </c>
      <c r="AF147">
        <v>69</v>
      </c>
      <c r="AG147" t="s">
        <v>80</v>
      </c>
      <c r="AH147" t="s">
        <v>54</v>
      </c>
      <c r="AI147" t="s">
        <v>55</v>
      </c>
      <c r="AJ147" t="s">
        <v>56</v>
      </c>
      <c r="AK147" t="s">
        <v>57</v>
      </c>
      <c r="AL147" t="s">
        <v>470</v>
      </c>
      <c r="AM147" t="s">
        <v>109</v>
      </c>
      <c r="AN147" t="s">
        <v>60</v>
      </c>
      <c r="AO147">
        <v>0</v>
      </c>
      <c r="AP147">
        <v>2</v>
      </c>
      <c r="AQ147" t="str">
        <f t="shared" si="15"/>
        <v>Responder</v>
      </c>
      <c r="AR147">
        <v>0.2</v>
      </c>
      <c r="AS147" t="s">
        <v>142</v>
      </c>
      <c r="AT147" t="s">
        <v>143</v>
      </c>
      <c r="AU147">
        <v>0.33</v>
      </c>
      <c r="AV147" s="1">
        <v>43326</v>
      </c>
    </row>
    <row r="148" spans="1:48" x14ac:dyDescent="0.2">
      <c r="A148" t="s">
        <v>472</v>
      </c>
      <c r="B148" t="s">
        <v>48</v>
      </c>
      <c r="C148" t="s">
        <v>49</v>
      </c>
      <c r="D148" t="s">
        <v>473</v>
      </c>
      <c r="E148" s="1">
        <v>43832</v>
      </c>
      <c r="F148" s="1">
        <v>43898</v>
      </c>
      <c r="G148" s="1">
        <v>43376</v>
      </c>
      <c r="H148" s="1">
        <v>43399</v>
      </c>
      <c r="I148" s="1">
        <v>43399</v>
      </c>
      <c r="J148" s="1">
        <v>43409</v>
      </c>
      <c r="K148" s="1">
        <v>43460</v>
      </c>
      <c r="L148" s="1">
        <v>43508</v>
      </c>
      <c r="M148" s="1">
        <v>43452</v>
      </c>
      <c r="N148" s="1">
        <v>45070</v>
      </c>
      <c r="Q148">
        <v>0</v>
      </c>
      <c r="R148">
        <v>0</v>
      </c>
      <c r="S148">
        <f t="shared" si="12"/>
        <v>54.633333333333333</v>
      </c>
      <c r="T148">
        <f t="shared" si="13"/>
        <v>54.633333333333333</v>
      </c>
      <c r="U148" s="2">
        <v>54.633333329999999</v>
      </c>
      <c r="V148" s="2">
        <v>54.633333329999999</v>
      </c>
      <c r="W148">
        <f t="shared" si="14"/>
        <v>53.193548387096776</v>
      </c>
      <c r="X148">
        <f t="shared" si="16"/>
        <v>53.193548387096776</v>
      </c>
      <c r="Y148" s="2">
        <v>53.193548389999997</v>
      </c>
      <c r="Z148" s="2">
        <v>53.193548389999997</v>
      </c>
      <c r="AA148">
        <v>1</v>
      </c>
      <c r="AB148" t="s">
        <v>375</v>
      </c>
      <c r="AC148" t="s">
        <v>52</v>
      </c>
      <c r="AD148">
        <v>0</v>
      </c>
      <c r="AE148">
        <v>55</v>
      </c>
      <c r="AF148">
        <v>54</v>
      </c>
      <c r="AG148" t="s">
        <v>53</v>
      </c>
      <c r="AH148" t="s">
        <v>54</v>
      </c>
      <c r="AI148" t="s">
        <v>55</v>
      </c>
      <c r="AJ148" t="s">
        <v>56</v>
      </c>
      <c r="AK148" t="s">
        <v>55</v>
      </c>
      <c r="AL148" t="s">
        <v>81</v>
      </c>
      <c r="AM148" t="s">
        <v>59</v>
      </c>
      <c r="AN148" t="s">
        <v>60</v>
      </c>
      <c r="AO148">
        <v>1</v>
      </c>
      <c r="AP148">
        <v>0</v>
      </c>
      <c r="AQ148" t="str">
        <f t="shared" si="15"/>
        <v>Non-Responder</v>
      </c>
      <c r="AR148" t="s">
        <v>61</v>
      </c>
      <c r="AS148" t="s">
        <v>62</v>
      </c>
      <c r="AT148" t="s">
        <v>63</v>
      </c>
      <c r="AU148">
        <v>0.106</v>
      </c>
      <c r="AV148" s="1">
        <v>43399</v>
      </c>
    </row>
    <row r="149" spans="1:48" x14ac:dyDescent="0.2">
      <c r="A149" t="s">
        <v>474</v>
      </c>
      <c r="B149" t="s">
        <v>68</v>
      </c>
      <c r="C149" t="s">
        <v>49</v>
      </c>
      <c r="D149" t="s">
        <v>473</v>
      </c>
      <c r="E149" s="1">
        <v>43832</v>
      </c>
      <c r="F149" s="1">
        <v>43888</v>
      </c>
      <c r="G149" s="1">
        <v>43376</v>
      </c>
      <c r="H149" s="1">
        <v>43399</v>
      </c>
      <c r="I149" s="1">
        <v>43399</v>
      </c>
      <c r="J149" s="1">
        <v>43409</v>
      </c>
      <c r="K149" s="1">
        <v>43460</v>
      </c>
      <c r="L149" s="1">
        <v>43508</v>
      </c>
      <c r="M149" s="1">
        <v>43452</v>
      </c>
      <c r="N149" s="1">
        <v>45070</v>
      </c>
      <c r="Q149">
        <v>0</v>
      </c>
      <c r="R149">
        <v>0</v>
      </c>
      <c r="S149">
        <f t="shared" si="12"/>
        <v>54.633333333333333</v>
      </c>
      <c r="T149">
        <f t="shared" si="13"/>
        <v>54.633333333333333</v>
      </c>
      <c r="U149" s="2">
        <v>54.633333329999999</v>
      </c>
      <c r="V149" s="2">
        <v>54.633333329999999</v>
      </c>
      <c r="W149">
        <f t="shared" si="14"/>
        <v>53.193548387096776</v>
      </c>
      <c r="X149">
        <f t="shared" si="16"/>
        <v>53.193548387096776</v>
      </c>
      <c r="Y149" s="2">
        <v>53.193548389999997</v>
      </c>
      <c r="Z149" s="2">
        <v>53.193548389999997</v>
      </c>
      <c r="AA149">
        <v>1</v>
      </c>
      <c r="AB149" t="s">
        <v>370</v>
      </c>
      <c r="AC149" t="s">
        <v>52</v>
      </c>
      <c r="AD149">
        <v>0</v>
      </c>
      <c r="AE149">
        <v>55</v>
      </c>
      <c r="AF149">
        <v>54</v>
      </c>
      <c r="AG149" t="s">
        <v>53</v>
      </c>
      <c r="AH149" t="s">
        <v>54</v>
      </c>
      <c r="AI149" t="s">
        <v>55</v>
      </c>
      <c r="AJ149" t="s">
        <v>56</v>
      </c>
      <c r="AK149" t="s">
        <v>55</v>
      </c>
      <c r="AL149" t="s">
        <v>81</v>
      </c>
      <c r="AM149" t="s">
        <v>59</v>
      </c>
      <c r="AN149" t="s">
        <v>60</v>
      </c>
      <c r="AO149">
        <v>1</v>
      </c>
      <c r="AP149">
        <v>0</v>
      </c>
      <c r="AQ149" t="str">
        <f t="shared" si="15"/>
        <v>Non-Responder</v>
      </c>
      <c r="AR149" t="s">
        <v>61</v>
      </c>
      <c r="AS149" t="s">
        <v>62</v>
      </c>
      <c r="AT149" t="s">
        <v>63</v>
      </c>
      <c r="AU149">
        <v>0.05</v>
      </c>
      <c r="AV149" s="1">
        <v>43409</v>
      </c>
    </row>
    <row r="150" spans="1:48" x14ac:dyDescent="0.2">
      <c r="A150" t="s">
        <v>475</v>
      </c>
      <c r="B150" t="s">
        <v>74</v>
      </c>
      <c r="C150" t="s">
        <v>49</v>
      </c>
      <c r="D150" t="s">
        <v>473</v>
      </c>
      <c r="E150" s="1">
        <v>43832</v>
      </c>
      <c r="F150" s="1">
        <v>43887</v>
      </c>
      <c r="G150" s="1">
        <v>43376</v>
      </c>
      <c r="H150" s="1">
        <v>43399</v>
      </c>
      <c r="I150" s="1">
        <v>43399</v>
      </c>
      <c r="J150" s="1">
        <v>43409</v>
      </c>
      <c r="K150" s="1">
        <v>43460</v>
      </c>
      <c r="L150" s="1">
        <v>43508</v>
      </c>
      <c r="M150" s="1">
        <v>43452</v>
      </c>
      <c r="N150" s="1">
        <v>45070</v>
      </c>
      <c r="Q150">
        <v>0</v>
      </c>
      <c r="R150">
        <v>0</v>
      </c>
      <c r="S150">
        <f t="shared" si="12"/>
        <v>54.633333333333333</v>
      </c>
      <c r="T150">
        <f t="shared" si="13"/>
        <v>54.633333333333333</v>
      </c>
      <c r="U150" s="2">
        <v>54.633333329999999</v>
      </c>
      <c r="V150" s="2">
        <v>54.633333329999999</v>
      </c>
      <c r="W150">
        <f t="shared" si="14"/>
        <v>53.193548387096776</v>
      </c>
      <c r="X150">
        <f t="shared" si="16"/>
        <v>53.193548387096776</v>
      </c>
      <c r="Y150" s="2">
        <v>53.193548389999997</v>
      </c>
      <c r="Z150" s="2">
        <v>53.193548389999997</v>
      </c>
      <c r="AA150">
        <v>1</v>
      </c>
      <c r="AB150" t="s">
        <v>385</v>
      </c>
      <c r="AC150" t="s">
        <v>52</v>
      </c>
      <c r="AD150">
        <v>0</v>
      </c>
      <c r="AE150">
        <v>55</v>
      </c>
      <c r="AF150">
        <v>54</v>
      </c>
      <c r="AG150" t="s">
        <v>53</v>
      </c>
      <c r="AH150" t="s">
        <v>54</v>
      </c>
      <c r="AI150" t="s">
        <v>55</v>
      </c>
      <c r="AJ150" t="s">
        <v>56</v>
      </c>
      <c r="AK150" t="s">
        <v>55</v>
      </c>
      <c r="AL150" t="s">
        <v>81</v>
      </c>
      <c r="AM150" t="s">
        <v>59</v>
      </c>
      <c r="AN150" t="s">
        <v>60</v>
      </c>
      <c r="AO150">
        <v>1</v>
      </c>
      <c r="AP150">
        <v>0</v>
      </c>
      <c r="AQ150" t="str">
        <f t="shared" si="15"/>
        <v>Non-Responder</v>
      </c>
      <c r="AR150" t="s">
        <v>61</v>
      </c>
      <c r="AS150" t="s">
        <v>62</v>
      </c>
      <c r="AT150" t="s">
        <v>63</v>
      </c>
      <c r="AU150">
        <v>0.10199999999999999</v>
      </c>
      <c r="AV150" s="1">
        <v>43452</v>
      </c>
    </row>
    <row r="151" spans="1:48" x14ac:dyDescent="0.2">
      <c r="A151" t="s">
        <v>476</v>
      </c>
      <c r="B151" t="s">
        <v>48</v>
      </c>
      <c r="C151" t="s">
        <v>49</v>
      </c>
      <c r="D151" t="s">
        <v>477</v>
      </c>
      <c r="E151" s="1">
        <v>43832</v>
      </c>
      <c r="F151" s="1">
        <v>43901</v>
      </c>
      <c r="G151" s="1">
        <v>43580</v>
      </c>
      <c r="H151" s="1">
        <v>43602</v>
      </c>
      <c r="I151" s="1">
        <v>43606</v>
      </c>
      <c r="J151" s="1">
        <v>43613</v>
      </c>
      <c r="K151" s="1">
        <v>43663</v>
      </c>
      <c r="L151" s="1">
        <v>43705</v>
      </c>
      <c r="M151" s="1">
        <v>43657</v>
      </c>
      <c r="N151" s="1">
        <v>45212</v>
      </c>
      <c r="Q151">
        <v>0</v>
      </c>
      <c r="R151">
        <v>0</v>
      </c>
      <c r="S151">
        <f t="shared" si="12"/>
        <v>52.483870967741936</v>
      </c>
      <c r="T151">
        <f t="shared" si="13"/>
        <v>52.483870967741936</v>
      </c>
      <c r="U151" s="2">
        <v>52.483870969999998</v>
      </c>
      <c r="V151" s="2">
        <v>52.483870969999998</v>
      </c>
      <c r="W151">
        <f t="shared" si="14"/>
        <v>51.064516129032256</v>
      </c>
      <c r="X151">
        <f t="shared" si="16"/>
        <v>51.064516129032256</v>
      </c>
      <c r="Y151" s="2">
        <v>51.064516130000001</v>
      </c>
      <c r="Z151" s="2">
        <v>51.064516130000001</v>
      </c>
      <c r="AA151">
        <v>1</v>
      </c>
      <c r="AB151" t="s">
        <v>373</v>
      </c>
      <c r="AC151" t="s">
        <v>52</v>
      </c>
      <c r="AD151">
        <v>0</v>
      </c>
      <c r="AE151">
        <v>56</v>
      </c>
      <c r="AF151">
        <v>58</v>
      </c>
      <c r="AG151" t="s">
        <v>53</v>
      </c>
      <c r="AH151" t="s">
        <v>478</v>
      </c>
      <c r="AI151" t="s">
        <v>55</v>
      </c>
      <c r="AJ151" t="s">
        <v>56</v>
      </c>
      <c r="AK151" t="s">
        <v>55</v>
      </c>
      <c r="AL151" t="s">
        <v>249</v>
      </c>
      <c r="AM151" t="s">
        <v>59</v>
      </c>
      <c r="AN151" t="s">
        <v>57</v>
      </c>
      <c r="AO151">
        <v>0</v>
      </c>
      <c r="AP151">
        <v>0</v>
      </c>
      <c r="AQ151" t="str">
        <f t="shared" si="15"/>
        <v>Non-Responder</v>
      </c>
      <c r="AR151">
        <v>0</v>
      </c>
      <c r="AS151" t="s">
        <v>62</v>
      </c>
      <c r="AT151" t="s">
        <v>63</v>
      </c>
      <c r="AU151">
        <v>0.11600000000000001</v>
      </c>
      <c r="AV151" s="1">
        <v>43606</v>
      </c>
    </row>
    <row r="152" spans="1:48" x14ac:dyDescent="0.2">
      <c r="A152" t="s">
        <v>479</v>
      </c>
      <c r="B152" t="s">
        <v>68</v>
      </c>
      <c r="C152" t="s">
        <v>49</v>
      </c>
      <c r="D152" t="s">
        <v>477</v>
      </c>
      <c r="E152" s="1">
        <v>43832</v>
      </c>
      <c r="F152" s="1">
        <v>43901</v>
      </c>
      <c r="G152" s="1">
        <v>43580</v>
      </c>
      <c r="H152" s="1">
        <v>43602</v>
      </c>
      <c r="I152" s="1">
        <v>43606</v>
      </c>
      <c r="J152" s="1">
        <v>43613</v>
      </c>
      <c r="K152" s="1">
        <v>43663</v>
      </c>
      <c r="L152" s="1">
        <v>43705</v>
      </c>
      <c r="M152" s="1">
        <v>43657</v>
      </c>
      <c r="N152" s="1">
        <v>45212</v>
      </c>
      <c r="Q152">
        <v>0</v>
      </c>
      <c r="R152">
        <v>0</v>
      </c>
      <c r="S152">
        <f t="shared" si="12"/>
        <v>52.483870967741936</v>
      </c>
      <c r="T152">
        <f t="shared" si="13"/>
        <v>52.483870967741936</v>
      </c>
      <c r="U152" s="2">
        <v>52.483870969999998</v>
      </c>
      <c r="V152" s="2">
        <v>52.483870969999998</v>
      </c>
      <c r="W152">
        <f t="shared" si="14"/>
        <v>51.064516129032256</v>
      </c>
      <c r="X152">
        <f t="shared" si="16"/>
        <v>51.064516129032256</v>
      </c>
      <c r="Y152" s="2">
        <v>51.064516130000001</v>
      </c>
      <c r="Z152" s="2">
        <v>51.064516130000001</v>
      </c>
      <c r="AA152">
        <v>1</v>
      </c>
      <c r="AB152" t="s">
        <v>373</v>
      </c>
      <c r="AC152" t="s">
        <v>52</v>
      </c>
      <c r="AD152">
        <v>0</v>
      </c>
      <c r="AE152">
        <v>56</v>
      </c>
      <c r="AF152">
        <v>58</v>
      </c>
      <c r="AG152" t="s">
        <v>53</v>
      </c>
      <c r="AH152" t="s">
        <v>478</v>
      </c>
      <c r="AI152" t="s">
        <v>55</v>
      </c>
      <c r="AJ152" t="s">
        <v>56</v>
      </c>
      <c r="AK152" t="s">
        <v>55</v>
      </c>
      <c r="AL152" t="s">
        <v>249</v>
      </c>
      <c r="AM152" t="s">
        <v>59</v>
      </c>
      <c r="AN152" t="s">
        <v>57</v>
      </c>
      <c r="AO152">
        <v>0</v>
      </c>
      <c r="AP152">
        <v>0</v>
      </c>
      <c r="AQ152" t="str">
        <f t="shared" si="15"/>
        <v>Non-Responder</v>
      </c>
      <c r="AR152">
        <v>0</v>
      </c>
      <c r="AS152" t="s">
        <v>62</v>
      </c>
      <c r="AT152" t="s">
        <v>63</v>
      </c>
      <c r="AU152">
        <v>0.114</v>
      </c>
      <c r="AV152" s="1">
        <v>43609</v>
      </c>
    </row>
    <row r="153" spans="1:48" x14ac:dyDescent="0.2">
      <c r="A153" t="s">
        <v>480</v>
      </c>
      <c r="B153" t="s">
        <v>74</v>
      </c>
      <c r="C153" t="s">
        <v>49</v>
      </c>
      <c r="D153" t="s">
        <v>477</v>
      </c>
      <c r="E153" s="1">
        <v>43832</v>
      </c>
      <c r="F153" s="1">
        <v>43898</v>
      </c>
      <c r="G153" s="1">
        <v>43580</v>
      </c>
      <c r="H153" s="1">
        <v>43602</v>
      </c>
      <c r="I153" s="1">
        <v>43606</v>
      </c>
      <c r="J153" s="1">
        <v>43613</v>
      </c>
      <c r="K153" s="1">
        <v>43663</v>
      </c>
      <c r="L153" s="1">
        <v>43705</v>
      </c>
      <c r="M153" s="1">
        <v>43657</v>
      </c>
      <c r="N153" s="1">
        <v>45212</v>
      </c>
      <c r="Q153">
        <v>0</v>
      </c>
      <c r="R153">
        <v>0</v>
      </c>
      <c r="S153">
        <f t="shared" si="12"/>
        <v>52.483870967741936</v>
      </c>
      <c r="T153">
        <f t="shared" si="13"/>
        <v>52.483870967741936</v>
      </c>
      <c r="U153" s="2">
        <v>52.483870969999998</v>
      </c>
      <c r="V153" s="2">
        <v>52.483870969999998</v>
      </c>
      <c r="W153">
        <f t="shared" si="14"/>
        <v>51.064516129032256</v>
      </c>
      <c r="X153">
        <f t="shared" si="16"/>
        <v>51.064516129032256</v>
      </c>
      <c r="Y153" s="2">
        <v>51.064516130000001</v>
      </c>
      <c r="Z153" s="2">
        <v>51.064516130000001</v>
      </c>
      <c r="AA153">
        <v>1</v>
      </c>
      <c r="AB153" t="s">
        <v>375</v>
      </c>
      <c r="AC153" t="s">
        <v>52</v>
      </c>
      <c r="AD153">
        <v>0</v>
      </c>
      <c r="AE153">
        <v>56</v>
      </c>
      <c r="AF153">
        <v>58</v>
      </c>
      <c r="AG153" t="s">
        <v>53</v>
      </c>
      <c r="AH153" t="s">
        <v>478</v>
      </c>
      <c r="AI153" t="s">
        <v>55</v>
      </c>
      <c r="AJ153" t="s">
        <v>56</v>
      </c>
      <c r="AK153" t="s">
        <v>55</v>
      </c>
      <c r="AL153" t="s">
        <v>249</v>
      </c>
      <c r="AM153" t="s">
        <v>59</v>
      </c>
      <c r="AN153" t="s">
        <v>57</v>
      </c>
      <c r="AO153">
        <v>0</v>
      </c>
      <c r="AP153">
        <v>0</v>
      </c>
      <c r="AQ153" t="str">
        <f t="shared" si="15"/>
        <v>Non-Responder</v>
      </c>
      <c r="AR153">
        <v>0</v>
      </c>
      <c r="AS153" t="s">
        <v>62</v>
      </c>
      <c r="AT153" t="s">
        <v>63</v>
      </c>
      <c r="AU153">
        <v>0.39200000000000002</v>
      </c>
      <c r="AV153" s="1">
        <v>43657</v>
      </c>
    </row>
    <row r="154" spans="1:48" x14ac:dyDescent="0.2">
      <c r="A154" t="s">
        <v>481</v>
      </c>
      <c r="B154" t="s">
        <v>48</v>
      </c>
      <c r="C154" t="s">
        <v>49</v>
      </c>
      <c r="D154" t="s">
        <v>482</v>
      </c>
      <c r="E154" s="1">
        <v>43833</v>
      </c>
      <c r="F154" s="1">
        <v>43901</v>
      </c>
      <c r="G154" s="1">
        <v>43565</v>
      </c>
      <c r="H154" s="1">
        <v>43606</v>
      </c>
      <c r="I154" s="1">
        <v>43607</v>
      </c>
      <c r="J154" s="1">
        <v>43620</v>
      </c>
      <c r="K154" s="1">
        <v>43657</v>
      </c>
      <c r="L154" s="1">
        <v>43703</v>
      </c>
      <c r="M154" s="1">
        <v>43649</v>
      </c>
      <c r="N154" s="1">
        <v>45043</v>
      </c>
      <c r="P154" s="1">
        <v>45044</v>
      </c>
      <c r="Q154">
        <v>1</v>
      </c>
      <c r="R154">
        <v>1</v>
      </c>
      <c r="S154">
        <v>46.8</v>
      </c>
      <c r="T154">
        <f t="shared" si="13"/>
        <v>46.8</v>
      </c>
      <c r="U154" s="2">
        <v>46.8</v>
      </c>
      <c r="V154" s="2">
        <v>46.8</v>
      </c>
      <c r="W154">
        <v>45.806451612903224</v>
      </c>
      <c r="X154">
        <f t="shared" si="16"/>
        <v>45.806451612903224</v>
      </c>
      <c r="Y154" s="2">
        <v>45.806451610000003</v>
      </c>
      <c r="Z154" s="2">
        <v>45.806451610000003</v>
      </c>
      <c r="AA154">
        <v>1</v>
      </c>
      <c r="AB154" t="s">
        <v>373</v>
      </c>
      <c r="AC154" t="s">
        <v>52</v>
      </c>
      <c r="AD154">
        <v>0</v>
      </c>
      <c r="AE154">
        <v>57</v>
      </c>
      <c r="AF154">
        <v>60</v>
      </c>
      <c r="AG154" t="s">
        <v>80</v>
      </c>
      <c r="AH154" t="s">
        <v>54</v>
      </c>
      <c r="AI154" t="s">
        <v>55</v>
      </c>
      <c r="AJ154" t="s">
        <v>56</v>
      </c>
      <c r="AK154" t="s">
        <v>55</v>
      </c>
      <c r="AL154" t="s">
        <v>96</v>
      </c>
      <c r="AM154" t="s">
        <v>109</v>
      </c>
      <c r="AN154" t="s">
        <v>60</v>
      </c>
      <c r="AO154">
        <v>0</v>
      </c>
      <c r="AP154">
        <v>0</v>
      </c>
      <c r="AQ154" t="str">
        <f t="shared" si="15"/>
        <v>Non-Responder</v>
      </c>
      <c r="AR154" t="s">
        <v>483</v>
      </c>
      <c r="AS154" t="s">
        <v>62</v>
      </c>
      <c r="AT154" t="s">
        <v>63</v>
      </c>
      <c r="AU154">
        <v>0.106</v>
      </c>
      <c r="AV154" s="1">
        <v>43607</v>
      </c>
    </row>
    <row r="155" spans="1:48" x14ac:dyDescent="0.2">
      <c r="A155" t="s">
        <v>484</v>
      </c>
      <c r="B155" t="s">
        <v>68</v>
      </c>
      <c r="C155" t="s">
        <v>49</v>
      </c>
      <c r="D155" t="s">
        <v>482</v>
      </c>
      <c r="E155" s="1">
        <v>43833</v>
      </c>
      <c r="F155" s="1">
        <v>43888</v>
      </c>
      <c r="G155" s="1">
        <v>43565</v>
      </c>
      <c r="H155" s="1">
        <v>43606</v>
      </c>
      <c r="I155" s="1">
        <v>43607</v>
      </c>
      <c r="J155" s="1">
        <v>43620</v>
      </c>
      <c r="K155" s="1">
        <v>43657</v>
      </c>
      <c r="L155" s="1">
        <v>43703</v>
      </c>
      <c r="M155" s="1">
        <v>43649</v>
      </c>
      <c r="N155" s="1">
        <v>45043</v>
      </c>
      <c r="P155" s="1">
        <v>45044</v>
      </c>
      <c r="Q155">
        <v>1</v>
      </c>
      <c r="R155">
        <v>1</v>
      </c>
      <c r="S155">
        <v>46.8</v>
      </c>
      <c r="T155">
        <f t="shared" si="13"/>
        <v>46.8</v>
      </c>
      <c r="U155" s="2">
        <v>46.8</v>
      </c>
      <c r="V155" s="2">
        <v>46.8</v>
      </c>
      <c r="W155">
        <v>45.806451612903224</v>
      </c>
      <c r="X155">
        <f t="shared" si="16"/>
        <v>45.806451612903224</v>
      </c>
      <c r="Y155" s="2">
        <v>45.806451610000003</v>
      </c>
      <c r="Z155" s="2">
        <v>45.806451610000003</v>
      </c>
      <c r="AA155">
        <v>1</v>
      </c>
      <c r="AB155" t="s">
        <v>370</v>
      </c>
      <c r="AC155" t="s">
        <v>52</v>
      </c>
      <c r="AD155">
        <v>0</v>
      </c>
      <c r="AE155">
        <v>57</v>
      </c>
      <c r="AF155">
        <v>60</v>
      </c>
      <c r="AG155" t="s">
        <v>80</v>
      </c>
      <c r="AH155" t="s">
        <v>54</v>
      </c>
      <c r="AI155" t="s">
        <v>55</v>
      </c>
      <c r="AJ155" t="s">
        <v>56</v>
      </c>
      <c r="AK155" t="s">
        <v>55</v>
      </c>
      <c r="AL155" t="s">
        <v>96</v>
      </c>
      <c r="AM155" t="s">
        <v>109</v>
      </c>
      <c r="AN155" t="s">
        <v>60</v>
      </c>
      <c r="AO155">
        <v>0</v>
      </c>
      <c r="AP155">
        <v>0</v>
      </c>
      <c r="AQ155" t="str">
        <f t="shared" si="15"/>
        <v>Non-Responder</v>
      </c>
      <c r="AR155" t="s">
        <v>483</v>
      </c>
      <c r="AS155" t="s">
        <v>62</v>
      </c>
      <c r="AT155" t="s">
        <v>63</v>
      </c>
      <c r="AU155">
        <v>0.20200000000000001</v>
      </c>
      <c r="AV155" s="1">
        <v>43620</v>
      </c>
    </row>
    <row r="156" spans="1:48" x14ac:dyDescent="0.2">
      <c r="A156" t="s">
        <v>485</v>
      </c>
      <c r="B156" t="s">
        <v>74</v>
      </c>
      <c r="C156" t="s">
        <v>49</v>
      </c>
      <c r="D156" t="s">
        <v>482</v>
      </c>
      <c r="E156" s="1">
        <v>43833</v>
      </c>
      <c r="F156" s="1">
        <v>43898</v>
      </c>
      <c r="G156" s="1">
        <v>43565</v>
      </c>
      <c r="H156" s="1">
        <v>43606</v>
      </c>
      <c r="I156" s="1">
        <v>43607</v>
      </c>
      <c r="J156" s="1">
        <v>43620</v>
      </c>
      <c r="K156" s="1">
        <v>43657</v>
      </c>
      <c r="L156" s="1">
        <v>43703</v>
      </c>
      <c r="M156" s="1">
        <v>43649</v>
      </c>
      <c r="N156" s="1">
        <v>45043</v>
      </c>
      <c r="P156" s="1">
        <v>45044</v>
      </c>
      <c r="Q156">
        <v>1</v>
      </c>
      <c r="R156">
        <v>1</v>
      </c>
      <c r="S156">
        <v>46.8</v>
      </c>
      <c r="T156">
        <f t="shared" si="13"/>
        <v>46.8</v>
      </c>
      <c r="U156" s="2">
        <v>46.8</v>
      </c>
      <c r="V156" s="2">
        <v>46.8</v>
      </c>
      <c r="W156">
        <v>45.806451612903224</v>
      </c>
      <c r="X156">
        <f t="shared" si="16"/>
        <v>45.806451612903224</v>
      </c>
      <c r="Y156" s="2">
        <v>45.806451610000003</v>
      </c>
      <c r="Z156" s="2">
        <v>45.806451610000003</v>
      </c>
      <c r="AA156">
        <v>1</v>
      </c>
      <c r="AB156" t="s">
        <v>375</v>
      </c>
      <c r="AC156" t="s">
        <v>52</v>
      </c>
      <c r="AD156">
        <v>0</v>
      </c>
      <c r="AE156">
        <v>57</v>
      </c>
      <c r="AF156">
        <v>60</v>
      </c>
      <c r="AG156" t="s">
        <v>80</v>
      </c>
      <c r="AH156" t="s">
        <v>54</v>
      </c>
      <c r="AI156" t="s">
        <v>55</v>
      </c>
      <c r="AJ156" t="s">
        <v>56</v>
      </c>
      <c r="AK156" t="s">
        <v>55</v>
      </c>
      <c r="AL156" t="s">
        <v>96</v>
      </c>
      <c r="AM156" t="s">
        <v>109</v>
      </c>
      <c r="AN156" t="s">
        <v>60</v>
      </c>
      <c r="AO156">
        <v>0</v>
      </c>
      <c r="AP156">
        <v>0</v>
      </c>
      <c r="AQ156" t="str">
        <f t="shared" si="15"/>
        <v>Non-Responder</v>
      </c>
      <c r="AR156" t="s">
        <v>483</v>
      </c>
      <c r="AS156" t="s">
        <v>62</v>
      </c>
      <c r="AT156" t="s">
        <v>63</v>
      </c>
      <c r="AU156">
        <v>0.13200000000000001</v>
      </c>
      <c r="AV156" s="1">
        <v>43649</v>
      </c>
    </row>
    <row r="157" spans="1:48" x14ac:dyDescent="0.2">
      <c r="A157" t="s">
        <v>486</v>
      </c>
      <c r="B157" t="s">
        <v>48</v>
      </c>
      <c r="C157" t="s">
        <v>49</v>
      </c>
      <c r="D157" t="s">
        <v>487</v>
      </c>
      <c r="E157" s="1">
        <v>43833</v>
      </c>
      <c r="F157" s="1">
        <v>43888</v>
      </c>
      <c r="G157" s="1">
        <v>42970</v>
      </c>
      <c r="H157" s="1">
        <v>42984</v>
      </c>
      <c r="I157" s="1">
        <v>42990</v>
      </c>
      <c r="J157" s="1">
        <v>42997</v>
      </c>
      <c r="K157" s="1">
        <v>43046</v>
      </c>
      <c r="L157" s="1">
        <v>43096</v>
      </c>
      <c r="M157" s="1">
        <v>43038</v>
      </c>
      <c r="N157" s="1">
        <v>43498</v>
      </c>
      <c r="O157" s="1">
        <v>43377</v>
      </c>
      <c r="P157" s="1">
        <v>43499</v>
      </c>
      <c r="Q157">
        <v>1</v>
      </c>
      <c r="R157">
        <v>1</v>
      </c>
      <c r="S157">
        <f t="shared" si="12"/>
        <v>12.5</v>
      </c>
      <c r="T157">
        <f t="shared" si="13"/>
        <v>16.5</v>
      </c>
      <c r="U157" s="2">
        <v>12.5</v>
      </c>
      <c r="V157" s="2">
        <v>16.5</v>
      </c>
      <c r="W157">
        <f t="shared" si="14"/>
        <v>11.129032258064516</v>
      </c>
      <c r="X157">
        <f t="shared" si="16"/>
        <v>15.129032258064516</v>
      </c>
      <c r="Y157" s="2">
        <v>11.129032260000001</v>
      </c>
      <c r="Z157" s="2">
        <v>15.129032260000001</v>
      </c>
      <c r="AA157">
        <v>1</v>
      </c>
      <c r="AB157" t="s">
        <v>370</v>
      </c>
      <c r="AC157" t="s">
        <v>119</v>
      </c>
      <c r="AD157">
        <v>0</v>
      </c>
      <c r="AE157">
        <v>58</v>
      </c>
      <c r="AF157">
        <v>46</v>
      </c>
      <c r="AG157" t="s">
        <v>80</v>
      </c>
      <c r="AH157" t="s">
        <v>54</v>
      </c>
      <c r="AI157" t="s">
        <v>55</v>
      </c>
      <c r="AJ157" t="s">
        <v>56</v>
      </c>
      <c r="AK157" t="s">
        <v>55</v>
      </c>
      <c r="AL157" t="s">
        <v>81</v>
      </c>
      <c r="AM157" t="s">
        <v>59</v>
      </c>
      <c r="AN157" t="s">
        <v>60</v>
      </c>
      <c r="AO157">
        <v>1</v>
      </c>
      <c r="AP157">
        <v>0</v>
      </c>
      <c r="AQ157" t="str">
        <f t="shared" si="15"/>
        <v>Non-Responder</v>
      </c>
      <c r="AR157" t="s">
        <v>61</v>
      </c>
      <c r="AS157" t="s">
        <v>62</v>
      </c>
      <c r="AT157" t="s">
        <v>63</v>
      </c>
      <c r="AU157">
        <v>0.29799999999999999</v>
      </c>
      <c r="AV157" s="1">
        <v>42991</v>
      </c>
    </row>
    <row r="158" spans="1:48" x14ac:dyDescent="0.2">
      <c r="A158" t="s">
        <v>488</v>
      </c>
      <c r="B158" t="s">
        <v>68</v>
      </c>
      <c r="C158" t="s">
        <v>49</v>
      </c>
      <c r="D158" t="s">
        <v>487</v>
      </c>
      <c r="E158" s="1">
        <v>43833</v>
      </c>
      <c r="F158" s="1">
        <v>43898</v>
      </c>
      <c r="G158" s="1">
        <v>42970</v>
      </c>
      <c r="H158" s="1">
        <v>42984</v>
      </c>
      <c r="I158" s="1">
        <v>42990</v>
      </c>
      <c r="J158" s="1">
        <v>42997</v>
      </c>
      <c r="K158" s="1">
        <v>43046</v>
      </c>
      <c r="L158" s="1">
        <v>43096</v>
      </c>
      <c r="M158" s="1">
        <v>43038</v>
      </c>
      <c r="N158" s="1">
        <v>43498</v>
      </c>
      <c r="O158" s="1">
        <v>43377</v>
      </c>
      <c r="P158" s="1">
        <v>43499</v>
      </c>
      <c r="Q158">
        <v>1</v>
      </c>
      <c r="R158">
        <v>1</v>
      </c>
      <c r="S158">
        <f t="shared" si="12"/>
        <v>12.5</v>
      </c>
      <c r="T158">
        <f t="shared" si="13"/>
        <v>16.5</v>
      </c>
      <c r="U158" s="2">
        <v>12.5</v>
      </c>
      <c r="V158" s="2">
        <v>16.5</v>
      </c>
      <c r="W158">
        <f t="shared" si="14"/>
        <v>11.129032258064516</v>
      </c>
      <c r="X158">
        <f t="shared" si="16"/>
        <v>15.129032258064516</v>
      </c>
      <c r="Y158" s="2">
        <v>11.129032260000001</v>
      </c>
      <c r="Z158" s="2">
        <v>15.129032260000001</v>
      </c>
      <c r="AA158">
        <v>1</v>
      </c>
      <c r="AB158" t="s">
        <v>375</v>
      </c>
      <c r="AC158" t="s">
        <v>119</v>
      </c>
      <c r="AD158">
        <v>0</v>
      </c>
      <c r="AE158">
        <v>58</v>
      </c>
      <c r="AF158">
        <v>46</v>
      </c>
      <c r="AG158" t="s">
        <v>80</v>
      </c>
      <c r="AH158" t="s">
        <v>54</v>
      </c>
      <c r="AI158" t="s">
        <v>55</v>
      </c>
      <c r="AJ158" t="s">
        <v>56</v>
      </c>
      <c r="AK158" t="s">
        <v>55</v>
      </c>
      <c r="AL158" t="s">
        <v>81</v>
      </c>
      <c r="AM158" t="s">
        <v>59</v>
      </c>
      <c r="AN158" t="s">
        <v>60</v>
      </c>
      <c r="AO158">
        <v>1</v>
      </c>
      <c r="AP158">
        <v>0</v>
      </c>
      <c r="AQ158" t="str">
        <f t="shared" si="15"/>
        <v>Non-Responder</v>
      </c>
      <c r="AR158" t="s">
        <v>61</v>
      </c>
      <c r="AS158" t="s">
        <v>62</v>
      </c>
      <c r="AT158" t="s">
        <v>63</v>
      </c>
      <c r="AU158">
        <v>0.23400000000000001</v>
      </c>
      <c r="AV158" s="1">
        <v>42998</v>
      </c>
    </row>
    <row r="159" spans="1:48" x14ac:dyDescent="0.2">
      <c r="A159" t="s">
        <v>489</v>
      </c>
      <c r="B159" t="s">
        <v>74</v>
      </c>
      <c r="C159" t="s">
        <v>49</v>
      </c>
      <c r="D159" t="s">
        <v>487</v>
      </c>
      <c r="E159" s="1">
        <v>43833</v>
      </c>
      <c r="F159" s="1">
        <v>43887</v>
      </c>
      <c r="G159" s="1">
        <v>42970</v>
      </c>
      <c r="H159" s="1">
        <v>42984</v>
      </c>
      <c r="I159" s="1">
        <v>42990</v>
      </c>
      <c r="J159" s="1">
        <v>42997</v>
      </c>
      <c r="K159" s="1">
        <v>43046</v>
      </c>
      <c r="L159" s="1">
        <v>43096</v>
      </c>
      <c r="M159" s="1">
        <v>43038</v>
      </c>
      <c r="N159" s="1">
        <v>43498</v>
      </c>
      <c r="O159" s="1">
        <v>43377</v>
      </c>
      <c r="P159" s="1">
        <v>43499</v>
      </c>
      <c r="Q159">
        <v>1</v>
      </c>
      <c r="R159">
        <v>1</v>
      </c>
      <c r="S159">
        <f t="shared" si="12"/>
        <v>12.5</v>
      </c>
      <c r="T159">
        <f t="shared" si="13"/>
        <v>16.5</v>
      </c>
      <c r="U159" s="2">
        <v>12.5</v>
      </c>
      <c r="V159" s="2">
        <v>16.5</v>
      </c>
      <c r="W159">
        <f t="shared" si="14"/>
        <v>11.129032258064516</v>
      </c>
      <c r="X159">
        <f t="shared" si="16"/>
        <v>15.129032258064516</v>
      </c>
      <c r="Y159" s="2">
        <v>11.129032260000001</v>
      </c>
      <c r="Z159" s="2">
        <v>15.129032260000001</v>
      </c>
      <c r="AA159">
        <v>1</v>
      </c>
      <c r="AB159" t="s">
        <v>385</v>
      </c>
      <c r="AC159" t="s">
        <v>119</v>
      </c>
      <c r="AD159">
        <v>0</v>
      </c>
      <c r="AE159">
        <v>58</v>
      </c>
      <c r="AF159">
        <v>46</v>
      </c>
      <c r="AG159" t="s">
        <v>80</v>
      </c>
      <c r="AH159" t="s">
        <v>54</v>
      </c>
      <c r="AI159" t="s">
        <v>55</v>
      </c>
      <c r="AJ159" t="s">
        <v>56</v>
      </c>
      <c r="AK159" t="s">
        <v>55</v>
      </c>
      <c r="AL159" t="s">
        <v>81</v>
      </c>
      <c r="AM159" t="s">
        <v>59</v>
      </c>
      <c r="AN159" t="s">
        <v>60</v>
      </c>
      <c r="AO159">
        <v>1</v>
      </c>
      <c r="AP159">
        <v>0</v>
      </c>
      <c r="AQ159" t="str">
        <f t="shared" si="15"/>
        <v>Non-Responder</v>
      </c>
      <c r="AR159" t="s">
        <v>61</v>
      </c>
      <c r="AS159" t="s">
        <v>62</v>
      </c>
      <c r="AT159" t="s">
        <v>63</v>
      </c>
      <c r="AU159">
        <v>0.114</v>
      </c>
      <c r="AV159" s="1">
        <v>43039</v>
      </c>
    </row>
    <row r="160" spans="1:48" x14ac:dyDescent="0.2">
      <c r="A160" t="s">
        <v>490</v>
      </c>
      <c r="B160" t="s">
        <v>48</v>
      </c>
      <c r="C160" t="s">
        <v>49</v>
      </c>
      <c r="D160" t="s">
        <v>491</v>
      </c>
      <c r="E160" s="1">
        <v>43833</v>
      </c>
      <c r="F160" s="1">
        <v>43901</v>
      </c>
      <c r="G160" s="1">
        <v>43039</v>
      </c>
      <c r="H160" s="1">
        <v>43056</v>
      </c>
      <c r="I160" s="1">
        <v>43076</v>
      </c>
      <c r="J160" s="1">
        <v>43083</v>
      </c>
      <c r="K160" s="1">
        <v>43123</v>
      </c>
      <c r="L160" s="1">
        <v>43165</v>
      </c>
      <c r="M160" s="1">
        <v>43116</v>
      </c>
      <c r="N160" s="1">
        <v>43563</v>
      </c>
      <c r="O160" s="1">
        <v>43326</v>
      </c>
      <c r="P160" s="1">
        <v>43564</v>
      </c>
      <c r="Q160">
        <v>1</v>
      </c>
      <c r="R160">
        <v>1</v>
      </c>
      <c r="S160">
        <f t="shared" si="12"/>
        <v>8</v>
      </c>
      <c r="T160">
        <f t="shared" si="13"/>
        <v>15.838709677419354</v>
      </c>
      <c r="U160" s="2">
        <v>8</v>
      </c>
      <c r="V160" s="2">
        <v>15.838709679999999</v>
      </c>
      <c r="W160">
        <f t="shared" si="14"/>
        <v>6.935483870967742</v>
      </c>
      <c r="X160">
        <f t="shared" si="16"/>
        <v>14.774193548387096</v>
      </c>
      <c r="Y160" s="2">
        <v>6.9354838709999997</v>
      </c>
      <c r="Z160" s="2">
        <v>14.77419355</v>
      </c>
      <c r="AA160">
        <v>1</v>
      </c>
      <c r="AB160" t="s">
        <v>373</v>
      </c>
      <c r="AC160" t="s">
        <v>119</v>
      </c>
      <c r="AD160">
        <v>0</v>
      </c>
      <c r="AE160">
        <v>59</v>
      </c>
      <c r="AF160">
        <v>37</v>
      </c>
      <c r="AG160" t="s">
        <v>80</v>
      </c>
      <c r="AH160" t="s">
        <v>54</v>
      </c>
      <c r="AI160" t="s">
        <v>55</v>
      </c>
      <c r="AJ160" t="s">
        <v>56</v>
      </c>
      <c r="AK160" t="s">
        <v>57</v>
      </c>
      <c r="AL160" t="s">
        <v>470</v>
      </c>
      <c r="AM160" t="s">
        <v>59</v>
      </c>
      <c r="AN160" t="s">
        <v>57</v>
      </c>
      <c r="AO160">
        <v>0</v>
      </c>
      <c r="AP160">
        <v>0</v>
      </c>
      <c r="AQ160" t="str">
        <f t="shared" si="15"/>
        <v>Non-Responder</v>
      </c>
      <c r="AR160" t="s">
        <v>61</v>
      </c>
      <c r="AS160" t="s">
        <v>62</v>
      </c>
      <c r="AT160" t="s">
        <v>63</v>
      </c>
      <c r="AU160">
        <v>1.04</v>
      </c>
      <c r="AV160" s="1">
        <v>43077</v>
      </c>
    </row>
    <row r="161" spans="1:48" x14ac:dyDescent="0.2">
      <c r="A161" t="s">
        <v>492</v>
      </c>
      <c r="B161" t="s">
        <v>68</v>
      </c>
      <c r="C161" t="s">
        <v>49</v>
      </c>
      <c r="D161" t="s">
        <v>491</v>
      </c>
      <c r="E161" s="1">
        <v>43833</v>
      </c>
      <c r="F161" s="1">
        <v>43889</v>
      </c>
      <c r="G161" s="1">
        <v>43039</v>
      </c>
      <c r="H161" s="1">
        <v>43056</v>
      </c>
      <c r="I161" s="1">
        <v>43076</v>
      </c>
      <c r="J161" s="1">
        <v>43083</v>
      </c>
      <c r="K161" s="1">
        <v>43123</v>
      </c>
      <c r="L161" s="1">
        <v>43165</v>
      </c>
      <c r="M161" s="1">
        <v>43116</v>
      </c>
      <c r="N161" s="1">
        <v>43563</v>
      </c>
      <c r="O161" s="1">
        <v>43326</v>
      </c>
      <c r="P161" s="1">
        <v>43564</v>
      </c>
      <c r="Q161">
        <v>1</v>
      </c>
      <c r="R161">
        <v>1</v>
      </c>
      <c r="S161">
        <f t="shared" si="12"/>
        <v>8</v>
      </c>
      <c r="T161">
        <f t="shared" si="13"/>
        <v>15.838709677419354</v>
      </c>
      <c r="U161" s="2">
        <v>8</v>
      </c>
      <c r="V161" s="2">
        <v>15.838709679999999</v>
      </c>
      <c r="W161">
        <f t="shared" si="14"/>
        <v>6.935483870967742</v>
      </c>
      <c r="X161">
        <f t="shared" si="16"/>
        <v>14.774193548387096</v>
      </c>
      <c r="Y161" s="2">
        <v>6.9354838709999997</v>
      </c>
      <c r="Z161" s="2">
        <v>14.77419355</v>
      </c>
      <c r="AA161">
        <v>1</v>
      </c>
      <c r="AB161" t="s">
        <v>407</v>
      </c>
      <c r="AC161" t="s">
        <v>119</v>
      </c>
      <c r="AD161">
        <v>0</v>
      </c>
      <c r="AE161">
        <v>59</v>
      </c>
      <c r="AF161">
        <v>37</v>
      </c>
      <c r="AG161" t="s">
        <v>80</v>
      </c>
      <c r="AH161" t="s">
        <v>54</v>
      </c>
      <c r="AI161" t="s">
        <v>55</v>
      </c>
      <c r="AJ161" t="s">
        <v>56</v>
      </c>
      <c r="AK161" t="s">
        <v>57</v>
      </c>
      <c r="AL161" t="s">
        <v>470</v>
      </c>
      <c r="AM161" t="s">
        <v>59</v>
      </c>
      <c r="AN161" t="s">
        <v>57</v>
      </c>
      <c r="AO161">
        <v>0</v>
      </c>
      <c r="AP161">
        <v>0</v>
      </c>
      <c r="AQ161" t="str">
        <f t="shared" si="15"/>
        <v>Non-Responder</v>
      </c>
      <c r="AR161" t="s">
        <v>61</v>
      </c>
      <c r="AS161" t="s">
        <v>62</v>
      </c>
      <c r="AT161" t="s">
        <v>63</v>
      </c>
      <c r="AU161">
        <v>0.65600000000000003</v>
      </c>
      <c r="AV161" s="1">
        <v>43084</v>
      </c>
    </row>
    <row r="162" spans="1:48" x14ac:dyDescent="0.2">
      <c r="A162" t="s">
        <v>493</v>
      </c>
      <c r="B162" t="s">
        <v>74</v>
      </c>
      <c r="C162" t="s">
        <v>49</v>
      </c>
      <c r="D162" t="s">
        <v>491</v>
      </c>
      <c r="E162" s="1">
        <v>43833</v>
      </c>
      <c r="F162" s="1">
        <v>43898</v>
      </c>
      <c r="G162" s="1">
        <v>43039</v>
      </c>
      <c r="H162" s="1">
        <v>43056</v>
      </c>
      <c r="I162" s="1">
        <v>43076</v>
      </c>
      <c r="J162" s="1">
        <v>43083</v>
      </c>
      <c r="K162" s="1">
        <v>43123</v>
      </c>
      <c r="L162" s="1">
        <v>43165</v>
      </c>
      <c r="M162" s="1">
        <v>43116</v>
      </c>
      <c r="N162" s="1">
        <v>43563</v>
      </c>
      <c r="O162" s="1">
        <v>43326</v>
      </c>
      <c r="P162" s="1">
        <v>43564</v>
      </c>
      <c r="Q162">
        <v>1</v>
      </c>
      <c r="R162">
        <v>1</v>
      </c>
      <c r="S162">
        <f t="shared" si="12"/>
        <v>8</v>
      </c>
      <c r="T162">
        <f t="shared" si="13"/>
        <v>15.838709677419354</v>
      </c>
      <c r="U162" s="2">
        <v>8</v>
      </c>
      <c r="V162" s="2">
        <v>15.838709679999999</v>
      </c>
      <c r="W162">
        <f t="shared" si="14"/>
        <v>6.935483870967742</v>
      </c>
      <c r="X162">
        <f t="shared" si="16"/>
        <v>14.774193548387096</v>
      </c>
      <c r="Y162" s="2">
        <v>6.9354838709999997</v>
      </c>
      <c r="Z162" s="2">
        <v>14.77419355</v>
      </c>
      <c r="AA162">
        <v>1</v>
      </c>
      <c r="AB162" t="s">
        <v>375</v>
      </c>
      <c r="AC162" t="s">
        <v>119</v>
      </c>
      <c r="AD162">
        <v>0</v>
      </c>
      <c r="AE162">
        <v>59</v>
      </c>
      <c r="AF162">
        <v>37</v>
      </c>
      <c r="AG162" t="s">
        <v>80</v>
      </c>
      <c r="AH162" t="s">
        <v>54</v>
      </c>
      <c r="AI162" t="s">
        <v>55</v>
      </c>
      <c r="AJ162" t="s">
        <v>56</v>
      </c>
      <c r="AK162" t="s">
        <v>57</v>
      </c>
      <c r="AL162" t="s">
        <v>470</v>
      </c>
      <c r="AM162" t="s">
        <v>59</v>
      </c>
      <c r="AN162" t="s">
        <v>57</v>
      </c>
      <c r="AO162">
        <v>0</v>
      </c>
      <c r="AP162">
        <v>0</v>
      </c>
      <c r="AQ162" t="str">
        <f t="shared" si="15"/>
        <v>Non-Responder</v>
      </c>
      <c r="AR162" t="s">
        <v>61</v>
      </c>
      <c r="AS162" t="s">
        <v>62</v>
      </c>
      <c r="AT162" t="s">
        <v>63</v>
      </c>
      <c r="AU162">
        <v>0.192</v>
      </c>
      <c r="AV162" s="1">
        <v>43117</v>
      </c>
    </row>
    <row r="163" spans="1:48" x14ac:dyDescent="0.2">
      <c r="A163" t="s">
        <v>494</v>
      </c>
      <c r="B163" t="s">
        <v>48</v>
      </c>
      <c r="C163" t="s">
        <v>106</v>
      </c>
      <c r="D163" t="s">
        <v>495</v>
      </c>
      <c r="E163" s="1">
        <v>43833</v>
      </c>
      <c r="F163" s="1">
        <v>43898</v>
      </c>
      <c r="G163" s="1">
        <v>42370</v>
      </c>
      <c r="H163" s="1">
        <v>42922</v>
      </c>
      <c r="I163" s="1">
        <v>42926</v>
      </c>
      <c r="J163" s="1">
        <v>42934</v>
      </c>
      <c r="K163" s="1">
        <v>42976</v>
      </c>
      <c r="L163" s="1">
        <v>43010</v>
      </c>
      <c r="M163" s="1">
        <v>42969</v>
      </c>
      <c r="N163" s="1">
        <v>44904</v>
      </c>
      <c r="O163" s="1">
        <v>44326</v>
      </c>
      <c r="Q163">
        <v>1</v>
      </c>
      <c r="R163">
        <v>0</v>
      </c>
      <c r="S163">
        <f t="shared" si="12"/>
        <v>45.70967741935484</v>
      </c>
      <c r="T163">
        <f t="shared" si="13"/>
        <v>64.677419354838705</v>
      </c>
      <c r="U163" s="2">
        <v>45.709677419999998</v>
      </c>
      <c r="V163" s="2">
        <v>64.677419349999994</v>
      </c>
      <c r="W163">
        <f t="shared" si="14"/>
        <v>44.58064516129032</v>
      </c>
      <c r="X163">
        <f t="shared" si="16"/>
        <v>63.548387096774192</v>
      </c>
      <c r="Y163" s="2">
        <v>44.580645160000003</v>
      </c>
      <c r="Z163" s="2">
        <v>63.548387099999999</v>
      </c>
      <c r="AA163">
        <v>1</v>
      </c>
      <c r="AB163" t="s">
        <v>375</v>
      </c>
      <c r="AC163" t="s">
        <v>196</v>
      </c>
      <c r="AD163">
        <v>0</v>
      </c>
      <c r="AE163">
        <v>60</v>
      </c>
      <c r="AF163">
        <v>42</v>
      </c>
      <c r="AG163" t="s">
        <v>80</v>
      </c>
      <c r="AH163" t="s">
        <v>54</v>
      </c>
      <c r="AI163" t="s">
        <v>55</v>
      </c>
      <c r="AJ163" t="s">
        <v>56</v>
      </c>
      <c r="AK163" t="s">
        <v>57</v>
      </c>
      <c r="AL163" t="s">
        <v>496</v>
      </c>
      <c r="AM163" t="s">
        <v>109</v>
      </c>
      <c r="AN163" t="s">
        <v>57</v>
      </c>
      <c r="AO163">
        <v>0</v>
      </c>
      <c r="AP163">
        <v>0</v>
      </c>
      <c r="AQ163" t="str">
        <f t="shared" si="15"/>
        <v>Non-Responder</v>
      </c>
      <c r="AR163" t="s">
        <v>61</v>
      </c>
      <c r="AS163" t="s">
        <v>62</v>
      </c>
      <c r="AT163" t="s">
        <v>63</v>
      </c>
      <c r="AU163">
        <v>4.24</v>
      </c>
      <c r="AV163" s="1">
        <v>42927</v>
      </c>
    </row>
    <row r="164" spans="1:48" x14ac:dyDescent="0.2">
      <c r="A164" t="s">
        <v>497</v>
      </c>
      <c r="B164" t="s">
        <v>68</v>
      </c>
      <c r="C164" t="s">
        <v>106</v>
      </c>
      <c r="D164" t="s">
        <v>495</v>
      </c>
      <c r="E164" s="1">
        <v>43833</v>
      </c>
      <c r="F164" s="1">
        <v>43888</v>
      </c>
      <c r="G164" s="1">
        <v>42370</v>
      </c>
      <c r="H164" s="1">
        <v>42922</v>
      </c>
      <c r="I164" s="1">
        <v>42926</v>
      </c>
      <c r="J164" s="1">
        <v>42934</v>
      </c>
      <c r="K164" s="1">
        <v>42976</v>
      </c>
      <c r="L164" s="1">
        <v>43010</v>
      </c>
      <c r="M164" s="1">
        <v>42969</v>
      </c>
      <c r="N164" s="1">
        <v>44904</v>
      </c>
      <c r="O164" s="1">
        <v>44326</v>
      </c>
      <c r="Q164">
        <v>1</v>
      </c>
      <c r="R164">
        <v>0</v>
      </c>
      <c r="S164">
        <f t="shared" si="12"/>
        <v>45.70967741935484</v>
      </c>
      <c r="T164">
        <f t="shared" si="13"/>
        <v>64.677419354838705</v>
      </c>
      <c r="U164" s="2">
        <v>45.709677419999998</v>
      </c>
      <c r="V164" s="2">
        <v>64.677419349999994</v>
      </c>
      <c r="W164">
        <f t="shared" si="14"/>
        <v>44.58064516129032</v>
      </c>
      <c r="X164">
        <f t="shared" si="16"/>
        <v>63.548387096774192</v>
      </c>
      <c r="Y164" s="2">
        <v>44.580645160000003</v>
      </c>
      <c r="Z164" s="2">
        <v>63.548387099999999</v>
      </c>
      <c r="AA164">
        <v>1</v>
      </c>
      <c r="AB164" t="s">
        <v>370</v>
      </c>
      <c r="AC164" t="s">
        <v>196</v>
      </c>
      <c r="AD164">
        <v>0</v>
      </c>
      <c r="AE164">
        <v>60</v>
      </c>
      <c r="AF164">
        <v>42</v>
      </c>
      <c r="AG164" t="s">
        <v>80</v>
      </c>
      <c r="AH164" t="s">
        <v>54</v>
      </c>
      <c r="AI164" t="s">
        <v>55</v>
      </c>
      <c r="AJ164" t="s">
        <v>56</v>
      </c>
      <c r="AK164" t="s">
        <v>57</v>
      </c>
      <c r="AL164" t="s">
        <v>496</v>
      </c>
      <c r="AM164" t="s">
        <v>109</v>
      </c>
      <c r="AN164" t="s">
        <v>57</v>
      </c>
      <c r="AO164">
        <v>0</v>
      </c>
      <c r="AP164">
        <v>0</v>
      </c>
      <c r="AQ164" t="str">
        <f t="shared" si="15"/>
        <v>Non-Responder</v>
      </c>
      <c r="AR164" t="s">
        <v>61</v>
      </c>
      <c r="AS164" t="s">
        <v>62</v>
      </c>
      <c r="AT164" t="s">
        <v>63</v>
      </c>
      <c r="AU164">
        <v>4.92</v>
      </c>
      <c r="AV164" s="1">
        <v>42935</v>
      </c>
    </row>
    <row r="165" spans="1:48" x14ac:dyDescent="0.2">
      <c r="A165" t="s">
        <v>498</v>
      </c>
      <c r="B165" t="s">
        <v>74</v>
      </c>
      <c r="C165" t="s">
        <v>106</v>
      </c>
      <c r="D165" t="s">
        <v>495</v>
      </c>
      <c r="E165" s="1">
        <v>43833</v>
      </c>
      <c r="F165" s="1">
        <v>43898</v>
      </c>
      <c r="G165" s="1">
        <v>42370</v>
      </c>
      <c r="H165" s="1">
        <v>42922</v>
      </c>
      <c r="I165" s="1">
        <v>42926</v>
      </c>
      <c r="J165" s="1">
        <v>42934</v>
      </c>
      <c r="K165" s="1">
        <v>42976</v>
      </c>
      <c r="L165" s="1">
        <v>43010</v>
      </c>
      <c r="M165" s="1">
        <v>42969</v>
      </c>
      <c r="N165" s="1">
        <v>44904</v>
      </c>
      <c r="O165" s="1">
        <v>44326</v>
      </c>
      <c r="Q165">
        <v>1</v>
      </c>
      <c r="R165">
        <v>0</v>
      </c>
      <c r="S165">
        <f t="shared" si="12"/>
        <v>45.70967741935484</v>
      </c>
      <c r="T165">
        <f t="shared" si="13"/>
        <v>64.677419354838705</v>
      </c>
      <c r="U165" s="2">
        <v>45.709677419999998</v>
      </c>
      <c r="V165" s="2">
        <v>64.677419349999994</v>
      </c>
      <c r="W165">
        <f t="shared" si="14"/>
        <v>44.58064516129032</v>
      </c>
      <c r="X165">
        <f t="shared" si="16"/>
        <v>63.548387096774192</v>
      </c>
      <c r="Y165" s="2">
        <v>44.580645160000003</v>
      </c>
      <c r="Z165" s="2">
        <v>63.548387099999999</v>
      </c>
      <c r="AA165">
        <v>1</v>
      </c>
      <c r="AB165" t="s">
        <v>375</v>
      </c>
      <c r="AC165" t="s">
        <v>196</v>
      </c>
      <c r="AD165">
        <v>0</v>
      </c>
      <c r="AE165">
        <v>60</v>
      </c>
      <c r="AF165">
        <v>42</v>
      </c>
      <c r="AG165" t="s">
        <v>80</v>
      </c>
      <c r="AH165" t="s">
        <v>54</v>
      </c>
      <c r="AI165" t="s">
        <v>55</v>
      </c>
      <c r="AJ165" t="s">
        <v>56</v>
      </c>
      <c r="AK165" t="s">
        <v>57</v>
      </c>
      <c r="AL165" t="s">
        <v>496</v>
      </c>
      <c r="AM165" t="s">
        <v>109</v>
      </c>
      <c r="AN165" t="s">
        <v>57</v>
      </c>
      <c r="AO165">
        <v>0</v>
      </c>
      <c r="AP165">
        <v>0</v>
      </c>
      <c r="AQ165" t="str">
        <f t="shared" si="15"/>
        <v>Non-Responder</v>
      </c>
      <c r="AR165" t="s">
        <v>61</v>
      </c>
      <c r="AS165" t="s">
        <v>62</v>
      </c>
      <c r="AT165" t="s">
        <v>63</v>
      </c>
      <c r="AU165">
        <v>0.98399999999999999</v>
      </c>
      <c r="AV165" s="1">
        <v>42968</v>
      </c>
    </row>
    <row r="166" spans="1:48" x14ac:dyDescent="0.2">
      <c r="A166" t="s">
        <v>499</v>
      </c>
      <c r="B166" t="s">
        <v>48</v>
      </c>
      <c r="C166" t="s">
        <v>106</v>
      </c>
      <c r="D166" t="s">
        <v>500</v>
      </c>
      <c r="E166" s="1">
        <v>43833</v>
      </c>
      <c r="F166" s="1">
        <v>43898</v>
      </c>
      <c r="G166" s="1">
        <v>43117</v>
      </c>
      <c r="H166" s="1">
        <v>43130</v>
      </c>
      <c r="I166" s="1">
        <v>43144</v>
      </c>
      <c r="J166" s="1">
        <v>43153</v>
      </c>
      <c r="K166" s="1">
        <v>43207</v>
      </c>
      <c r="L166" s="1">
        <v>43243</v>
      </c>
      <c r="M166" s="1">
        <v>43200</v>
      </c>
      <c r="N166" s="1">
        <v>44782</v>
      </c>
      <c r="P166" s="1">
        <v>44783</v>
      </c>
      <c r="Q166">
        <v>1</v>
      </c>
      <c r="R166">
        <v>1</v>
      </c>
      <c r="S166">
        <v>53.678571428571431</v>
      </c>
      <c r="T166">
        <f t="shared" si="13"/>
        <v>53.678571428571431</v>
      </c>
      <c r="U166" s="2">
        <v>53.678571429999998</v>
      </c>
      <c r="V166" s="2">
        <v>53.678571429999998</v>
      </c>
      <c r="W166">
        <v>52</v>
      </c>
      <c r="X166">
        <f t="shared" si="16"/>
        <v>52</v>
      </c>
      <c r="Y166" s="2">
        <v>52</v>
      </c>
      <c r="Z166" s="2">
        <v>52</v>
      </c>
      <c r="AA166">
        <v>1</v>
      </c>
      <c r="AB166" t="s">
        <v>375</v>
      </c>
      <c r="AC166" t="s">
        <v>196</v>
      </c>
      <c r="AD166">
        <v>0</v>
      </c>
      <c r="AE166">
        <v>61</v>
      </c>
      <c r="AF166">
        <v>76</v>
      </c>
      <c r="AG166" t="s">
        <v>80</v>
      </c>
      <c r="AH166" t="s">
        <v>54</v>
      </c>
      <c r="AI166" t="s">
        <v>55</v>
      </c>
      <c r="AJ166" t="s">
        <v>56</v>
      </c>
      <c r="AK166" t="s">
        <v>57</v>
      </c>
      <c r="AL166" t="s">
        <v>496</v>
      </c>
      <c r="AM166" t="s">
        <v>109</v>
      </c>
      <c r="AN166" t="s">
        <v>60</v>
      </c>
      <c r="AO166">
        <v>0</v>
      </c>
      <c r="AP166">
        <v>2</v>
      </c>
      <c r="AQ166" t="str">
        <f t="shared" si="15"/>
        <v>Responder</v>
      </c>
      <c r="AR166">
        <v>0.2</v>
      </c>
      <c r="AS166" t="s">
        <v>142</v>
      </c>
      <c r="AT166" t="s">
        <v>143</v>
      </c>
      <c r="AU166">
        <v>0.57399999999999995</v>
      </c>
      <c r="AV166" s="1">
        <v>43131</v>
      </c>
    </row>
    <row r="167" spans="1:48" x14ac:dyDescent="0.2">
      <c r="A167" t="s">
        <v>501</v>
      </c>
      <c r="B167" t="s">
        <v>68</v>
      </c>
      <c r="C167" t="s">
        <v>106</v>
      </c>
      <c r="D167" t="s">
        <v>500</v>
      </c>
      <c r="E167" s="1">
        <v>43833</v>
      </c>
      <c r="F167" s="1">
        <v>43887</v>
      </c>
      <c r="G167" s="1">
        <v>43117</v>
      </c>
      <c r="H167" s="1">
        <v>43130</v>
      </c>
      <c r="I167" s="1">
        <v>43144</v>
      </c>
      <c r="J167" s="1">
        <v>43153</v>
      </c>
      <c r="K167" s="1">
        <v>43207</v>
      </c>
      <c r="L167" s="1">
        <v>43243</v>
      </c>
      <c r="M167" s="1">
        <v>43200</v>
      </c>
      <c r="N167" s="1">
        <v>44782</v>
      </c>
      <c r="P167" s="1">
        <v>44783</v>
      </c>
      <c r="Q167">
        <v>1</v>
      </c>
      <c r="R167">
        <v>1</v>
      </c>
      <c r="S167">
        <v>53.678571428571431</v>
      </c>
      <c r="T167">
        <f t="shared" si="13"/>
        <v>53.678571428571431</v>
      </c>
      <c r="U167" s="2">
        <v>53.678571429999998</v>
      </c>
      <c r="V167" s="2">
        <v>53.678571429999998</v>
      </c>
      <c r="W167">
        <v>52</v>
      </c>
      <c r="X167">
        <f t="shared" si="16"/>
        <v>52</v>
      </c>
      <c r="Y167" s="2">
        <v>52</v>
      </c>
      <c r="Z167" s="2">
        <v>52</v>
      </c>
      <c r="AA167">
        <v>1</v>
      </c>
      <c r="AB167" t="s">
        <v>385</v>
      </c>
      <c r="AC167" t="s">
        <v>196</v>
      </c>
      <c r="AD167">
        <v>0</v>
      </c>
      <c r="AE167">
        <v>61</v>
      </c>
      <c r="AF167">
        <v>76</v>
      </c>
      <c r="AG167" t="s">
        <v>80</v>
      </c>
      <c r="AH167" t="s">
        <v>54</v>
      </c>
      <c r="AI167" t="s">
        <v>55</v>
      </c>
      <c r="AJ167" t="s">
        <v>56</v>
      </c>
      <c r="AK167" t="s">
        <v>57</v>
      </c>
      <c r="AL167" t="s">
        <v>496</v>
      </c>
      <c r="AM167" t="s">
        <v>109</v>
      </c>
      <c r="AN167" t="s">
        <v>60</v>
      </c>
      <c r="AO167">
        <v>0</v>
      </c>
      <c r="AP167">
        <v>2</v>
      </c>
      <c r="AQ167" t="str">
        <f t="shared" si="15"/>
        <v>Responder</v>
      </c>
      <c r="AR167">
        <v>0.2</v>
      </c>
      <c r="AS167" t="s">
        <v>142</v>
      </c>
      <c r="AT167" t="s">
        <v>143</v>
      </c>
      <c r="AU167">
        <v>0.26800000000000002</v>
      </c>
      <c r="AV167" s="1">
        <v>43152</v>
      </c>
    </row>
    <row r="168" spans="1:48" x14ac:dyDescent="0.2">
      <c r="A168" t="s">
        <v>502</v>
      </c>
      <c r="B168" t="s">
        <v>48</v>
      </c>
      <c r="C168" t="s">
        <v>49</v>
      </c>
      <c r="D168" t="s">
        <v>503</v>
      </c>
      <c r="E168" s="1">
        <v>43833</v>
      </c>
      <c r="F168" s="1">
        <v>43887</v>
      </c>
      <c r="G168" s="1">
        <v>43118</v>
      </c>
      <c r="H168" s="1">
        <v>43139</v>
      </c>
      <c r="I168" s="1">
        <v>43146</v>
      </c>
      <c r="J168" s="1">
        <v>43153</v>
      </c>
      <c r="K168" s="1">
        <v>43199</v>
      </c>
      <c r="L168" s="1">
        <v>43236</v>
      </c>
      <c r="M168" s="1">
        <v>43192</v>
      </c>
      <c r="N168" s="1">
        <v>45161</v>
      </c>
      <c r="Q168">
        <v>0</v>
      </c>
      <c r="R168">
        <v>0</v>
      </c>
      <c r="S168">
        <f t="shared" si="12"/>
        <v>66.035714285714292</v>
      </c>
      <c r="T168">
        <f t="shared" si="13"/>
        <v>66.035714285714292</v>
      </c>
      <c r="U168" s="2">
        <v>66.035714290000001</v>
      </c>
      <c r="V168" s="2">
        <v>66.035714290000001</v>
      </c>
      <c r="W168">
        <f t="shared" si="14"/>
        <v>64.7</v>
      </c>
      <c r="X168">
        <f t="shared" si="16"/>
        <v>64.7</v>
      </c>
      <c r="Y168" s="2">
        <v>64.7</v>
      </c>
      <c r="Z168" s="2">
        <v>64.7</v>
      </c>
      <c r="AA168">
        <v>1</v>
      </c>
      <c r="AB168" t="s">
        <v>385</v>
      </c>
      <c r="AC168" t="s">
        <v>196</v>
      </c>
      <c r="AD168">
        <v>0</v>
      </c>
      <c r="AE168">
        <v>62</v>
      </c>
      <c r="AF168">
        <v>68</v>
      </c>
      <c r="AG168" t="s">
        <v>80</v>
      </c>
      <c r="AH168" t="s">
        <v>54</v>
      </c>
      <c r="AI168" t="s">
        <v>55</v>
      </c>
      <c r="AJ168" t="s">
        <v>56</v>
      </c>
      <c r="AK168" t="s">
        <v>55</v>
      </c>
      <c r="AL168" t="s">
        <v>261</v>
      </c>
      <c r="AM168" t="s">
        <v>59</v>
      </c>
      <c r="AN168" t="s">
        <v>57</v>
      </c>
      <c r="AO168">
        <v>1</v>
      </c>
      <c r="AP168">
        <v>0</v>
      </c>
      <c r="AQ168" t="str">
        <f t="shared" si="15"/>
        <v>Non-Responder</v>
      </c>
      <c r="AR168" t="s">
        <v>61</v>
      </c>
      <c r="AS168" t="s">
        <v>62</v>
      </c>
      <c r="AT168" t="s">
        <v>63</v>
      </c>
      <c r="AU168">
        <v>0.51600000000000001</v>
      </c>
      <c r="AV168" s="1">
        <v>43139</v>
      </c>
    </row>
    <row r="169" spans="1:48" x14ac:dyDescent="0.2">
      <c r="A169" t="s">
        <v>504</v>
      </c>
      <c r="B169" t="s">
        <v>68</v>
      </c>
      <c r="C169" t="s">
        <v>49</v>
      </c>
      <c r="D169" t="s">
        <v>503</v>
      </c>
      <c r="E169" s="1">
        <v>43833</v>
      </c>
      <c r="F169" s="1">
        <v>43888</v>
      </c>
      <c r="G169" s="1">
        <v>43118</v>
      </c>
      <c r="H169" s="1">
        <v>43139</v>
      </c>
      <c r="I169" s="1">
        <v>43146</v>
      </c>
      <c r="J169" s="1">
        <v>43153</v>
      </c>
      <c r="K169" s="1">
        <v>43199</v>
      </c>
      <c r="L169" s="1">
        <v>43236</v>
      </c>
      <c r="M169" s="1">
        <v>43192</v>
      </c>
      <c r="N169" s="1">
        <v>45161</v>
      </c>
      <c r="Q169">
        <v>0</v>
      </c>
      <c r="R169">
        <v>0</v>
      </c>
      <c r="S169">
        <f t="shared" si="12"/>
        <v>66.035714285714292</v>
      </c>
      <c r="T169">
        <f t="shared" si="13"/>
        <v>66.035714285714292</v>
      </c>
      <c r="U169" s="2">
        <v>66.035714290000001</v>
      </c>
      <c r="V169" s="2">
        <v>66.035714290000001</v>
      </c>
      <c r="W169">
        <f t="shared" si="14"/>
        <v>64.7</v>
      </c>
      <c r="X169">
        <f t="shared" si="16"/>
        <v>64.7</v>
      </c>
      <c r="Y169" s="2">
        <v>64.7</v>
      </c>
      <c r="Z169" s="2">
        <v>64.7</v>
      </c>
      <c r="AA169">
        <v>1</v>
      </c>
      <c r="AB169" t="s">
        <v>370</v>
      </c>
      <c r="AC169" t="s">
        <v>196</v>
      </c>
      <c r="AD169">
        <v>0</v>
      </c>
      <c r="AE169">
        <v>62</v>
      </c>
      <c r="AF169">
        <v>68</v>
      </c>
      <c r="AG169" t="s">
        <v>80</v>
      </c>
      <c r="AH169" t="s">
        <v>54</v>
      </c>
      <c r="AI169" t="s">
        <v>55</v>
      </c>
      <c r="AJ169" t="s">
        <v>56</v>
      </c>
      <c r="AK169" t="s">
        <v>55</v>
      </c>
      <c r="AL169" t="s">
        <v>261</v>
      </c>
      <c r="AM169" t="s">
        <v>59</v>
      </c>
      <c r="AN169" t="s">
        <v>57</v>
      </c>
      <c r="AO169">
        <v>1</v>
      </c>
      <c r="AP169">
        <v>0</v>
      </c>
      <c r="AQ169" t="str">
        <f t="shared" si="15"/>
        <v>Non-Responder</v>
      </c>
      <c r="AR169" t="s">
        <v>61</v>
      </c>
      <c r="AS169" t="s">
        <v>62</v>
      </c>
      <c r="AT169" t="s">
        <v>63</v>
      </c>
      <c r="AU169">
        <v>0.26800000000000002</v>
      </c>
      <c r="AV169" s="1">
        <v>43152</v>
      </c>
    </row>
    <row r="170" spans="1:48" x14ac:dyDescent="0.2">
      <c r="A170" t="s">
        <v>505</v>
      </c>
      <c r="B170" t="s">
        <v>74</v>
      </c>
      <c r="C170" t="s">
        <v>49</v>
      </c>
      <c r="D170" t="s">
        <v>503</v>
      </c>
      <c r="E170" s="1">
        <v>43833</v>
      </c>
      <c r="F170" s="1">
        <v>43889</v>
      </c>
      <c r="G170" s="1">
        <v>43118</v>
      </c>
      <c r="H170" s="1">
        <v>43139</v>
      </c>
      <c r="I170" s="1">
        <v>43146</v>
      </c>
      <c r="J170" s="1">
        <v>43153</v>
      </c>
      <c r="K170" s="1">
        <v>43199</v>
      </c>
      <c r="L170" s="1">
        <v>43236</v>
      </c>
      <c r="M170" s="1">
        <v>43192</v>
      </c>
      <c r="N170" s="1">
        <v>45161</v>
      </c>
      <c r="Q170">
        <v>0</v>
      </c>
      <c r="R170">
        <v>0</v>
      </c>
      <c r="S170">
        <f t="shared" si="12"/>
        <v>66.035714285714292</v>
      </c>
      <c r="T170">
        <f t="shared" si="13"/>
        <v>66.035714285714292</v>
      </c>
      <c r="U170" s="2">
        <v>66.035714290000001</v>
      </c>
      <c r="V170" s="2">
        <v>66.035714290000001</v>
      </c>
      <c r="W170">
        <f t="shared" si="14"/>
        <v>64.7</v>
      </c>
      <c r="X170">
        <f t="shared" si="16"/>
        <v>64.7</v>
      </c>
      <c r="Y170" s="2">
        <v>64.7</v>
      </c>
      <c r="Z170" s="2">
        <v>64.7</v>
      </c>
      <c r="AA170">
        <v>1</v>
      </c>
      <c r="AB170" t="s">
        <v>407</v>
      </c>
      <c r="AC170" t="s">
        <v>196</v>
      </c>
      <c r="AD170">
        <v>0</v>
      </c>
      <c r="AE170">
        <v>62</v>
      </c>
      <c r="AF170">
        <v>68</v>
      </c>
      <c r="AG170" t="s">
        <v>80</v>
      </c>
      <c r="AH170" t="s">
        <v>54</v>
      </c>
      <c r="AI170" t="s">
        <v>55</v>
      </c>
      <c r="AJ170" t="s">
        <v>56</v>
      </c>
      <c r="AK170" t="s">
        <v>55</v>
      </c>
      <c r="AL170" t="s">
        <v>261</v>
      </c>
      <c r="AM170" t="s">
        <v>59</v>
      </c>
      <c r="AN170" t="s">
        <v>57</v>
      </c>
      <c r="AO170">
        <v>1</v>
      </c>
      <c r="AP170">
        <v>0</v>
      </c>
      <c r="AQ170" t="str">
        <f t="shared" si="15"/>
        <v>Non-Responder</v>
      </c>
      <c r="AR170" t="s">
        <v>61</v>
      </c>
      <c r="AS170" t="s">
        <v>62</v>
      </c>
      <c r="AT170" t="s">
        <v>63</v>
      </c>
      <c r="AU170">
        <v>0.69199999999999995</v>
      </c>
      <c r="AV170" s="1">
        <v>43193</v>
      </c>
    </row>
    <row r="171" spans="1:48" x14ac:dyDescent="0.2">
      <c r="A171" t="s">
        <v>506</v>
      </c>
      <c r="B171" t="s">
        <v>48</v>
      </c>
      <c r="C171" t="s">
        <v>49</v>
      </c>
      <c r="D171" t="s">
        <v>507</v>
      </c>
      <c r="E171" s="1">
        <v>43833</v>
      </c>
      <c r="F171" s="1">
        <v>43891</v>
      </c>
      <c r="G171" s="1">
        <v>43111</v>
      </c>
      <c r="H171" s="1">
        <v>43151</v>
      </c>
      <c r="I171" s="1">
        <v>43165</v>
      </c>
      <c r="J171" s="1">
        <v>43172</v>
      </c>
      <c r="K171" s="1">
        <v>43228</v>
      </c>
      <c r="L171" s="1">
        <v>43638</v>
      </c>
      <c r="M171" s="1">
        <v>43221</v>
      </c>
      <c r="N171" s="1">
        <v>45090</v>
      </c>
      <c r="Q171">
        <v>0</v>
      </c>
      <c r="R171">
        <v>0</v>
      </c>
      <c r="S171">
        <f t="shared" si="12"/>
        <v>63</v>
      </c>
      <c r="T171">
        <f t="shared" si="13"/>
        <v>63</v>
      </c>
      <c r="U171" s="2">
        <v>63</v>
      </c>
      <c r="V171" s="2">
        <v>63</v>
      </c>
      <c r="W171">
        <f t="shared" si="14"/>
        <v>61.387096774193552</v>
      </c>
      <c r="X171">
        <f t="shared" si="16"/>
        <v>61.387096774193552</v>
      </c>
      <c r="Y171" s="2">
        <v>61.387096769999999</v>
      </c>
      <c r="Z171" s="2">
        <v>61.387096769999999</v>
      </c>
      <c r="AA171">
        <v>1</v>
      </c>
      <c r="AB171" t="s">
        <v>396</v>
      </c>
      <c r="AC171" t="s">
        <v>196</v>
      </c>
      <c r="AD171">
        <v>0</v>
      </c>
      <c r="AE171">
        <v>63</v>
      </c>
      <c r="AF171">
        <v>39</v>
      </c>
      <c r="AG171" t="s">
        <v>80</v>
      </c>
      <c r="AH171" t="s">
        <v>54</v>
      </c>
      <c r="AI171" t="s">
        <v>57</v>
      </c>
      <c r="AJ171" t="s">
        <v>56</v>
      </c>
      <c r="AK171" t="s">
        <v>57</v>
      </c>
      <c r="AL171" t="s">
        <v>228</v>
      </c>
      <c r="AM171" t="s">
        <v>109</v>
      </c>
      <c r="AN171" t="s">
        <v>57</v>
      </c>
      <c r="AO171">
        <v>0</v>
      </c>
      <c r="AP171">
        <v>1</v>
      </c>
      <c r="AQ171" t="str">
        <f t="shared" si="15"/>
        <v>Responder</v>
      </c>
      <c r="AR171">
        <v>0.1</v>
      </c>
      <c r="AS171" t="s">
        <v>62</v>
      </c>
      <c r="AT171" t="s">
        <v>63</v>
      </c>
      <c r="AU171">
        <v>1.49</v>
      </c>
      <c r="AV171" s="1">
        <v>43160</v>
      </c>
    </row>
    <row r="172" spans="1:48" x14ac:dyDescent="0.2">
      <c r="A172" t="s">
        <v>508</v>
      </c>
      <c r="B172" t="s">
        <v>68</v>
      </c>
      <c r="C172" t="s">
        <v>49</v>
      </c>
      <c r="D172" t="s">
        <v>507</v>
      </c>
      <c r="E172" s="1">
        <v>43833</v>
      </c>
      <c r="F172" s="1">
        <v>43898</v>
      </c>
      <c r="G172" s="1">
        <v>43111</v>
      </c>
      <c r="H172" s="1">
        <v>43151</v>
      </c>
      <c r="I172" s="1">
        <v>43165</v>
      </c>
      <c r="J172" s="1">
        <v>43172</v>
      </c>
      <c r="K172" s="1">
        <v>43228</v>
      </c>
      <c r="L172" s="1">
        <v>43638</v>
      </c>
      <c r="M172" s="1">
        <v>43221</v>
      </c>
      <c r="N172" s="1">
        <v>45090</v>
      </c>
      <c r="Q172">
        <v>0</v>
      </c>
      <c r="R172">
        <v>0</v>
      </c>
      <c r="S172">
        <f t="shared" si="12"/>
        <v>63</v>
      </c>
      <c r="T172">
        <f t="shared" si="13"/>
        <v>63</v>
      </c>
      <c r="U172" s="2">
        <v>63</v>
      </c>
      <c r="V172" s="2">
        <v>63</v>
      </c>
      <c r="W172">
        <f t="shared" si="14"/>
        <v>61.387096774193552</v>
      </c>
      <c r="X172">
        <f t="shared" si="16"/>
        <v>61.387096774193552</v>
      </c>
      <c r="Y172" s="2">
        <v>61.387096769999999</v>
      </c>
      <c r="Z172" s="2">
        <v>61.387096769999999</v>
      </c>
      <c r="AA172">
        <v>1</v>
      </c>
      <c r="AB172" t="s">
        <v>375</v>
      </c>
      <c r="AC172" t="s">
        <v>196</v>
      </c>
      <c r="AD172">
        <v>0</v>
      </c>
      <c r="AE172">
        <v>63</v>
      </c>
      <c r="AF172">
        <v>39</v>
      </c>
      <c r="AG172" t="s">
        <v>80</v>
      </c>
      <c r="AH172" t="s">
        <v>54</v>
      </c>
      <c r="AI172" t="s">
        <v>57</v>
      </c>
      <c r="AJ172" t="s">
        <v>56</v>
      </c>
      <c r="AK172" t="s">
        <v>57</v>
      </c>
      <c r="AL172" t="s">
        <v>228</v>
      </c>
      <c r="AM172" t="s">
        <v>109</v>
      </c>
      <c r="AN172" t="s">
        <v>57</v>
      </c>
      <c r="AO172">
        <v>0</v>
      </c>
      <c r="AP172">
        <v>1</v>
      </c>
      <c r="AQ172" t="str">
        <f t="shared" si="15"/>
        <v>Responder</v>
      </c>
      <c r="AR172">
        <v>0.1</v>
      </c>
      <c r="AS172" t="s">
        <v>62</v>
      </c>
      <c r="AT172" t="s">
        <v>63</v>
      </c>
      <c r="AU172">
        <v>1.01</v>
      </c>
      <c r="AV172" s="1">
        <v>43172</v>
      </c>
    </row>
    <row r="173" spans="1:48" x14ac:dyDescent="0.2">
      <c r="A173" t="s">
        <v>509</v>
      </c>
      <c r="B173" t="s">
        <v>74</v>
      </c>
      <c r="C173" t="s">
        <v>49</v>
      </c>
      <c r="D173" t="s">
        <v>507</v>
      </c>
      <c r="E173" s="1">
        <v>43833</v>
      </c>
      <c r="F173" s="1">
        <v>43888</v>
      </c>
      <c r="G173" s="1">
        <v>43111</v>
      </c>
      <c r="H173" s="1">
        <v>43151</v>
      </c>
      <c r="I173" s="1">
        <v>43165</v>
      </c>
      <c r="J173" s="1">
        <v>43172</v>
      </c>
      <c r="K173" s="1">
        <v>43228</v>
      </c>
      <c r="L173" s="1">
        <v>43638</v>
      </c>
      <c r="M173" s="1">
        <v>43221</v>
      </c>
      <c r="N173" s="1">
        <v>45090</v>
      </c>
      <c r="Q173">
        <v>0</v>
      </c>
      <c r="R173">
        <v>0</v>
      </c>
      <c r="S173">
        <f t="shared" si="12"/>
        <v>63</v>
      </c>
      <c r="T173">
        <f t="shared" si="13"/>
        <v>63</v>
      </c>
      <c r="U173" s="2">
        <v>63</v>
      </c>
      <c r="V173" s="2">
        <v>63</v>
      </c>
      <c r="W173">
        <f t="shared" si="14"/>
        <v>61.387096774193552</v>
      </c>
      <c r="X173">
        <f t="shared" si="16"/>
        <v>61.387096774193552</v>
      </c>
      <c r="Y173" s="2">
        <v>61.387096769999999</v>
      </c>
      <c r="Z173" s="2">
        <v>61.387096769999999</v>
      </c>
      <c r="AA173">
        <v>1</v>
      </c>
      <c r="AB173" t="s">
        <v>370</v>
      </c>
      <c r="AC173" t="s">
        <v>196</v>
      </c>
      <c r="AD173">
        <v>0</v>
      </c>
      <c r="AE173">
        <v>63</v>
      </c>
      <c r="AF173">
        <v>39</v>
      </c>
      <c r="AG173" t="s">
        <v>80</v>
      </c>
      <c r="AH173" t="s">
        <v>54</v>
      </c>
      <c r="AI173" t="s">
        <v>57</v>
      </c>
      <c r="AJ173" t="s">
        <v>56</v>
      </c>
      <c r="AK173" t="s">
        <v>57</v>
      </c>
      <c r="AL173" t="s">
        <v>228</v>
      </c>
      <c r="AM173" t="s">
        <v>109</v>
      </c>
      <c r="AN173" t="s">
        <v>57</v>
      </c>
      <c r="AO173">
        <v>0</v>
      </c>
      <c r="AP173">
        <v>1</v>
      </c>
      <c r="AQ173" t="str">
        <f t="shared" si="15"/>
        <v>Responder</v>
      </c>
      <c r="AR173">
        <v>0.1</v>
      </c>
      <c r="AS173" t="s">
        <v>62</v>
      </c>
      <c r="AT173" t="s">
        <v>63</v>
      </c>
      <c r="AU173">
        <v>0.60399999999999998</v>
      </c>
      <c r="AV173" s="1">
        <v>43222</v>
      </c>
    </row>
    <row r="174" spans="1:48" x14ac:dyDescent="0.2">
      <c r="A174" t="s">
        <v>510</v>
      </c>
      <c r="B174" t="s">
        <v>48</v>
      </c>
      <c r="C174" t="s">
        <v>360</v>
      </c>
      <c r="D174" t="s">
        <v>511</v>
      </c>
      <c r="E174" s="1">
        <v>43833</v>
      </c>
      <c r="F174" s="1">
        <v>43898</v>
      </c>
      <c r="G174" s="1">
        <v>43327</v>
      </c>
      <c r="H174" s="1">
        <v>43350</v>
      </c>
      <c r="I174" s="1">
        <v>43361</v>
      </c>
      <c r="J174" s="1">
        <v>43368</v>
      </c>
      <c r="K174" s="1">
        <v>43418</v>
      </c>
      <c r="L174" s="1">
        <v>43475</v>
      </c>
      <c r="M174" s="1">
        <v>43411</v>
      </c>
      <c r="N174" s="1">
        <v>43948</v>
      </c>
      <c r="O174" s="1">
        <v>43846</v>
      </c>
      <c r="P174" s="1">
        <v>43949</v>
      </c>
      <c r="Q174">
        <v>1</v>
      </c>
      <c r="R174">
        <v>1</v>
      </c>
      <c r="S174">
        <f t="shared" si="12"/>
        <v>15.733333333333333</v>
      </c>
      <c r="T174">
        <f t="shared" si="13"/>
        <v>19.100000000000001</v>
      </c>
      <c r="U174" s="2">
        <v>15.733333330000001</v>
      </c>
      <c r="V174" s="2">
        <v>19.100000000000001</v>
      </c>
      <c r="W174">
        <f t="shared" si="14"/>
        <v>14.3</v>
      </c>
      <c r="X174">
        <f t="shared" si="16"/>
        <v>17.7</v>
      </c>
      <c r="Y174" s="2">
        <v>14.3</v>
      </c>
      <c r="Z174" s="2">
        <v>17.7</v>
      </c>
      <c r="AA174">
        <v>1</v>
      </c>
      <c r="AB174" t="s">
        <v>375</v>
      </c>
      <c r="AC174" t="s">
        <v>260</v>
      </c>
      <c r="AD174">
        <v>0</v>
      </c>
      <c r="AE174">
        <v>64</v>
      </c>
      <c r="AF174">
        <v>71</v>
      </c>
      <c r="AG174" t="s">
        <v>53</v>
      </c>
      <c r="AH174" t="s">
        <v>54</v>
      </c>
      <c r="AI174" t="s">
        <v>55</v>
      </c>
      <c r="AJ174" t="s">
        <v>56</v>
      </c>
      <c r="AK174" t="s">
        <v>57</v>
      </c>
      <c r="AL174" t="s">
        <v>141</v>
      </c>
      <c r="AM174" t="s">
        <v>59</v>
      </c>
      <c r="AN174" t="s">
        <v>60</v>
      </c>
      <c r="AO174">
        <v>2</v>
      </c>
      <c r="AP174">
        <v>6</v>
      </c>
      <c r="AQ174" t="str">
        <f t="shared" si="15"/>
        <v>Responder</v>
      </c>
      <c r="AR174" t="s">
        <v>512</v>
      </c>
      <c r="AS174" t="s">
        <v>142</v>
      </c>
      <c r="AT174" t="s">
        <v>143</v>
      </c>
      <c r="AU174">
        <v>0.32600000000000001</v>
      </c>
      <c r="AV174" s="1">
        <v>43362</v>
      </c>
    </row>
    <row r="175" spans="1:48" x14ac:dyDescent="0.2">
      <c r="A175" t="s">
        <v>513</v>
      </c>
      <c r="B175" t="s">
        <v>68</v>
      </c>
      <c r="C175" t="s">
        <v>360</v>
      </c>
      <c r="D175" t="s">
        <v>511</v>
      </c>
      <c r="E175" s="1">
        <v>43833</v>
      </c>
      <c r="F175" s="1">
        <v>43891</v>
      </c>
      <c r="G175" s="1">
        <v>43327</v>
      </c>
      <c r="H175" s="1">
        <v>43350</v>
      </c>
      <c r="I175" s="1">
        <v>43361</v>
      </c>
      <c r="J175" s="1">
        <v>43368</v>
      </c>
      <c r="K175" s="1">
        <v>43418</v>
      </c>
      <c r="L175" s="1">
        <v>43475</v>
      </c>
      <c r="M175" s="1">
        <v>43411</v>
      </c>
      <c r="N175" s="1">
        <v>43948</v>
      </c>
      <c r="O175" s="1">
        <v>43846</v>
      </c>
      <c r="P175" s="1">
        <v>43949</v>
      </c>
      <c r="Q175">
        <v>1</v>
      </c>
      <c r="R175">
        <v>1</v>
      </c>
      <c r="S175">
        <f t="shared" si="12"/>
        <v>15.733333333333333</v>
      </c>
      <c r="T175">
        <f t="shared" si="13"/>
        <v>19.100000000000001</v>
      </c>
      <c r="U175" s="2">
        <v>15.733333330000001</v>
      </c>
      <c r="V175" s="2">
        <v>19.100000000000001</v>
      </c>
      <c r="W175">
        <f t="shared" si="14"/>
        <v>14.3</v>
      </c>
      <c r="X175">
        <f t="shared" si="16"/>
        <v>17.7</v>
      </c>
      <c r="Y175" s="2">
        <v>14.3</v>
      </c>
      <c r="Z175" s="2">
        <v>17.7</v>
      </c>
      <c r="AA175">
        <v>1</v>
      </c>
      <c r="AB175" t="s">
        <v>396</v>
      </c>
      <c r="AC175" t="s">
        <v>260</v>
      </c>
      <c r="AD175">
        <v>0</v>
      </c>
      <c r="AE175">
        <v>64</v>
      </c>
      <c r="AF175">
        <v>71</v>
      </c>
      <c r="AG175" t="s">
        <v>53</v>
      </c>
      <c r="AH175" t="s">
        <v>54</v>
      </c>
      <c r="AI175" t="s">
        <v>55</v>
      </c>
      <c r="AJ175" t="s">
        <v>56</v>
      </c>
      <c r="AK175" t="s">
        <v>57</v>
      </c>
      <c r="AL175" t="s">
        <v>141</v>
      </c>
      <c r="AM175" t="s">
        <v>59</v>
      </c>
      <c r="AN175" t="s">
        <v>60</v>
      </c>
      <c r="AO175">
        <v>2</v>
      </c>
      <c r="AP175">
        <v>6</v>
      </c>
      <c r="AQ175" t="str">
        <f t="shared" si="15"/>
        <v>Responder</v>
      </c>
      <c r="AR175" t="s">
        <v>512</v>
      </c>
      <c r="AS175" t="s">
        <v>142</v>
      </c>
      <c r="AT175" t="s">
        <v>143</v>
      </c>
      <c r="AU175">
        <v>2.04</v>
      </c>
      <c r="AV175" s="1">
        <v>43368</v>
      </c>
    </row>
    <row r="176" spans="1:48" x14ac:dyDescent="0.2">
      <c r="A176" t="s">
        <v>514</v>
      </c>
      <c r="B176" t="s">
        <v>74</v>
      </c>
      <c r="C176" t="s">
        <v>360</v>
      </c>
      <c r="D176" t="s">
        <v>511</v>
      </c>
      <c r="E176" s="1">
        <v>43833</v>
      </c>
      <c r="F176" s="1">
        <v>43888</v>
      </c>
      <c r="G176" s="1">
        <v>43327</v>
      </c>
      <c r="H176" s="1">
        <v>43350</v>
      </c>
      <c r="I176" s="1">
        <v>43361</v>
      </c>
      <c r="J176" s="1">
        <v>43368</v>
      </c>
      <c r="K176" s="1">
        <v>43418</v>
      </c>
      <c r="L176" s="1">
        <v>43475</v>
      </c>
      <c r="M176" s="1">
        <v>43411</v>
      </c>
      <c r="N176" s="1">
        <v>43948</v>
      </c>
      <c r="O176" s="1">
        <v>43846</v>
      </c>
      <c r="P176" s="1">
        <v>43949</v>
      </c>
      <c r="Q176">
        <v>1</v>
      </c>
      <c r="R176">
        <v>1</v>
      </c>
      <c r="S176">
        <f t="shared" si="12"/>
        <v>15.733333333333333</v>
      </c>
      <c r="T176">
        <f t="shared" si="13"/>
        <v>19.100000000000001</v>
      </c>
      <c r="U176" s="2">
        <v>15.733333330000001</v>
      </c>
      <c r="V176" s="2">
        <v>19.100000000000001</v>
      </c>
      <c r="W176">
        <f t="shared" si="14"/>
        <v>14.3</v>
      </c>
      <c r="X176">
        <f t="shared" si="16"/>
        <v>17.7</v>
      </c>
      <c r="Y176" s="2">
        <v>14.3</v>
      </c>
      <c r="Z176" s="2">
        <v>17.7</v>
      </c>
      <c r="AA176">
        <v>1</v>
      </c>
      <c r="AB176" t="s">
        <v>370</v>
      </c>
      <c r="AC176" t="s">
        <v>260</v>
      </c>
      <c r="AD176">
        <v>0</v>
      </c>
      <c r="AE176">
        <v>64</v>
      </c>
      <c r="AF176">
        <v>71</v>
      </c>
      <c r="AG176" t="s">
        <v>53</v>
      </c>
      <c r="AH176" t="s">
        <v>54</v>
      </c>
      <c r="AI176" t="s">
        <v>55</v>
      </c>
      <c r="AJ176" t="s">
        <v>56</v>
      </c>
      <c r="AK176" t="s">
        <v>57</v>
      </c>
      <c r="AL176" t="s">
        <v>141</v>
      </c>
      <c r="AM176" t="s">
        <v>59</v>
      </c>
      <c r="AN176" t="s">
        <v>60</v>
      </c>
      <c r="AO176">
        <v>2</v>
      </c>
      <c r="AP176">
        <v>6</v>
      </c>
      <c r="AQ176" t="str">
        <f t="shared" si="15"/>
        <v>Responder</v>
      </c>
      <c r="AR176" t="s">
        <v>512</v>
      </c>
      <c r="AS176" t="s">
        <v>142</v>
      </c>
      <c r="AT176" t="s">
        <v>143</v>
      </c>
      <c r="AU176">
        <v>0.05</v>
      </c>
      <c r="AV176" s="1">
        <v>43412</v>
      </c>
    </row>
    <row r="177" spans="1:48" x14ac:dyDescent="0.2">
      <c r="A177" t="s">
        <v>515</v>
      </c>
      <c r="B177" t="s">
        <v>48</v>
      </c>
      <c r="C177" t="s">
        <v>49</v>
      </c>
      <c r="D177" t="s">
        <v>516</v>
      </c>
      <c r="E177" s="1">
        <v>43845</v>
      </c>
      <c r="F177" s="1">
        <v>43888</v>
      </c>
      <c r="G177" s="1">
        <v>43341</v>
      </c>
      <c r="H177" s="1">
        <v>43357</v>
      </c>
      <c r="I177" s="1">
        <v>43374</v>
      </c>
      <c r="J177" s="1">
        <v>43381</v>
      </c>
      <c r="K177" s="1">
        <v>43411</v>
      </c>
      <c r="L177" s="1">
        <v>43453</v>
      </c>
      <c r="M177" s="1">
        <v>43404</v>
      </c>
      <c r="N177" s="1">
        <v>45390</v>
      </c>
      <c r="Q177">
        <v>0</v>
      </c>
      <c r="R177">
        <v>0</v>
      </c>
      <c r="S177">
        <f t="shared" si="12"/>
        <v>66</v>
      </c>
      <c r="T177">
        <f t="shared" si="13"/>
        <v>66</v>
      </c>
      <c r="U177" s="2">
        <v>66</v>
      </c>
      <c r="V177" s="2">
        <v>66</v>
      </c>
      <c r="W177">
        <f t="shared" si="14"/>
        <v>65.258064516129039</v>
      </c>
      <c r="X177">
        <f t="shared" si="16"/>
        <v>65.258064516129039</v>
      </c>
      <c r="Y177" s="2">
        <v>65.258064520000005</v>
      </c>
      <c r="Z177" s="2">
        <v>65.258064520000005</v>
      </c>
      <c r="AA177">
        <v>1</v>
      </c>
      <c r="AB177" t="s">
        <v>370</v>
      </c>
      <c r="AC177" t="s">
        <v>260</v>
      </c>
      <c r="AD177">
        <v>0</v>
      </c>
      <c r="AE177">
        <v>65</v>
      </c>
      <c r="AF177">
        <v>62</v>
      </c>
      <c r="AG177" t="s">
        <v>80</v>
      </c>
      <c r="AH177" t="s">
        <v>54</v>
      </c>
      <c r="AI177" t="s">
        <v>57</v>
      </c>
      <c r="AJ177" t="s">
        <v>56</v>
      </c>
      <c r="AK177" t="s">
        <v>55</v>
      </c>
      <c r="AL177" t="s">
        <v>517</v>
      </c>
      <c r="AM177" t="s">
        <v>109</v>
      </c>
      <c r="AN177" t="s">
        <v>60</v>
      </c>
      <c r="AO177">
        <v>0</v>
      </c>
      <c r="AP177">
        <v>2</v>
      </c>
      <c r="AQ177" t="str">
        <f t="shared" si="15"/>
        <v>Responder</v>
      </c>
      <c r="AR177" t="s">
        <v>388</v>
      </c>
      <c r="AS177" t="s">
        <v>142</v>
      </c>
      <c r="AT177" t="s">
        <v>143</v>
      </c>
      <c r="AU177">
        <v>3.68</v>
      </c>
      <c r="AV177" s="1">
        <v>43375</v>
      </c>
    </row>
    <row r="178" spans="1:48" x14ac:dyDescent="0.2">
      <c r="A178" t="s">
        <v>518</v>
      </c>
      <c r="B178" t="s">
        <v>68</v>
      </c>
      <c r="C178" t="s">
        <v>49</v>
      </c>
      <c r="D178" t="s">
        <v>516</v>
      </c>
      <c r="E178" s="1">
        <v>43845</v>
      </c>
      <c r="F178" s="1">
        <v>43889</v>
      </c>
      <c r="G178" s="1">
        <v>43341</v>
      </c>
      <c r="H178" s="1">
        <v>43357</v>
      </c>
      <c r="I178" s="1">
        <v>43374</v>
      </c>
      <c r="J178" s="1">
        <v>43381</v>
      </c>
      <c r="K178" s="1">
        <v>43411</v>
      </c>
      <c r="L178" s="1">
        <v>43453</v>
      </c>
      <c r="M178" s="1">
        <v>43404</v>
      </c>
      <c r="N178" s="1">
        <v>45390</v>
      </c>
      <c r="Q178">
        <v>0</v>
      </c>
      <c r="R178">
        <v>0</v>
      </c>
      <c r="S178">
        <f t="shared" si="12"/>
        <v>66</v>
      </c>
      <c r="T178">
        <f t="shared" si="13"/>
        <v>66</v>
      </c>
      <c r="U178" s="2">
        <v>66</v>
      </c>
      <c r="V178" s="2">
        <v>66</v>
      </c>
      <c r="W178">
        <f t="shared" si="14"/>
        <v>65.258064516129039</v>
      </c>
      <c r="X178">
        <f t="shared" si="16"/>
        <v>65.258064516129039</v>
      </c>
      <c r="Y178" s="2">
        <v>65.258064520000005</v>
      </c>
      <c r="Z178" s="2">
        <v>65.258064520000005</v>
      </c>
      <c r="AA178">
        <v>1</v>
      </c>
      <c r="AB178" t="s">
        <v>407</v>
      </c>
      <c r="AC178" t="s">
        <v>260</v>
      </c>
      <c r="AD178">
        <v>0</v>
      </c>
      <c r="AE178">
        <v>65</v>
      </c>
      <c r="AF178">
        <v>62</v>
      </c>
      <c r="AG178" t="s">
        <v>80</v>
      </c>
      <c r="AH178" t="s">
        <v>54</v>
      </c>
      <c r="AI178" t="s">
        <v>57</v>
      </c>
      <c r="AJ178" t="s">
        <v>56</v>
      </c>
      <c r="AK178" t="s">
        <v>55</v>
      </c>
      <c r="AL178" t="s">
        <v>517</v>
      </c>
      <c r="AM178" t="s">
        <v>109</v>
      </c>
      <c r="AN178" t="s">
        <v>60</v>
      </c>
      <c r="AO178">
        <v>0</v>
      </c>
      <c r="AP178">
        <v>2</v>
      </c>
      <c r="AQ178" t="str">
        <f t="shared" si="15"/>
        <v>Responder</v>
      </c>
      <c r="AR178" t="s">
        <v>388</v>
      </c>
      <c r="AS178" t="s">
        <v>142</v>
      </c>
      <c r="AT178" t="s">
        <v>143</v>
      </c>
      <c r="AU178">
        <v>4.62</v>
      </c>
      <c r="AV178" s="1">
        <v>43382</v>
      </c>
    </row>
    <row r="179" spans="1:48" x14ac:dyDescent="0.2">
      <c r="A179" t="s">
        <v>519</v>
      </c>
      <c r="B179" t="s">
        <v>74</v>
      </c>
      <c r="C179" t="s">
        <v>49</v>
      </c>
      <c r="D179" t="s">
        <v>516</v>
      </c>
      <c r="E179" s="1">
        <v>43845</v>
      </c>
      <c r="F179" s="1">
        <v>43891</v>
      </c>
      <c r="G179" s="1">
        <v>43341</v>
      </c>
      <c r="H179" s="1">
        <v>43357</v>
      </c>
      <c r="I179" s="1">
        <v>43374</v>
      </c>
      <c r="J179" s="1">
        <v>43381</v>
      </c>
      <c r="K179" s="1">
        <v>43411</v>
      </c>
      <c r="L179" s="1">
        <v>43453</v>
      </c>
      <c r="M179" s="1">
        <v>43404</v>
      </c>
      <c r="N179" s="1">
        <v>45390</v>
      </c>
      <c r="Q179">
        <v>0</v>
      </c>
      <c r="R179">
        <v>0</v>
      </c>
      <c r="S179">
        <f t="shared" si="12"/>
        <v>66</v>
      </c>
      <c r="T179">
        <f t="shared" si="13"/>
        <v>66</v>
      </c>
      <c r="U179" s="2">
        <v>66</v>
      </c>
      <c r="V179" s="2">
        <v>66</v>
      </c>
      <c r="W179">
        <f t="shared" si="14"/>
        <v>65.258064516129039</v>
      </c>
      <c r="X179">
        <f t="shared" si="16"/>
        <v>65.258064516129039</v>
      </c>
      <c r="Y179" s="2">
        <v>65.258064520000005</v>
      </c>
      <c r="Z179" s="2">
        <v>65.258064520000005</v>
      </c>
      <c r="AA179">
        <v>1</v>
      </c>
      <c r="AB179" t="s">
        <v>396</v>
      </c>
      <c r="AC179" t="s">
        <v>260</v>
      </c>
      <c r="AD179">
        <v>0</v>
      </c>
      <c r="AE179">
        <v>65</v>
      </c>
      <c r="AF179">
        <v>62</v>
      </c>
      <c r="AG179" t="s">
        <v>80</v>
      </c>
      <c r="AH179" t="s">
        <v>54</v>
      </c>
      <c r="AI179" t="s">
        <v>57</v>
      </c>
      <c r="AJ179" t="s">
        <v>56</v>
      </c>
      <c r="AK179" t="s">
        <v>55</v>
      </c>
      <c r="AL179" t="s">
        <v>517</v>
      </c>
      <c r="AM179" t="s">
        <v>109</v>
      </c>
      <c r="AN179" t="s">
        <v>60</v>
      </c>
      <c r="AO179">
        <v>0</v>
      </c>
      <c r="AP179">
        <v>2</v>
      </c>
      <c r="AQ179" t="str">
        <f t="shared" si="15"/>
        <v>Responder</v>
      </c>
      <c r="AR179" t="s">
        <v>388</v>
      </c>
      <c r="AS179" t="s">
        <v>142</v>
      </c>
      <c r="AT179" t="s">
        <v>143</v>
      </c>
      <c r="AU179">
        <v>0.59799999999999998</v>
      </c>
      <c r="AV179" s="1">
        <v>43405</v>
      </c>
    </row>
    <row r="180" spans="1:48" x14ac:dyDescent="0.2">
      <c r="A180" t="s">
        <v>520</v>
      </c>
      <c r="B180" t="s">
        <v>48</v>
      </c>
      <c r="C180" t="s">
        <v>49</v>
      </c>
      <c r="D180" t="s">
        <v>521</v>
      </c>
      <c r="E180" s="1">
        <v>43830</v>
      </c>
      <c r="F180" s="1">
        <v>43888</v>
      </c>
      <c r="G180" s="1">
        <v>43440</v>
      </c>
      <c r="H180" s="1">
        <v>43440</v>
      </c>
      <c r="I180" s="1">
        <v>43453</v>
      </c>
      <c r="J180" s="1">
        <v>43469</v>
      </c>
      <c r="K180" s="1">
        <v>43515</v>
      </c>
      <c r="L180" s="1">
        <v>43559</v>
      </c>
      <c r="N180" s="1">
        <v>45280</v>
      </c>
      <c r="Q180">
        <v>0</v>
      </c>
      <c r="R180">
        <v>0</v>
      </c>
      <c r="S180">
        <f t="shared" si="12"/>
        <v>59.516129032258064</v>
      </c>
      <c r="T180">
        <f t="shared" si="13"/>
        <v>59.516129032258064</v>
      </c>
      <c r="U180" s="2">
        <v>59.516129030000002</v>
      </c>
      <c r="V180" s="2">
        <v>59.516129030000002</v>
      </c>
      <c r="Y180" s="2">
        <v>53.975304199550543</v>
      </c>
      <c r="Z180" s="2">
        <v>53.632725738415814</v>
      </c>
      <c r="AA180">
        <v>1</v>
      </c>
      <c r="AB180" t="s">
        <v>370</v>
      </c>
      <c r="AC180" t="s">
        <v>52</v>
      </c>
      <c r="AD180">
        <v>1</v>
      </c>
      <c r="AE180">
        <v>66</v>
      </c>
      <c r="AF180">
        <v>57</v>
      </c>
      <c r="AG180" t="s">
        <v>53</v>
      </c>
      <c r="AH180" t="s">
        <v>54</v>
      </c>
      <c r="AI180" t="s">
        <v>55</v>
      </c>
      <c r="AJ180" t="s">
        <v>56</v>
      </c>
      <c r="AK180" t="s">
        <v>55</v>
      </c>
      <c r="AL180" t="s">
        <v>96</v>
      </c>
      <c r="AM180" t="s">
        <v>109</v>
      </c>
      <c r="AN180" t="s">
        <v>60</v>
      </c>
      <c r="AO180">
        <v>1</v>
      </c>
      <c r="AP180">
        <v>2</v>
      </c>
      <c r="AQ180" t="str">
        <f t="shared" si="15"/>
        <v>Responder</v>
      </c>
      <c r="AR180">
        <v>0.2</v>
      </c>
      <c r="AS180" t="s">
        <v>142</v>
      </c>
      <c r="AT180" t="s">
        <v>143</v>
      </c>
      <c r="AU180">
        <v>0.05</v>
      </c>
      <c r="AV180" s="1">
        <v>43440</v>
      </c>
    </row>
    <row r="181" spans="1:48" x14ac:dyDescent="0.2">
      <c r="A181" t="s">
        <v>522</v>
      </c>
      <c r="B181" t="s">
        <v>68</v>
      </c>
      <c r="C181" t="s">
        <v>49</v>
      </c>
      <c r="D181" t="s">
        <v>521</v>
      </c>
      <c r="E181" s="1">
        <v>43830</v>
      </c>
      <c r="F181" s="1">
        <v>43887</v>
      </c>
      <c r="G181" s="1">
        <v>43440</v>
      </c>
      <c r="H181" s="1">
        <v>43440</v>
      </c>
      <c r="I181" s="1">
        <v>43453</v>
      </c>
      <c r="J181" s="1">
        <v>43469</v>
      </c>
      <c r="K181" s="1">
        <v>43515</v>
      </c>
      <c r="L181" s="1">
        <v>43559</v>
      </c>
      <c r="N181" s="1">
        <v>45280</v>
      </c>
      <c r="Q181">
        <v>0</v>
      </c>
      <c r="R181">
        <v>0</v>
      </c>
      <c r="S181">
        <f t="shared" si="12"/>
        <v>59.516129032258064</v>
      </c>
      <c r="T181">
        <f t="shared" si="13"/>
        <v>59.516129032258064</v>
      </c>
      <c r="U181" s="2">
        <v>59.516129030000002</v>
      </c>
      <c r="V181" s="2">
        <v>59.516129030000002</v>
      </c>
      <c r="Y181" s="2">
        <v>53.975304199550543</v>
      </c>
      <c r="Z181" s="2">
        <v>53.632725738415814</v>
      </c>
      <c r="AA181">
        <v>1</v>
      </c>
      <c r="AB181" t="s">
        <v>385</v>
      </c>
      <c r="AC181" t="s">
        <v>52</v>
      </c>
      <c r="AD181">
        <v>1</v>
      </c>
      <c r="AE181">
        <v>66</v>
      </c>
      <c r="AF181">
        <v>57</v>
      </c>
      <c r="AG181" t="s">
        <v>53</v>
      </c>
      <c r="AH181" t="s">
        <v>54</v>
      </c>
      <c r="AI181" t="s">
        <v>55</v>
      </c>
      <c r="AJ181" t="s">
        <v>56</v>
      </c>
      <c r="AK181" t="s">
        <v>55</v>
      </c>
      <c r="AL181" t="s">
        <v>96</v>
      </c>
      <c r="AM181" t="s">
        <v>109</v>
      </c>
      <c r="AN181" t="s">
        <v>60</v>
      </c>
      <c r="AO181">
        <v>1</v>
      </c>
      <c r="AP181">
        <v>2</v>
      </c>
      <c r="AQ181" t="str">
        <f t="shared" si="15"/>
        <v>Responder</v>
      </c>
      <c r="AR181">
        <v>0.2</v>
      </c>
      <c r="AS181" t="s">
        <v>142</v>
      </c>
      <c r="AT181" t="s">
        <v>143</v>
      </c>
      <c r="AU181">
        <v>0.05</v>
      </c>
      <c r="AV181" s="1">
        <v>43469</v>
      </c>
    </row>
    <row r="182" spans="1:48" x14ac:dyDescent="0.2">
      <c r="A182" t="s">
        <v>523</v>
      </c>
      <c r="B182" t="s">
        <v>48</v>
      </c>
      <c r="C182" t="s">
        <v>49</v>
      </c>
      <c r="D182" t="s">
        <v>524</v>
      </c>
      <c r="E182" s="1">
        <v>43830</v>
      </c>
      <c r="F182" s="1">
        <v>43887</v>
      </c>
      <c r="G182" s="1">
        <v>43510</v>
      </c>
      <c r="H182" s="1">
        <v>43535</v>
      </c>
      <c r="I182" s="1">
        <v>43536</v>
      </c>
      <c r="J182" s="1">
        <v>43543</v>
      </c>
      <c r="K182" s="1">
        <v>43593</v>
      </c>
      <c r="L182" s="1">
        <v>43636</v>
      </c>
      <c r="M182" s="1">
        <v>43586</v>
      </c>
      <c r="N182" s="1">
        <v>44558</v>
      </c>
      <c r="P182" s="1">
        <v>44559</v>
      </c>
      <c r="Q182">
        <v>1</v>
      </c>
      <c r="R182">
        <v>1</v>
      </c>
      <c r="S182">
        <v>33.322580645161288</v>
      </c>
      <c r="T182">
        <f t="shared" si="13"/>
        <v>33.322580645161288</v>
      </c>
      <c r="U182" s="2">
        <v>33.322580649999999</v>
      </c>
      <c r="V182" s="2">
        <v>33.322580649999999</v>
      </c>
      <c r="W182">
        <v>31.903225806451612</v>
      </c>
      <c r="X182">
        <f t="shared" si="16"/>
        <v>31.903225806451612</v>
      </c>
      <c r="Y182" s="2">
        <v>31.903225809999999</v>
      </c>
      <c r="Z182" s="2">
        <v>31.903225809999999</v>
      </c>
      <c r="AA182">
        <v>1</v>
      </c>
      <c r="AB182" t="s">
        <v>385</v>
      </c>
      <c r="AC182" t="s">
        <v>52</v>
      </c>
      <c r="AD182">
        <v>0</v>
      </c>
      <c r="AE182">
        <v>67</v>
      </c>
      <c r="AF182">
        <v>68</v>
      </c>
      <c r="AG182" t="s">
        <v>53</v>
      </c>
      <c r="AH182" t="s">
        <v>54</v>
      </c>
      <c r="AI182" t="s">
        <v>57</v>
      </c>
      <c r="AJ182" t="s">
        <v>56</v>
      </c>
      <c r="AK182" t="s">
        <v>57</v>
      </c>
      <c r="AL182" t="s">
        <v>525</v>
      </c>
      <c r="AM182" t="s">
        <v>109</v>
      </c>
      <c r="AN182" t="s">
        <v>60</v>
      </c>
      <c r="AO182">
        <v>2</v>
      </c>
      <c r="AP182">
        <v>2</v>
      </c>
      <c r="AQ182" t="str">
        <f t="shared" si="15"/>
        <v>Responder</v>
      </c>
      <c r="AR182" t="s">
        <v>388</v>
      </c>
      <c r="AS182" t="s">
        <v>142</v>
      </c>
      <c r="AT182" t="s">
        <v>143</v>
      </c>
      <c r="AU182">
        <v>0.14599999999999999</v>
      </c>
      <c r="AV182" s="1">
        <v>43532</v>
      </c>
    </row>
    <row r="183" spans="1:48" x14ac:dyDescent="0.2">
      <c r="A183" t="s">
        <v>526</v>
      </c>
      <c r="B183" t="s">
        <v>68</v>
      </c>
      <c r="C183" t="s">
        <v>49</v>
      </c>
      <c r="D183" t="s">
        <v>524</v>
      </c>
      <c r="E183" s="1">
        <v>43830</v>
      </c>
      <c r="F183" s="1">
        <v>43898</v>
      </c>
      <c r="G183" s="1">
        <v>43510</v>
      </c>
      <c r="H183" s="1">
        <v>43535</v>
      </c>
      <c r="I183" s="1">
        <v>43536</v>
      </c>
      <c r="J183" s="1">
        <v>43543</v>
      </c>
      <c r="K183" s="1">
        <v>43593</v>
      </c>
      <c r="L183" s="1">
        <v>43636</v>
      </c>
      <c r="M183" s="1">
        <v>43586</v>
      </c>
      <c r="N183" s="1">
        <v>44558</v>
      </c>
      <c r="P183" s="1">
        <v>44559</v>
      </c>
      <c r="Q183">
        <v>1</v>
      </c>
      <c r="R183">
        <v>1</v>
      </c>
      <c r="S183">
        <v>33.322580645161288</v>
      </c>
      <c r="T183">
        <f t="shared" si="13"/>
        <v>33.322580645161288</v>
      </c>
      <c r="U183" s="2">
        <v>33.322580649999999</v>
      </c>
      <c r="V183" s="2">
        <v>33.322580649999999</v>
      </c>
      <c r="W183">
        <v>31.903225806451612</v>
      </c>
      <c r="X183">
        <f t="shared" si="16"/>
        <v>31.903225806451612</v>
      </c>
      <c r="Y183" s="2">
        <v>31.903225809999999</v>
      </c>
      <c r="Z183" s="2">
        <v>31.903225809999999</v>
      </c>
      <c r="AA183">
        <v>1</v>
      </c>
      <c r="AB183" t="s">
        <v>375</v>
      </c>
      <c r="AC183" t="s">
        <v>52</v>
      </c>
      <c r="AD183">
        <v>0</v>
      </c>
      <c r="AE183">
        <v>67</v>
      </c>
      <c r="AF183">
        <v>68</v>
      </c>
      <c r="AG183" t="s">
        <v>53</v>
      </c>
      <c r="AH183" t="s">
        <v>54</v>
      </c>
      <c r="AI183" t="s">
        <v>57</v>
      </c>
      <c r="AJ183" t="s">
        <v>56</v>
      </c>
      <c r="AK183" t="s">
        <v>57</v>
      </c>
      <c r="AL183" t="s">
        <v>525</v>
      </c>
      <c r="AM183" t="s">
        <v>109</v>
      </c>
      <c r="AN183" t="s">
        <v>60</v>
      </c>
      <c r="AO183">
        <v>2</v>
      </c>
      <c r="AP183">
        <v>2</v>
      </c>
      <c r="AQ183" t="str">
        <f t="shared" si="15"/>
        <v>Responder</v>
      </c>
      <c r="AR183" t="s">
        <v>388</v>
      </c>
      <c r="AS183" t="s">
        <v>142</v>
      </c>
      <c r="AT183" t="s">
        <v>143</v>
      </c>
      <c r="AU183">
        <v>0.16800000000000001</v>
      </c>
      <c r="AV183" s="1">
        <v>43543</v>
      </c>
    </row>
    <row r="184" spans="1:48" x14ac:dyDescent="0.2">
      <c r="A184" t="s">
        <v>527</v>
      </c>
      <c r="B184" t="s">
        <v>74</v>
      </c>
      <c r="C184" t="s">
        <v>49</v>
      </c>
      <c r="D184" t="s">
        <v>524</v>
      </c>
      <c r="E184" s="1">
        <v>43830</v>
      </c>
      <c r="F184" s="1">
        <v>43888</v>
      </c>
      <c r="G184" s="1">
        <v>43510</v>
      </c>
      <c r="H184" s="1">
        <v>43535</v>
      </c>
      <c r="I184" s="1">
        <v>43536</v>
      </c>
      <c r="J184" s="1">
        <v>43543</v>
      </c>
      <c r="K184" s="1">
        <v>43593</v>
      </c>
      <c r="L184" s="1">
        <v>43636</v>
      </c>
      <c r="M184" s="1">
        <v>43586</v>
      </c>
      <c r="N184" s="1">
        <v>44558</v>
      </c>
      <c r="P184" s="1">
        <v>44559</v>
      </c>
      <c r="Q184">
        <v>1</v>
      </c>
      <c r="R184">
        <v>1</v>
      </c>
      <c r="S184">
        <v>33.322580645161288</v>
      </c>
      <c r="T184">
        <f t="shared" si="13"/>
        <v>33.322580645161288</v>
      </c>
      <c r="U184" s="2">
        <v>33.322580649999999</v>
      </c>
      <c r="V184" s="2">
        <v>33.322580649999999</v>
      </c>
      <c r="W184">
        <v>31.903225806451612</v>
      </c>
      <c r="X184">
        <f t="shared" si="16"/>
        <v>31.903225806451612</v>
      </c>
      <c r="Y184" s="2">
        <v>31.903225809999999</v>
      </c>
      <c r="Z184" s="2">
        <v>31.903225809999999</v>
      </c>
      <c r="AA184">
        <v>1</v>
      </c>
      <c r="AB184" t="s">
        <v>370</v>
      </c>
      <c r="AC184" t="s">
        <v>52</v>
      </c>
      <c r="AD184">
        <v>0</v>
      </c>
      <c r="AE184">
        <v>67</v>
      </c>
      <c r="AF184">
        <v>68</v>
      </c>
      <c r="AG184" t="s">
        <v>53</v>
      </c>
      <c r="AH184" t="s">
        <v>54</v>
      </c>
      <c r="AI184" t="s">
        <v>57</v>
      </c>
      <c r="AJ184" t="s">
        <v>56</v>
      </c>
      <c r="AK184" t="s">
        <v>57</v>
      </c>
      <c r="AL184" t="s">
        <v>525</v>
      </c>
      <c r="AM184" t="s">
        <v>109</v>
      </c>
      <c r="AN184" t="s">
        <v>60</v>
      </c>
      <c r="AO184">
        <v>2</v>
      </c>
      <c r="AP184">
        <v>2</v>
      </c>
      <c r="AQ184" t="str">
        <f t="shared" si="15"/>
        <v>Responder</v>
      </c>
      <c r="AR184" t="s">
        <v>388</v>
      </c>
      <c r="AS184" t="s">
        <v>142</v>
      </c>
      <c r="AT184" t="s">
        <v>143</v>
      </c>
      <c r="AU184">
        <v>0.05</v>
      </c>
      <c r="AV184" s="1">
        <v>43586</v>
      </c>
    </row>
    <row r="185" spans="1:48" x14ac:dyDescent="0.2">
      <c r="A185" t="s">
        <v>528</v>
      </c>
      <c r="B185" t="s">
        <v>48</v>
      </c>
      <c r="C185" t="s">
        <v>49</v>
      </c>
      <c r="D185" t="s">
        <v>529</v>
      </c>
      <c r="E185" s="1">
        <v>43830</v>
      </c>
      <c r="F185" s="1">
        <v>43898</v>
      </c>
      <c r="G185" s="1">
        <v>43536</v>
      </c>
      <c r="H185" s="1">
        <v>43571</v>
      </c>
      <c r="I185" s="1">
        <v>43578</v>
      </c>
      <c r="J185" s="1">
        <v>43591</v>
      </c>
      <c r="N185" s="1">
        <v>43591</v>
      </c>
      <c r="Q185">
        <v>0</v>
      </c>
      <c r="R185">
        <v>0</v>
      </c>
      <c r="U185" s="2">
        <v>55.068996599999998</v>
      </c>
      <c r="V185" s="2">
        <v>54.756465176448593</v>
      </c>
      <c r="Y185" s="2">
        <v>53.975304199550543</v>
      </c>
      <c r="Z185" s="2">
        <v>53.632725738415814</v>
      </c>
      <c r="AA185">
        <v>1</v>
      </c>
      <c r="AB185" t="s">
        <v>375</v>
      </c>
      <c r="AC185" t="s">
        <v>52</v>
      </c>
      <c r="AD185">
        <v>0</v>
      </c>
      <c r="AE185">
        <v>68</v>
      </c>
      <c r="AF185">
        <v>73</v>
      </c>
      <c r="AG185" t="s">
        <v>80</v>
      </c>
      <c r="AH185" t="s">
        <v>54</v>
      </c>
      <c r="AI185" t="s">
        <v>55</v>
      </c>
      <c r="AJ185" t="s">
        <v>56</v>
      </c>
      <c r="AK185" t="s">
        <v>57</v>
      </c>
      <c r="AL185" t="s">
        <v>525</v>
      </c>
      <c r="AM185" t="s">
        <v>59</v>
      </c>
      <c r="AN185" t="s">
        <v>60</v>
      </c>
      <c r="AO185">
        <v>0</v>
      </c>
      <c r="AP185">
        <v>0</v>
      </c>
      <c r="AQ185" t="str">
        <f t="shared" si="15"/>
        <v>Non-Responder</v>
      </c>
      <c r="AR185" t="s">
        <v>61</v>
      </c>
      <c r="AS185" t="s">
        <v>62</v>
      </c>
      <c r="AT185" t="s">
        <v>63</v>
      </c>
      <c r="AU185">
        <v>0.154</v>
      </c>
      <c r="AV185" s="1">
        <v>43578</v>
      </c>
    </row>
    <row r="186" spans="1:48" x14ac:dyDescent="0.2">
      <c r="A186" t="s">
        <v>530</v>
      </c>
      <c r="B186" t="s">
        <v>68</v>
      </c>
      <c r="C186" t="s">
        <v>49</v>
      </c>
      <c r="D186" t="s">
        <v>529</v>
      </c>
      <c r="E186" s="1">
        <v>43830</v>
      </c>
      <c r="F186" s="1">
        <v>43891</v>
      </c>
      <c r="G186" s="1">
        <v>43536</v>
      </c>
      <c r="H186" s="1">
        <v>43571</v>
      </c>
      <c r="I186" s="1">
        <v>43578</v>
      </c>
      <c r="J186" s="1">
        <v>43591</v>
      </c>
      <c r="N186" s="1">
        <v>43591</v>
      </c>
      <c r="Q186">
        <v>0</v>
      </c>
      <c r="R186">
        <v>0</v>
      </c>
      <c r="U186" s="2">
        <v>55.068996599999998</v>
      </c>
      <c r="V186" s="2">
        <v>54.756465176448593</v>
      </c>
      <c r="Y186" s="2">
        <v>53.975304199550543</v>
      </c>
      <c r="Z186" s="2">
        <v>53.632725738415814</v>
      </c>
      <c r="AA186">
        <v>1</v>
      </c>
      <c r="AB186" t="s">
        <v>396</v>
      </c>
      <c r="AC186" t="s">
        <v>52</v>
      </c>
      <c r="AD186">
        <v>0</v>
      </c>
      <c r="AE186">
        <v>68</v>
      </c>
      <c r="AF186">
        <v>73</v>
      </c>
      <c r="AG186" t="s">
        <v>80</v>
      </c>
      <c r="AH186" t="s">
        <v>54</v>
      </c>
      <c r="AI186" t="s">
        <v>55</v>
      </c>
      <c r="AJ186" t="s">
        <v>56</v>
      </c>
      <c r="AK186" t="s">
        <v>57</v>
      </c>
      <c r="AL186" t="s">
        <v>525</v>
      </c>
      <c r="AM186" t="s">
        <v>59</v>
      </c>
      <c r="AN186" t="s">
        <v>60</v>
      </c>
      <c r="AO186">
        <v>0</v>
      </c>
      <c r="AP186">
        <v>0</v>
      </c>
      <c r="AQ186" t="str">
        <f t="shared" si="15"/>
        <v>Non-Responder</v>
      </c>
      <c r="AR186" t="s">
        <v>61</v>
      </c>
      <c r="AS186" t="s">
        <v>62</v>
      </c>
      <c r="AT186" t="s">
        <v>63</v>
      </c>
      <c r="AU186">
        <v>0.24</v>
      </c>
      <c r="AV186" s="1">
        <v>43588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RAW_HNSCC_METADATA_NEW_v5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Bandaru</cp:lastModifiedBy>
  <dcterms:created xsi:type="dcterms:W3CDTF">2025-06-11T03:48:43Z</dcterms:created>
  <dcterms:modified xsi:type="dcterms:W3CDTF">2025-06-11T15:23:22Z</dcterms:modified>
</cp:coreProperties>
</file>